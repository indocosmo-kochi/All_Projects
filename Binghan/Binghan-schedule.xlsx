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RESH\PROJECTS\PROJECT_STATUS\"/>
    </mc:Choice>
  </mc:AlternateContent>
  <bookViews>
    <workbookView xWindow="0" yWindow="0" windowWidth="20490" windowHeight="7155" tabRatio="500"/>
  </bookViews>
  <sheets>
    <sheet name="Binghan website" sheetId="1" r:id="rId1"/>
  </sheets>
  <definedNames>
    <definedName name="_xlnm._FilterDatabase" localSheetId="0" hidden="1">'Binghan website'!$A$6:$I$6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" l="1"/>
  <c r="F31" i="1"/>
  <c r="G18" i="1"/>
  <c r="F18" i="1"/>
</calcChain>
</file>

<file path=xl/sharedStrings.xml><?xml version="1.0" encoding="utf-8"?>
<sst xmlns="http://schemas.openxmlformats.org/spreadsheetml/2006/main" count="84" uniqueCount="40">
  <si>
    <t>BINGHAN - Website</t>
  </si>
  <si>
    <t>PHASE</t>
  </si>
  <si>
    <t>START</t>
  </si>
  <si>
    <t>END</t>
  </si>
  <si>
    <t>LAST UPDATED BY: Suresh S</t>
  </si>
  <si>
    <t>SLNo</t>
  </si>
  <si>
    <t>SUBJECT</t>
  </si>
  <si>
    <t>STATUS</t>
  </si>
  <si>
    <t>ASSIGNEE</t>
  </si>
  <si>
    <t>EST. HRS</t>
  </si>
  <si>
    <t>ACT. HRS</t>
  </si>
  <si>
    <t>ACT. START</t>
  </si>
  <si>
    <t>ACT. END</t>
  </si>
  <si>
    <t>Project Management</t>
  </si>
  <si>
    <t>COMPLETE</t>
  </si>
  <si>
    <t xml:space="preserve">Existing source code study and analysis and documentation </t>
  </si>
  <si>
    <t>Livin</t>
  </si>
  <si>
    <t>VIP Login &amp; Administrator settings</t>
  </si>
  <si>
    <t>VIP Profile &amp; Product modifications</t>
  </si>
  <si>
    <t>VIP Purchase</t>
  </si>
  <si>
    <t>Testing &amp; bug fixing (VIP Purchase)</t>
  </si>
  <si>
    <t>Integration Testing</t>
  </si>
  <si>
    <t>Icon design</t>
  </si>
  <si>
    <t>Eldhose</t>
  </si>
  <si>
    <t>Deployment of test URL for UAT</t>
  </si>
  <si>
    <t>Modifications requested from the client</t>
  </si>
  <si>
    <t>Total Hours</t>
  </si>
  <si>
    <t>Suresh</t>
  </si>
  <si>
    <t>Change request after 08-06-2020</t>
  </si>
  <si>
    <t>&gt; Vip Login Page design change 
&gt; Vip Special Privacy and legal page
&gt; VIP Register Form with Validation
&gt; Admin-List and  Add memberID
&gt; Member ID pass to email</t>
  </si>
  <si>
    <t>&gt; VIP registration - Design &amp; Field Changes</t>
  </si>
  <si>
    <t>&gt; Register form pdf convention
&gt; Design changes</t>
  </si>
  <si>
    <t xml:space="preserve">&gt; VIP product changes
&gt; Design changes </t>
  </si>
  <si>
    <t>&gt; Calculation changes
&gt; Bug fixing</t>
  </si>
  <si>
    <t xml:space="preserve">&gt; Excel report changes </t>
  </si>
  <si>
    <t>&gt; Pop up message change 
&gt; Registration and privacy legal page - Responsive Design</t>
  </si>
  <si>
    <t>&gt; Excel report changes
&gt; Home page design changes</t>
  </si>
  <si>
    <t>&gt; Responsive Design issues
&gt; Changes in the email content &amp; bill details</t>
  </si>
  <si>
    <t>LAST UPDATED ON: 30-July-2020</t>
  </si>
  <si>
    <t>Dileep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</si>
</sst>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\ mmm\ yy"/>
  </numFmts>
  <fonts count="11" x14ac:knownFonts="1">
    <font>
      <sz val="11"/>
      <color rgb="FF000000"/>
      <name val="Calibri"/>
      <charset val="1"/>
    </font>
    <font>
      <sz val="24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FFFFCC"/>
      </patternFill>
    </fill>
    <fill>
      <patternFill patternType="solid">
        <fgColor theme="7" tint="0.59999389629810485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2" xfId="0" applyFont="1" applyBorder="1" applyAlignment="1"/>
    <xf numFmtId="164" fontId="3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165" fontId="2" fillId="3" borderId="1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/>
    </xf>
    <xf numFmtId="0" fontId="7" fillId="4" borderId="2" xfId="0" applyFont="1" applyFill="1" applyBorder="1"/>
    <xf numFmtId="0" fontId="6" fillId="4" borderId="2" xfId="0" applyFont="1" applyFill="1" applyBorder="1"/>
    <xf numFmtId="9" fontId="7" fillId="4" borderId="2" xfId="0" applyNumberFormat="1" applyFont="1" applyFill="1" applyBorder="1" applyAlignment="1">
      <alignment horizontal="right"/>
    </xf>
    <xf numFmtId="0" fontId="0" fillId="4" borderId="2" xfId="0" applyFont="1" applyFill="1" applyBorder="1" applyAlignment="1"/>
    <xf numFmtId="0" fontId="7" fillId="4" borderId="5" xfId="0" applyFont="1" applyFill="1" applyBorder="1"/>
    <xf numFmtId="0" fontId="6" fillId="4" borderId="5" xfId="0" applyFont="1" applyFill="1" applyBorder="1" applyAlignment="1">
      <alignment horizontal="left"/>
    </xf>
    <xf numFmtId="0" fontId="6" fillId="4" borderId="5" xfId="0" applyFont="1" applyFill="1" applyBorder="1"/>
    <xf numFmtId="9" fontId="7" fillId="4" borderId="5" xfId="0" applyNumberFormat="1" applyFont="1" applyFill="1" applyBorder="1" applyAlignment="1">
      <alignment horizontal="right"/>
    </xf>
    <xf numFmtId="0" fontId="4" fillId="0" borderId="2" xfId="0" applyFont="1" applyBorder="1" applyAlignment="1"/>
    <xf numFmtId="0" fontId="0" fillId="0" borderId="2" xfId="0" applyFont="1" applyBorder="1" applyAlignment="1"/>
    <xf numFmtId="0" fontId="8" fillId="5" borderId="2" xfId="0" applyFont="1" applyFill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/>
    <xf numFmtId="0" fontId="0" fillId="0" borderId="0" xfId="0" applyFont="1" applyBorder="1" applyAlignment="1"/>
    <xf numFmtId="15" fontId="8" fillId="5" borderId="2" xfId="0" applyNumberFormat="1" applyFont="1" applyFill="1" applyBorder="1"/>
    <xf numFmtId="15" fontId="9" fillId="6" borderId="7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4" fillId="0" borderId="2" xfId="0" applyFont="1" applyBorder="1" applyAlignment="1">
      <alignment horizontal="right"/>
    </xf>
    <xf numFmtId="15" fontId="8" fillId="5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5" borderId="5" xfId="0" applyFont="1" applyFill="1" applyBorder="1" applyAlignment="1">
      <alignment horizontal="left"/>
    </xf>
    <xf numFmtId="0" fontId="8" fillId="8" borderId="8" xfId="0" applyFont="1" applyFill="1" applyBorder="1" applyAlignment="1">
      <alignment horizontal="left"/>
    </xf>
    <xf numFmtId="0" fontId="6" fillId="7" borderId="8" xfId="0" applyFont="1" applyFill="1" applyBorder="1" applyAlignment="1">
      <alignment horizontal="left"/>
    </xf>
    <xf numFmtId="0" fontId="7" fillId="7" borderId="8" xfId="0" applyFont="1" applyFill="1" applyBorder="1"/>
    <xf numFmtId="0" fontId="6" fillId="7" borderId="8" xfId="0" applyFont="1" applyFill="1" applyBorder="1"/>
    <xf numFmtId="15" fontId="8" fillId="8" borderId="8" xfId="0" applyNumberFormat="1" applyFont="1" applyFill="1" applyBorder="1"/>
    <xf numFmtId="9" fontId="7" fillId="7" borderId="8" xfId="0" applyNumberFormat="1" applyFont="1" applyFill="1" applyBorder="1" applyAlignment="1">
      <alignment horizontal="right"/>
    </xf>
    <xf numFmtId="9" fontId="7" fillId="7" borderId="9" xfId="0" applyNumberFormat="1" applyFont="1" applyFill="1" applyBorder="1" applyAlignment="1">
      <alignment horizontal="right"/>
    </xf>
    <xf numFmtId="0" fontId="0" fillId="0" borderId="0" xfId="0" applyFont="1" applyAlignment="1">
      <alignment vertical="center"/>
    </xf>
    <xf numFmtId="0" fontId="8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15" fontId="8" fillId="5" borderId="2" xfId="0" applyNumberFormat="1" applyFont="1" applyFill="1" applyBorder="1" applyAlignment="1">
      <alignment vertical="center"/>
    </xf>
    <xf numFmtId="9" fontId="7" fillId="4" borderId="2" xfId="0" applyNumberFormat="1" applyFont="1" applyFill="1" applyBorder="1" applyAlignment="1">
      <alignment horizontal="right" vertical="center"/>
    </xf>
    <xf numFmtId="0" fontId="10" fillId="7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974"/>
  <sheetViews>
    <sheetView showGridLines="0" tabSelected="1" zoomScaleNormal="100" workbookViewId="0">
      <selection sqref="A1:B2"/>
    </sheetView>
  </sheetViews>
  <sheetFormatPr defaultRowHeight="15" x14ac:dyDescent="0.25"/>
  <cols>
    <col min="1" max="1" width="6.28515625" style="40" customWidth="1"/>
    <col min="2" max="2" width="62.42578125" customWidth="1"/>
    <col min="3" max="3" width="9" customWidth="1"/>
    <col min="4" max="4" width="10.42578125" customWidth="1"/>
    <col min="5" max="5" width="12" customWidth="1"/>
    <col min="6" max="6" width="10.7109375" customWidth="1"/>
    <col min="7" max="7" width="11.140625" customWidth="1"/>
    <col min="8" max="9" width="12.85546875" customWidth="1"/>
    <col min="10" max="21" width="9.5703125" style="1" bestFit="1" customWidth="1"/>
    <col min="22" max="22" width="9" style="1" bestFit="1" customWidth="1"/>
    <col min="23" max="25" width="8" style="1" bestFit="1" customWidth="1"/>
    <col min="26" max="32" width="9.42578125" style="1" bestFit="1" customWidth="1"/>
    <col min="33" max="38" width="8.42578125" style="1" bestFit="1" customWidth="1"/>
    <col min="39" max="40" width="9.140625" style="1" bestFit="1" customWidth="1"/>
    <col min="41" max="41" width="8.140625" style="1" bestFit="1" customWidth="1"/>
    <col min="42" max="1036" width="14.42578125" customWidth="1"/>
  </cols>
  <sheetData>
    <row r="1" spans="1:41" s="4" customFormat="1" ht="15" customHeight="1" x14ac:dyDescent="0.25">
      <c r="A1" s="30" t="s">
        <v>0</v>
      </c>
      <c r="B1" s="30"/>
      <c r="C1" s="2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4" customFormat="1" ht="15" customHeight="1" x14ac:dyDescent="0.25">
      <c r="A2" s="30"/>
      <c r="B2" s="30"/>
      <c r="C2" s="5">
        <v>1</v>
      </c>
      <c r="D2" s="6">
        <v>43866</v>
      </c>
      <c r="E2" s="6">
        <v>43937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4" customFormat="1" x14ac:dyDescent="0.25">
      <c r="A3" s="31" t="s">
        <v>38</v>
      </c>
      <c r="B3" s="31"/>
      <c r="C3" s="5">
        <v>2</v>
      </c>
      <c r="D3" s="6">
        <v>43906</v>
      </c>
      <c r="E3" s="7">
        <v>43951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spans="1:41" s="4" customFormat="1" x14ac:dyDescent="0.25">
      <c r="A4" s="31" t="s">
        <v>4</v>
      </c>
      <c r="B4" s="31"/>
      <c r="C4" s="5"/>
      <c r="D4" s="9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1" s="4" customFormat="1" x14ac:dyDescent="0.25">
      <c r="A5" s="34"/>
      <c r="D5" s="11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spans="1:41" x14ac:dyDescent="0.25">
      <c r="A6" s="35" t="s">
        <v>5</v>
      </c>
      <c r="B6" s="2" t="s">
        <v>6</v>
      </c>
      <c r="C6" s="2" t="s">
        <v>1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9">
        <v>44042</v>
      </c>
      <c r="K6" s="12">
        <v>44040</v>
      </c>
      <c r="L6" s="12">
        <v>44032</v>
      </c>
      <c r="M6" s="12">
        <v>44029</v>
      </c>
      <c r="N6" s="12">
        <v>44028</v>
      </c>
      <c r="O6" s="12">
        <v>44025</v>
      </c>
      <c r="P6" s="12">
        <v>44015</v>
      </c>
      <c r="Q6" s="12">
        <v>44006</v>
      </c>
      <c r="R6" s="12">
        <v>44005</v>
      </c>
      <c r="S6" s="12">
        <v>43991</v>
      </c>
      <c r="T6" s="12">
        <v>43990</v>
      </c>
      <c r="U6" s="12">
        <v>43944</v>
      </c>
      <c r="V6" s="12">
        <v>43943</v>
      </c>
      <c r="W6" s="12">
        <v>43930</v>
      </c>
      <c r="X6" s="12">
        <v>43929</v>
      </c>
      <c r="Y6" s="12">
        <v>43928</v>
      </c>
      <c r="Z6" s="12">
        <v>43906</v>
      </c>
      <c r="AA6" s="12">
        <v>43906</v>
      </c>
      <c r="AB6" s="12">
        <v>43904</v>
      </c>
      <c r="AC6" s="12">
        <v>43903</v>
      </c>
      <c r="AD6" s="12">
        <v>43902</v>
      </c>
      <c r="AE6" s="12">
        <v>43901</v>
      </c>
      <c r="AF6" s="12">
        <v>43900</v>
      </c>
      <c r="AG6" s="12">
        <v>43899</v>
      </c>
      <c r="AH6" s="12">
        <v>43896</v>
      </c>
      <c r="AI6" s="12">
        <v>43895</v>
      </c>
      <c r="AJ6" s="12">
        <v>43894</v>
      </c>
      <c r="AK6" s="12">
        <v>43893</v>
      </c>
      <c r="AL6" s="12">
        <v>43892</v>
      </c>
      <c r="AM6" s="12">
        <v>43889</v>
      </c>
      <c r="AN6" s="12">
        <v>43872</v>
      </c>
      <c r="AO6" s="12">
        <v>43866</v>
      </c>
    </row>
    <row r="7" spans="1:41" x14ac:dyDescent="0.25">
      <c r="A7" s="36">
        <v>1</v>
      </c>
      <c r="B7" s="24" t="s">
        <v>13</v>
      </c>
      <c r="C7" s="13">
        <v>1</v>
      </c>
      <c r="D7" s="14" t="s">
        <v>14</v>
      </c>
      <c r="E7" s="15" t="s">
        <v>27</v>
      </c>
      <c r="F7" s="15">
        <v>5</v>
      </c>
      <c r="G7" s="15">
        <v>9</v>
      </c>
      <c r="H7" s="28">
        <v>43866</v>
      </c>
      <c r="I7" s="28">
        <v>43872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0.5</v>
      </c>
    </row>
    <row r="8" spans="1:41" s="1" customFormat="1" x14ac:dyDescent="0.25">
      <c r="A8" s="36">
        <v>2</v>
      </c>
      <c r="B8" s="24" t="s">
        <v>15</v>
      </c>
      <c r="C8" s="13">
        <v>1</v>
      </c>
      <c r="D8" s="14" t="s">
        <v>14</v>
      </c>
      <c r="E8" s="15" t="s">
        <v>16</v>
      </c>
      <c r="F8" s="15">
        <v>8</v>
      </c>
      <c r="G8" s="15">
        <v>9</v>
      </c>
      <c r="H8" s="28">
        <v>43889</v>
      </c>
      <c r="I8" s="28">
        <v>43889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/>
      <c r="AO8" s="16"/>
    </row>
    <row r="9" spans="1:41" s="1" customFormat="1" x14ac:dyDescent="0.25">
      <c r="A9" s="36">
        <v>3</v>
      </c>
      <c r="B9" s="24" t="s">
        <v>17</v>
      </c>
      <c r="C9" s="13">
        <v>1</v>
      </c>
      <c r="D9" s="14" t="s">
        <v>14</v>
      </c>
      <c r="E9" s="15" t="s">
        <v>16</v>
      </c>
      <c r="F9" s="15">
        <v>16</v>
      </c>
      <c r="G9" s="17">
        <v>15</v>
      </c>
      <c r="H9" s="28">
        <v>43892</v>
      </c>
      <c r="I9" s="28">
        <v>43893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6">
        <v>1</v>
      </c>
      <c r="AD9" s="16">
        <v>1</v>
      </c>
      <c r="AE9" s="16">
        <v>1</v>
      </c>
      <c r="AF9" s="16">
        <v>1</v>
      </c>
      <c r="AG9" s="16">
        <v>1</v>
      </c>
      <c r="AH9" s="16">
        <v>1</v>
      </c>
      <c r="AI9" s="16">
        <v>1</v>
      </c>
      <c r="AJ9" s="16">
        <v>1</v>
      </c>
      <c r="AK9" s="16">
        <v>1</v>
      </c>
      <c r="AL9" s="16">
        <v>0.5</v>
      </c>
      <c r="AM9" s="16"/>
      <c r="AN9" s="16"/>
      <c r="AO9" s="16"/>
    </row>
    <row r="10" spans="1:41" x14ac:dyDescent="0.25">
      <c r="A10" s="36">
        <v>4</v>
      </c>
      <c r="B10" s="24" t="s">
        <v>18</v>
      </c>
      <c r="C10" s="13">
        <v>1</v>
      </c>
      <c r="D10" s="14" t="s">
        <v>14</v>
      </c>
      <c r="E10" s="15" t="s">
        <v>16</v>
      </c>
      <c r="F10" s="15">
        <v>16</v>
      </c>
      <c r="G10" s="15">
        <v>17</v>
      </c>
      <c r="H10" s="28">
        <v>43894</v>
      </c>
      <c r="I10" s="28">
        <v>43895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16">
        <v>1</v>
      </c>
      <c r="AE10" s="16">
        <v>1</v>
      </c>
      <c r="AF10" s="16">
        <v>1</v>
      </c>
      <c r="AG10" s="16">
        <v>1</v>
      </c>
      <c r="AH10" s="16">
        <v>1</v>
      </c>
      <c r="AI10" s="16">
        <v>1</v>
      </c>
      <c r="AJ10" s="16">
        <v>0.5</v>
      </c>
      <c r="AK10" s="16"/>
      <c r="AL10" s="16"/>
      <c r="AM10" s="16"/>
      <c r="AN10" s="16"/>
      <c r="AO10" s="16"/>
    </row>
    <row r="11" spans="1:41" s="1" customFormat="1" x14ac:dyDescent="0.25">
      <c r="A11" s="36">
        <v>5</v>
      </c>
      <c r="B11" s="24" t="s">
        <v>19</v>
      </c>
      <c r="C11" s="13">
        <v>1</v>
      </c>
      <c r="D11" s="18" t="s">
        <v>14</v>
      </c>
      <c r="E11" s="15" t="s">
        <v>16</v>
      </c>
      <c r="F11" s="15">
        <v>24</v>
      </c>
      <c r="G11" s="15">
        <v>25</v>
      </c>
      <c r="H11" s="28">
        <v>43896</v>
      </c>
      <c r="I11" s="28">
        <v>43900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0.7</v>
      </c>
      <c r="AH11" s="16">
        <v>0.35</v>
      </c>
      <c r="AI11" s="16"/>
      <c r="AJ11" s="16"/>
      <c r="AK11" s="16"/>
      <c r="AL11" s="16"/>
      <c r="AM11" s="16"/>
      <c r="AN11" s="16"/>
      <c r="AO11" s="16"/>
    </row>
    <row r="12" spans="1:41" s="1" customFormat="1" x14ac:dyDescent="0.25">
      <c r="A12" s="37">
        <v>6</v>
      </c>
      <c r="B12" s="24" t="s">
        <v>20</v>
      </c>
      <c r="C12" s="19">
        <v>1</v>
      </c>
      <c r="D12" s="18" t="s">
        <v>14</v>
      </c>
      <c r="E12" s="20" t="s">
        <v>16</v>
      </c>
      <c r="F12" s="20">
        <v>8</v>
      </c>
      <c r="G12" s="20">
        <v>8</v>
      </c>
      <c r="H12" s="28">
        <v>43901</v>
      </c>
      <c r="I12" s="28">
        <v>43901</v>
      </c>
      <c r="J12" s="21">
        <v>1</v>
      </c>
      <c r="K12" s="21">
        <v>1</v>
      </c>
      <c r="L12" s="21">
        <v>1</v>
      </c>
      <c r="M12" s="21">
        <v>1</v>
      </c>
      <c r="N12" s="21">
        <v>1</v>
      </c>
      <c r="O12" s="21">
        <v>1</v>
      </c>
      <c r="P12" s="21">
        <v>1</v>
      </c>
      <c r="Q12" s="21">
        <v>1</v>
      </c>
      <c r="R12" s="21">
        <v>1</v>
      </c>
      <c r="S12" s="21">
        <v>1</v>
      </c>
      <c r="T12" s="21">
        <v>1</v>
      </c>
      <c r="U12" s="21">
        <v>1</v>
      </c>
      <c r="V12" s="21">
        <v>1</v>
      </c>
      <c r="W12" s="21">
        <v>1</v>
      </c>
      <c r="X12" s="21">
        <v>1</v>
      </c>
      <c r="Y12" s="21">
        <v>1</v>
      </c>
      <c r="Z12" s="21">
        <v>1</v>
      </c>
      <c r="AA12" s="21">
        <v>1</v>
      </c>
      <c r="AB12" s="21">
        <v>1</v>
      </c>
      <c r="AC12" s="21">
        <v>1</v>
      </c>
      <c r="AD12" s="21">
        <v>1</v>
      </c>
      <c r="AE12" s="21">
        <v>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s="1" customFormat="1" x14ac:dyDescent="0.25">
      <c r="A13" s="37">
        <v>7</v>
      </c>
      <c r="B13" s="24" t="s">
        <v>21</v>
      </c>
      <c r="C13" s="19">
        <v>1</v>
      </c>
      <c r="D13" s="18" t="s">
        <v>14</v>
      </c>
      <c r="E13" s="20" t="s">
        <v>16</v>
      </c>
      <c r="F13" s="20">
        <v>32</v>
      </c>
      <c r="G13" s="20">
        <v>24</v>
      </c>
      <c r="H13" s="28">
        <v>43902</v>
      </c>
      <c r="I13" s="28">
        <v>43904</v>
      </c>
      <c r="J13" s="21">
        <v>1</v>
      </c>
      <c r="K13" s="21">
        <v>1</v>
      </c>
      <c r="L13" s="21">
        <v>1</v>
      </c>
      <c r="M13" s="21">
        <v>1</v>
      </c>
      <c r="N13" s="21">
        <v>1</v>
      </c>
      <c r="O13" s="21">
        <v>1</v>
      </c>
      <c r="P13" s="21">
        <v>1</v>
      </c>
      <c r="Q13" s="21">
        <v>1</v>
      </c>
      <c r="R13" s="21">
        <v>1</v>
      </c>
      <c r="S13" s="21">
        <v>1</v>
      </c>
      <c r="T13" s="21">
        <v>1</v>
      </c>
      <c r="U13" s="21">
        <v>1</v>
      </c>
      <c r="V13" s="21">
        <v>1</v>
      </c>
      <c r="W13" s="21">
        <v>1</v>
      </c>
      <c r="X13" s="21">
        <v>1</v>
      </c>
      <c r="Y13" s="21">
        <v>1</v>
      </c>
      <c r="Z13" s="21">
        <v>1</v>
      </c>
      <c r="AA13" s="21">
        <v>1</v>
      </c>
      <c r="AB13" s="21">
        <v>1</v>
      </c>
      <c r="AC13" s="21">
        <v>0.65</v>
      </c>
      <c r="AD13" s="21">
        <v>0.3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s="1" customFormat="1" x14ac:dyDescent="0.25">
      <c r="A14" s="37">
        <v>8</v>
      </c>
      <c r="B14" s="24" t="s">
        <v>22</v>
      </c>
      <c r="C14" s="19">
        <v>1</v>
      </c>
      <c r="D14" s="18" t="s">
        <v>14</v>
      </c>
      <c r="E14" s="20" t="s">
        <v>23</v>
      </c>
      <c r="F14" s="20">
        <v>1</v>
      </c>
      <c r="G14" s="20">
        <v>2</v>
      </c>
      <c r="H14" s="28">
        <v>43904</v>
      </c>
      <c r="I14" s="28">
        <v>43906</v>
      </c>
      <c r="J14" s="21">
        <v>1</v>
      </c>
      <c r="K14" s="21">
        <v>1</v>
      </c>
      <c r="L14" s="21">
        <v>1</v>
      </c>
      <c r="M14" s="21">
        <v>1</v>
      </c>
      <c r="N14" s="21">
        <v>1</v>
      </c>
      <c r="O14" s="21">
        <v>1</v>
      </c>
      <c r="P14" s="21">
        <v>1</v>
      </c>
      <c r="Q14" s="21">
        <v>1</v>
      </c>
      <c r="R14" s="21">
        <v>1</v>
      </c>
      <c r="S14" s="21">
        <v>1</v>
      </c>
      <c r="T14" s="21">
        <v>1</v>
      </c>
      <c r="U14" s="21">
        <v>1</v>
      </c>
      <c r="V14" s="21">
        <v>1</v>
      </c>
      <c r="W14" s="21">
        <v>1</v>
      </c>
      <c r="X14" s="21">
        <v>1</v>
      </c>
      <c r="Y14" s="21">
        <v>1</v>
      </c>
      <c r="Z14" s="21">
        <v>1</v>
      </c>
      <c r="AA14" s="21">
        <v>1</v>
      </c>
      <c r="AB14" s="21">
        <v>1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</row>
    <row r="15" spans="1:41" s="1" customFormat="1" x14ac:dyDescent="0.25">
      <c r="A15" s="37">
        <v>9</v>
      </c>
      <c r="B15" s="24" t="s">
        <v>24</v>
      </c>
      <c r="C15" s="19">
        <v>2</v>
      </c>
      <c r="D15" s="18" t="s">
        <v>14</v>
      </c>
      <c r="E15" s="20" t="s">
        <v>16</v>
      </c>
      <c r="F15" s="20">
        <v>8</v>
      </c>
      <c r="G15" s="20">
        <v>8</v>
      </c>
      <c r="H15" s="28">
        <v>43906</v>
      </c>
      <c r="I15" s="28">
        <v>43906</v>
      </c>
      <c r="J15" s="21">
        <v>1</v>
      </c>
      <c r="K15" s="21">
        <v>1</v>
      </c>
      <c r="L15" s="21">
        <v>1</v>
      </c>
      <c r="M15" s="21">
        <v>1</v>
      </c>
      <c r="N15" s="21">
        <v>1</v>
      </c>
      <c r="O15" s="21">
        <v>1</v>
      </c>
      <c r="P15" s="21">
        <v>1</v>
      </c>
      <c r="Q15" s="21">
        <v>1</v>
      </c>
      <c r="R15" s="21">
        <v>1</v>
      </c>
      <c r="S15" s="21">
        <v>1</v>
      </c>
      <c r="T15" s="21">
        <v>1</v>
      </c>
      <c r="U15" s="21">
        <v>1</v>
      </c>
      <c r="V15" s="21">
        <v>1</v>
      </c>
      <c r="W15" s="21">
        <v>1</v>
      </c>
      <c r="X15" s="21">
        <v>1</v>
      </c>
      <c r="Y15" s="21">
        <v>1</v>
      </c>
      <c r="Z15" s="21">
        <v>1</v>
      </c>
      <c r="AA15" s="21">
        <v>1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s="1" customFormat="1" x14ac:dyDescent="0.25">
      <c r="A16" s="37">
        <v>10</v>
      </c>
      <c r="B16" s="24" t="s">
        <v>20</v>
      </c>
      <c r="C16" s="19">
        <v>2</v>
      </c>
      <c r="D16" s="18" t="s">
        <v>14</v>
      </c>
      <c r="E16" s="20" t="s">
        <v>39</v>
      </c>
      <c r="F16" s="20">
        <v>4</v>
      </c>
      <c r="G16" s="20">
        <v>3</v>
      </c>
      <c r="H16" s="28">
        <v>43927</v>
      </c>
      <c r="I16" s="28">
        <v>43927</v>
      </c>
      <c r="J16" s="21">
        <v>1</v>
      </c>
      <c r="K16" s="21">
        <v>1</v>
      </c>
      <c r="L16" s="21">
        <v>1</v>
      </c>
      <c r="M16" s="21">
        <v>1</v>
      </c>
      <c r="N16" s="21">
        <v>1</v>
      </c>
      <c r="O16" s="21">
        <v>1</v>
      </c>
      <c r="P16" s="21">
        <v>1</v>
      </c>
      <c r="Q16" s="21">
        <v>1</v>
      </c>
      <c r="R16" s="21">
        <v>1</v>
      </c>
      <c r="S16" s="21">
        <v>1</v>
      </c>
      <c r="T16" s="21">
        <v>1</v>
      </c>
      <c r="U16" s="21">
        <v>1</v>
      </c>
      <c r="V16" s="21">
        <v>1</v>
      </c>
      <c r="W16" s="21">
        <v>1</v>
      </c>
      <c r="X16" s="21">
        <v>1</v>
      </c>
      <c r="Y16" s="21">
        <v>1</v>
      </c>
      <c r="Z16" s="21">
        <v>1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pans="1:41" s="1" customFormat="1" x14ac:dyDescent="0.25">
      <c r="A17" s="37">
        <v>11</v>
      </c>
      <c r="B17" s="41" t="s">
        <v>25</v>
      </c>
      <c r="C17" s="19">
        <v>2</v>
      </c>
      <c r="D17" s="18" t="s">
        <v>14</v>
      </c>
      <c r="E17" s="20" t="s">
        <v>16</v>
      </c>
      <c r="F17" s="20">
        <v>24</v>
      </c>
      <c r="G17" s="20">
        <v>20</v>
      </c>
      <c r="H17" s="33">
        <v>43922</v>
      </c>
      <c r="I17" s="33">
        <v>43951</v>
      </c>
      <c r="J17" s="21">
        <v>1</v>
      </c>
      <c r="K17" s="21">
        <v>1</v>
      </c>
      <c r="L17" s="21">
        <v>1</v>
      </c>
      <c r="M17" s="21">
        <v>1</v>
      </c>
      <c r="N17" s="21">
        <v>1</v>
      </c>
      <c r="O17" s="21">
        <v>1</v>
      </c>
      <c r="P17" s="21">
        <v>1</v>
      </c>
      <c r="Q17" s="21">
        <v>1</v>
      </c>
      <c r="R17" s="21">
        <v>1</v>
      </c>
      <c r="S17" s="21">
        <v>1</v>
      </c>
      <c r="T17" s="21">
        <v>1</v>
      </c>
      <c r="U17" s="21">
        <v>1</v>
      </c>
      <c r="V17" s="21">
        <v>0.7</v>
      </c>
      <c r="W17" s="21">
        <v>0.55000000000000004</v>
      </c>
      <c r="X17" s="21">
        <v>0.4</v>
      </c>
      <c r="Y17" s="21">
        <v>0.2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x14ac:dyDescent="0.25">
      <c r="A18" s="32" t="s">
        <v>26</v>
      </c>
      <c r="B18" s="32"/>
      <c r="C18" s="32"/>
      <c r="D18" s="32"/>
      <c r="E18" s="32"/>
      <c r="F18" s="22">
        <f>SUM(F7:F17)</f>
        <v>146</v>
      </c>
      <c r="G18" s="22">
        <f>SUM(G7:G17)</f>
        <v>140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s="1" customFormat="1" x14ac:dyDescent="0.25">
      <c r="A19" s="56" t="s">
        <v>28</v>
      </c>
      <c r="B19" s="42"/>
      <c r="C19" s="43"/>
      <c r="D19" s="44"/>
      <c r="E19" s="45"/>
      <c r="F19" s="45"/>
      <c r="G19" s="45"/>
      <c r="H19" s="46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8"/>
    </row>
    <row r="20" spans="1:41" s="49" customFormat="1" ht="75" x14ac:dyDescent="0.25">
      <c r="A20" s="53">
        <v>1</v>
      </c>
      <c r="B20" s="50" t="s">
        <v>29</v>
      </c>
      <c r="C20" s="51">
        <v>2</v>
      </c>
      <c r="D20" s="52" t="s">
        <v>14</v>
      </c>
      <c r="E20" s="53" t="s">
        <v>16</v>
      </c>
      <c r="F20" s="53">
        <v>16</v>
      </c>
      <c r="G20" s="53">
        <v>16</v>
      </c>
      <c r="H20" s="54">
        <v>43990</v>
      </c>
      <c r="I20" s="54">
        <v>43991</v>
      </c>
      <c r="J20" s="55">
        <v>1</v>
      </c>
      <c r="K20" s="55">
        <v>1</v>
      </c>
      <c r="L20" s="55">
        <v>1</v>
      </c>
      <c r="M20" s="55">
        <v>1</v>
      </c>
      <c r="N20" s="55">
        <v>1</v>
      </c>
      <c r="O20" s="55">
        <v>1</v>
      </c>
      <c r="P20" s="55">
        <v>1</v>
      </c>
      <c r="Q20" s="55">
        <v>1</v>
      </c>
      <c r="R20" s="55">
        <v>1</v>
      </c>
      <c r="S20" s="55">
        <v>1</v>
      </c>
      <c r="T20" s="55">
        <v>0.6</v>
      </c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</row>
    <row r="21" spans="1:41" s="49" customFormat="1" x14ac:dyDescent="0.25">
      <c r="A21" s="53">
        <v>2</v>
      </c>
      <c r="B21" s="50" t="s">
        <v>30</v>
      </c>
      <c r="C21" s="51">
        <v>2</v>
      </c>
      <c r="D21" s="52" t="s">
        <v>14</v>
      </c>
      <c r="E21" s="53" t="s">
        <v>16</v>
      </c>
      <c r="F21" s="53">
        <v>16</v>
      </c>
      <c r="G21" s="53">
        <v>16</v>
      </c>
      <c r="H21" s="54">
        <v>44005</v>
      </c>
      <c r="I21" s="54">
        <v>44006</v>
      </c>
      <c r="J21" s="55">
        <v>1</v>
      </c>
      <c r="K21" s="55">
        <v>1</v>
      </c>
      <c r="L21" s="55">
        <v>1</v>
      </c>
      <c r="M21" s="55">
        <v>1</v>
      </c>
      <c r="N21" s="55">
        <v>1</v>
      </c>
      <c r="O21" s="55">
        <v>1</v>
      </c>
      <c r="P21" s="55">
        <v>1</v>
      </c>
      <c r="Q21" s="55">
        <v>1</v>
      </c>
      <c r="R21" s="55">
        <v>0.6</v>
      </c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</row>
    <row r="22" spans="1:41" s="49" customFormat="1" ht="30" x14ac:dyDescent="0.25">
      <c r="A22" s="53">
        <v>3</v>
      </c>
      <c r="B22" s="50" t="s">
        <v>31</v>
      </c>
      <c r="C22" s="51">
        <v>2</v>
      </c>
      <c r="D22" s="52" t="s">
        <v>14</v>
      </c>
      <c r="E22" s="53" t="s">
        <v>16</v>
      </c>
      <c r="F22" s="53">
        <v>8</v>
      </c>
      <c r="G22" s="53">
        <v>8</v>
      </c>
      <c r="H22" s="54">
        <v>44015</v>
      </c>
      <c r="I22" s="54">
        <v>44015</v>
      </c>
      <c r="J22" s="55">
        <v>1</v>
      </c>
      <c r="K22" s="55">
        <v>1</v>
      </c>
      <c r="L22" s="55">
        <v>1</v>
      </c>
      <c r="M22" s="55">
        <v>1</v>
      </c>
      <c r="N22" s="55">
        <v>1</v>
      </c>
      <c r="O22" s="55">
        <v>1</v>
      </c>
      <c r="P22" s="55">
        <v>1</v>
      </c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</row>
    <row r="23" spans="1:41" s="49" customFormat="1" ht="30" x14ac:dyDescent="0.25">
      <c r="A23" s="53">
        <v>4</v>
      </c>
      <c r="B23" s="50" t="s">
        <v>32</v>
      </c>
      <c r="C23" s="51">
        <v>2</v>
      </c>
      <c r="D23" s="52" t="s">
        <v>14</v>
      </c>
      <c r="E23" s="53" t="s">
        <v>16</v>
      </c>
      <c r="F23" s="53">
        <v>8</v>
      </c>
      <c r="G23" s="53">
        <v>8</v>
      </c>
      <c r="H23" s="54">
        <v>44025</v>
      </c>
      <c r="I23" s="54">
        <v>44025</v>
      </c>
      <c r="J23" s="55">
        <v>1</v>
      </c>
      <c r="K23" s="55">
        <v>1</v>
      </c>
      <c r="L23" s="55">
        <v>1</v>
      </c>
      <c r="M23" s="55">
        <v>1</v>
      </c>
      <c r="N23" s="55">
        <v>1</v>
      </c>
      <c r="O23" s="55">
        <v>1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</row>
    <row r="24" spans="1:41" s="49" customFormat="1" ht="30" x14ac:dyDescent="0.25">
      <c r="A24" s="53">
        <v>5</v>
      </c>
      <c r="B24" s="50" t="s">
        <v>33</v>
      </c>
      <c r="C24" s="51">
        <v>2</v>
      </c>
      <c r="D24" s="52" t="s">
        <v>14</v>
      </c>
      <c r="E24" s="53" t="s">
        <v>16</v>
      </c>
      <c r="F24" s="53">
        <v>8</v>
      </c>
      <c r="G24" s="53">
        <v>8</v>
      </c>
      <c r="H24" s="54">
        <v>44028</v>
      </c>
      <c r="I24" s="54">
        <v>44028</v>
      </c>
      <c r="J24" s="55">
        <v>1</v>
      </c>
      <c r="K24" s="55">
        <v>1</v>
      </c>
      <c r="L24" s="55">
        <v>1</v>
      </c>
      <c r="M24" s="55">
        <v>1</v>
      </c>
      <c r="N24" s="55">
        <v>1</v>
      </c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  <row r="25" spans="1:41" s="49" customFormat="1" x14ac:dyDescent="0.25">
      <c r="A25" s="53">
        <v>6</v>
      </c>
      <c r="B25" s="50" t="s">
        <v>34</v>
      </c>
      <c r="C25" s="51">
        <v>2</v>
      </c>
      <c r="D25" s="52" t="s">
        <v>14</v>
      </c>
      <c r="E25" s="53" t="s">
        <v>16</v>
      </c>
      <c r="F25" s="53">
        <v>8</v>
      </c>
      <c r="G25" s="53">
        <v>8</v>
      </c>
      <c r="H25" s="54">
        <v>44029</v>
      </c>
      <c r="I25" s="54">
        <v>44032</v>
      </c>
      <c r="J25" s="55">
        <v>1</v>
      </c>
      <c r="K25" s="55">
        <v>1</v>
      </c>
      <c r="L25" s="55">
        <v>1</v>
      </c>
      <c r="M25" s="55">
        <v>0.5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</row>
    <row r="26" spans="1:41" s="49" customFormat="1" ht="30" x14ac:dyDescent="0.25">
      <c r="A26" s="53">
        <v>7</v>
      </c>
      <c r="B26" s="50" t="s">
        <v>35</v>
      </c>
      <c r="C26" s="51">
        <v>2</v>
      </c>
      <c r="D26" s="52" t="s">
        <v>14</v>
      </c>
      <c r="E26" s="53" t="s">
        <v>16</v>
      </c>
      <c r="F26" s="53">
        <v>8</v>
      </c>
      <c r="G26" s="53">
        <v>8</v>
      </c>
      <c r="H26" s="54">
        <v>44040</v>
      </c>
      <c r="I26" s="54">
        <v>44040</v>
      </c>
      <c r="J26" s="55">
        <v>1</v>
      </c>
      <c r="K26" s="55">
        <v>1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</row>
    <row r="27" spans="1:41" s="49" customFormat="1" ht="30" x14ac:dyDescent="0.25">
      <c r="A27" s="53">
        <v>8</v>
      </c>
      <c r="B27" s="50" t="s">
        <v>36</v>
      </c>
      <c r="C27" s="51">
        <v>2</v>
      </c>
      <c r="D27" s="52" t="s">
        <v>14</v>
      </c>
      <c r="E27" s="53" t="s">
        <v>16</v>
      </c>
      <c r="F27" s="53">
        <v>4</v>
      </c>
      <c r="G27" s="53">
        <v>6</v>
      </c>
      <c r="H27" s="54">
        <v>44042</v>
      </c>
      <c r="I27" s="54">
        <v>44042</v>
      </c>
      <c r="J27" s="55">
        <v>1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</row>
    <row r="28" spans="1:41" s="49" customFormat="1" ht="30" x14ac:dyDescent="0.25">
      <c r="A28" s="53">
        <v>9</v>
      </c>
      <c r="B28" s="50" t="s">
        <v>36</v>
      </c>
      <c r="C28" s="51">
        <v>2</v>
      </c>
      <c r="D28" s="52" t="s">
        <v>14</v>
      </c>
      <c r="E28" s="53" t="s">
        <v>16</v>
      </c>
      <c r="F28" s="53">
        <v>4</v>
      </c>
      <c r="G28" s="53">
        <v>6</v>
      </c>
      <c r="H28" s="54">
        <v>44042</v>
      </c>
      <c r="I28" s="54">
        <v>44042</v>
      </c>
      <c r="J28" s="55">
        <v>1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</row>
    <row r="29" spans="1:41" s="49" customFormat="1" ht="30" x14ac:dyDescent="0.25">
      <c r="A29" s="53">
        <v>10</v>
      </c>
      <c r="B29" s="50" t="s">
        <v>36</v>
      </c>
      <c r="C29" s="51">
        <v>2</v>
      </c>
      <c r="D29" s="52" t="s">
        <v>14</v>
      </c>
      <c r="E29" s="53" t="s">
        <v>16</v>
      </c>
      <c r="F29" s="53">
        <v>4</v>
      </c>
      <c r="G29" s="53">
        <v>6</v>
      </c>
      <c r="H29" s="54">
        <v>44042</v>
      </c>
      <c r="I29" s="54">
        <v>44042</v>
      </c>
      <c r="J29" s="55">
        <v>1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</row>
    <row r="30" spans="1:41" s="49" customFormat="1" ht="30" x14ac:dyDescent="0.25">
      <c r="A30" s="53">
        <v>11</v>
      </c>
      <c r="B30" s="50" t="s">
        <v>37</v>
      </c>
      <c r="C30" s="51">
        <v>2</v>
      </c>
      <c r="D30" s="52" t="s">
        <v>14</v>
      </c>
      <c r="E30" s="53" t="s">
        <v>16</v>
      </c>
      <c r="F30" s="53">
        <v>16</v>
      </c>
      <c r="G30" s="53"/>
      <c r="H30" s="54"/>
      <c r="I30" s="54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</row>
    <row r="31" spans="1:41" x14ac:dyDescent="0.25">
      <c r="A31" s="32" t="s">
        <v>26</v>
      </c>
      <c r="B31" s="32"/>
      <c r="C31" s="32"/>
      <c r="D31" s="32"/>
      <c r="E31" s="32"/>
      <c r="F31" s="22">
        <f>SUM(F20:F30)</f>
        <v>100</v>
      </c>
      <c r="G31" s="22">
        <f>SUM(G20:G30)</f>
        <v>90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x14ac:dyDescent="0.25">
      <c r="A32" s="38"/>
      <c r="B32" s="25"/>
      <c r="C32" s="25"/>
      <c r="D32" s="25"/>
      <c r="E32" s="25"/>
      <c r="F32" s="2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</row>
    <row r="33" spans="1:1" ht="15.75" customHeight="1" x14ac:dyDescent="0.25">
      <c r="A33" s="39"/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autoFilter ref="A6:I6"/>
  <mergeCells count="5">
    <mergeCell ref="A1:B2"/>
    <mergeCell ref="A3:B3"/>
    <mergeCell ref="A4:B4"/>
    <mergeCell ref="A31:E31"/>
    <mergeCell ref="A18:E18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Binghan website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LAP-081</cp:lastModifiedBy>
  <cp:revision>8</cp:revision>
  <dcterms:created xsi:type="dcterms:W3CDTF">2020-02-13T16:40:55Z</dcterms:created>
  <dcterms:modified xsi:type="dcterms:W3CDTF">2020-08-21T14:21:54Z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