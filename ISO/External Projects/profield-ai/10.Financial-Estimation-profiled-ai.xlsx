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80" windowWidth="16220" windowHeight="5550"/>
  </bookViews>
  <sheets>
    <sheet name="Plan" sheetId="1" r:id="rId1"/>
  </sheets>
  <calcPr calcId="124519"/>
</workbook>
</file>

<file path=xl/calcChain.xml><?xml version="1.0" encoding="utf-8"?>
<calcChain xmlns="http://schemas.openxmlformats.org/spreadsheetml/2006/main">
  <c r="G24" i="1"/>
  <c r="G25"/>
  <c r="E21"/>
  <c r="H21"/>
  <c r="F20"/>
  <c r="G20" s="1"/>
  <c r="F19"/>
  <c r="G19" s="1"/>
  <c r="G21" l="1"/>
  <c r="F21"/>
  <c r="F25" l="1"/>
  <c r="F24"/>
  <c r="F14"/>
  <c r="G14" s="1"/>
  <c r="F13"/>
  <c r="G13" s="1"/>
  <c r="F12"/>
  <c r="G12" s="1"/>
  <c r="F11"/>
  <c r="G11" s="1"/>
  <c r="F10"/>
  <c r="G10" s="1"/>
  <c r="F9"/>
  <c r="F8"/>
  <c r="F7"/>
  <c r="G7" s="1"/>
  <c r="F6"/>
  <c r="E26"/>
  <c r="E27" s="1"/>
  <c r="G8" l="1"/>
  <c r="G6"/>
  <c r="G9"/>
</calcChain>
</file>

<file path=xl/sharedStrings.xml><?xml version="1.0" encoding="utf-8"?>
<sst xmlns="http://schemas.openxmlformats.org/spreadsheetml/2006/main" count="44" uniqueCount="36">
  <si>
    <t>AI -ML Image Recognition Project</t>
  </si>
  <si>
    <t>OBJECT Detection based on custom dataset, extract and save into DB</t>
  </si>
  <si>
    <t>Sl. No.</t>
  </si>
  <si>
    <t>Task</t>
  </si>
  <si>
    <t xml:space="preserve">Build and train AI model to identify objects in the image inside the block </t>
  </si>
  <si>
    <t>Extract object image, from the Block with its position, size (if model is okay)</t>
  </si>
  <si>
    <t>GUI displaying the details and accept any changes in the content, and confirm the extracted details (Web)</t>
  </si>
  <si>
    <t>Save the extracted details into DB (web Service)</t>
  </si>
  <si>
    <t>Testing with available test samples</t>
  </si>
  <si>
    <t>Test and Evaluate the prediction and adjust the model to increase the accuracy parameters</t>
  </si>
  <si>
    <t>Create new images using Augmentation techniques &amp; Dataset preparation</t>
  </si>
  <si>
    <t>PHASE 1</t>
  </si>
  <si>
    <t>GUI for getting the Catalog Page image from the user</t>
  </si>
  <si>
    <t xml:space="preserve">Setting up Server and Deployment </t>
  </si>
  <si>
    <t>Total Man Days</t>
  </si>
  <si>
    <t>TOTAL MAN MONTHS</t>
  </si>
  <si>
    <t>Hours</t>
  </si>
  <si>
    <t>Estimation</t>
  </si>
  <si>
    <t>Time</t>
  </si>
  <si>
    <t>Days</t>
  </si>
  <si>
    <t/>
  </si>
  <si>
    <t xml:space="preserve">Cost </t>
  </si>
  <si>
    <t>@1150 INR</t>
  </si>
  <si>
    <t>Task cancelled by client</t>
  </si>
  <si>
    <t>Final task list by client</t>
  </si>
  <si>
    <t>COST INR</t>
  </si>
  <si>
    <t>Task list</t>
  </si>
  <si>
    <t>Extract text in the Block with its position, size(Design and develop ML model)</t>
  </si>
  <si>
    <t>TEXT extraction - Identify and extract text from the image</t>
  </si>
  <si>
    <t>TOTAL - TEXT EXTRACTION (MAN DAYS)</t>
  </si>
  <si>
    <t>TOTAL - OBJECT DETECTION (MAN DAYS)</t>
  </si>
  <si>
    <t>OBJECT DETECTION</t>
  </si>
  <si>
    <t>TEXT EXTRACTION</t>
  </si>
  <si>
    <t>Testing with available test samples and tuning in the model</t>
  </si>
  <si>
    <t>808 Hours</t>
  </si>
  <si>
    <t>9,10,800 INR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</si>
</sst>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31"/>
  <sheetViews>
    <sheetView tabSelected="1" zoomScale="75" zoomScaleNormal="75" workbookViewId="0">
      <selection activeCell="B2" sqref="B2:H2"/>
    </sheetView>
  </sheetViews>
  <sheetFormatPr defaultColWidth="8.81640625" defaultRowHeight="14.5"/>
  <cols>
    <col min="1" max="1" width="4.36328125" customWidth="1"/>
    <col min="3" max="3" width="6.6328125" style="13" bestFit="1" customWidth="1"/>
    <col min="4" max="4" width="54.36328125" customWidth="1"/>
    <col min="5" max="5" width="9.81640625" style="17" customWidth="1"/>
    <col min="6" max="6" width="11.7265625" style="13" bestFit="1" customWidth="1"/>
    <col min="7" max="7" width="15.54296875" style="13" customWidth="1"/>
    <col min="8" max="8" width="13.6328125" style="17" customWidth="1"/>
  </cols>
  <sheetData>
    <row r="1" spans="2:8">
      <c r="G1" s="15" t="s">
        <v>20</v>
      </c>
    </row>
    <row r="2" spans="2:8" ht="18.5" customHeight="1">
      <c r="B2" s="37" t="s">
        <v>0</v>
      </c>
      <c r="C2" s="37"/>
      <c r="D2" s="37"/>
      <c r="E2" s="37"/>
      <c r="F2" s="37"/>
      <c r="G2" s="37"/>
      <c r="H2" s="37"/>
    </row>
    <row r="3" spans="2:8" ht="17" customHeight="1">
      <c r="B3" s="27" t="s">
        <v>1</v>
      </c>
      <c r="C3" s="27"/>
      <c r="D3" s="27"/>
      <c r="E3" s="24" t="s">
        <v>17</v>
      </c>
      <c r="F3" s="24"/>
      <c r="G3" s="24"/>
      <c r="H3" s="28" t="s">
        <v>24</v>
      </c>
    </row>
    <row r="4" spans="2:8" ht="17" customHeight="1">
      <c r="B4" s="27"/>
      <c r="C4" s="27"/>
      <c r="D4" s="27"/>
      <c r="E4" s="24" t="s">
        <v>18</v>
      </c>
      <c r="F4" s="24"/>
      <c r="G4" s="16" t="s">
        <v>21</v>
      </c>
      <c r="H4" s="28"/>
    </row>
    <row r="5" spans="2:8">
      <c r="B5" s="1"/>
      <c r="C5" s="16" t="s">
        <v>2</v>
      </c>
      <c r="D5" s="1" t="s">
        <v>3</v>
      </c>
      <c r="E5" s="16" t="s">
        <v>19</v>
      </c>
      <c r="F5" s="16" t="s">
        <v>16</v>
      </c>
      <c r="G5" s="14" t="s">
        <v>22</v>
      </c>
      <c r="H5" s="28"/>
    </row>
    <row r="6" spans="2:8" ht="29">
      <c r="B6" s="29" t="s">
        <v>11</v>
      </c>
      <c r="C6" s="9">
        <v>1</v>
      </c>
      <c r="D6" s="10" t="s">
        <v>10</v>
      </c>
      <c r="E6" s="9">
        <v>25</v>
      </c>
      <c r="F6" s="11">
        <f>E6*8</f>
        <v>200</v>
      </c>
      <c r="G6" s="11">
        <f>F6*1150</f>
        <v>230000</v>
      </c>
      <c r="H6" s="19">
        <v>230000</v>
      </c>
    </row>
    <row r="7" spans="2:8">
      <c r="B7" s="29"/>
      <c r="C7" s="9">
        <v>2</v>
      </c>
      <c r="D7" s="10" t="s">
        <v>12</v>
      </c>
      <c r="E7" s="9">
        <v>5</v>
      </c>
      <c r="F7" s="11">
        <f>E7*8</f>
        <v>40</v>
      </c>
      <c r="G7" s="11">
        <f t="shared" ref="G7:G8" si="0">F7*1150</f>
        <v>46000</v>
      </c>
      <c r="H7" s="30" t="s">
        <v>23</v>
      </c>
    </row>
    <row r="8" spans="2:8">
      <c r="B8" s="29"/>
      <c r="C8" s="9">
        <v>3</v>
      </c>
      <c r="D8" s="10" t="s">
        <v>13</v>
      </c>
      <c r="E8" s="9">
        <v>12</v>
      </c>
      <c r="F8" s="11">
        <f>E8*8</f>
        <v>96</v>
      </c>
      <c r="G8" s="11">
        <f t="shared" si="0"/>
        <v>110400</v>
      </c>
      <c r="H8" s="30"/>
    </row>
    <row r="9" spans="2:8" ht="29">
      <c r="B9" s="29"/>
      <c r="C9" s="9">
        <v>4</v>
      </c>
      <c r="D9" s="10" t="s">
        <v>4</v>
      </c>
      <c r="E9" s="9">
        <v>25</v>
      </c>
      <c r="F9" s="11">
        <f t="shared" ref="F9:F14" si="1">E9*8</f>
        <v>200</v>
      </c>
      <c r="G9" s="11">
        <f t="shared" ref="G9:G14" si="2">F9*1150</f>
        <v>230000</v>
      </c>
      <c r="H9" s="4">
        <v>230000</v>
      </c>
    </row>
    <row r="10" spans="2:8" ht="29">
      <c r="B10" s="29"/>
      <c r="C10" s="9">
        <v>5</v>
      </c>
      <c r="D10" s="31" t="s">
        <v>5</v>
      </c>
      <c r="E10" s="9">
        <v>12</v>
      </c>
      <c r="F10" s="11">
        <f t="shared" si="1"/>
        <v>96</v>
      </c>
      <c r="G10" s="11">
        <f t="shared" si="2"/>
        <v>110400</v>
      </c>
      <c r="H10" s="4">
        <v>110400</v>
      </c>
    </row>
    <row r="11" spans="2:8" ht="29">
      <c r="B11" s="29"/>
      <c r="C11" s="9">
        <v>6</v>
      </c>
      <c r="D11" s="10" t="s">
        <v>6</v>
      </c>
      <c r="E11" s="9">
        <v>15</v>
      </c>
      <c r="F11" s="11">
        <f t="shared" si="1"/>
        <v>120</v>
      </c>
      <c r="G11" s="11">
        <f t="shared" si="2"/>
        <v>138000</v>
      </c>
      <c r="H11" s="32" t="s">
        <v>23</v>
      </c>
    </row>
    <row r="12" spans="2:8">
      <c r="B12" s="29"/>
      <c r="C12" s="9">
        <v>7</v>
      </c>
      <c r="D12" s="10" t="s">
        <v>7</v>
      </c>
      <c r="E12" s="9">
        <v>4</v>
      </c>
      <c r="F12" s="11">
        <f t="shared" si="1"/>
        <v>32</v>
      </c>
      <c r="G12" s="11">
        <f t="shared" si="2"/>
        <v>36800</v>
      </c>
      <c r="H12" s="32"/>
    </row>
    <row r="13" spans="2:8">
      <c r="B13" s="29"/>
      <c r="C13" s="9">
        <v>8</v>
      </c>
      <c r="D13" s="10" t="s">
        <v>8</v>
      </c>
      <c r="E13" s="9">
        <v>10</v>
      </c>
      <c r="F13" s="11">
        <f t="shared" si="1"/>
        <v>80</v>
      </c>
      <c r="G13" s="11">
        <f t="shared" si="2"/>
        <v>92000</v>
      </c>
      <c r="H13" s="4">
        <v>92000</v>
      </c>
    </row>
    <row r="14" spans="2:8" ht="29">
      <c r="B14" s="29"/>
      <c r="C14" s="9">
        <v>9</v>
      </c>
      <c r="D14" s="10" t="s">
        <v>9</v>
      </c>
      <c r="E14" s="9">
        <v>15</v>
      </c>
      <c r="F14" s="11">
        <f t="shared" si="1"/>
        <v>120</v>
      </c>
      <c r="G14" s="11">
        <f t="shared" si="2"/>
        <v>138000</v>
      </c>
      <c r="H14" s="4">
        <v>138000</v>
      </c>
    </row>
    <row r="15" spans="2:8">
      <c r="B15" s="29"/>
      <c r="C15" s="22" t="s">
        <v>30</v>
      </c>
      <c r="D15" s="22"/>
      <c r="E15" s="3">
        <v>87</v>
      </c>
      <c r="F15" s="26">
        <v>696</v>
      </c>
      <c r="G15" s="12"/>
      <c r="H15" s="20">
        <v>800400</v>
      </c>
    </row>
    <row r="16" spans="2:8" ht="8" customHeight="1">
      <c r="B16" s="29"/>
      <c r="C16" s="34"/>
      <c r="D16" s="35"/>
      <c r="E16" s="35"/>
      <c r="F16" s="35"/>
      <c r="G16" s="35"/>
      <c r="H16" s="36"/>
    </row>
    <row r="17" spans="2:8" ht="15.5">
      <c r="B17" s="29"/>
      <c r="C17" s="33" t="s">
        <v>28</v>
      </c>
      <c r="D17" s="33"/>
      <c r="E17" s="33"/>
      <c r="F17" s="33"/>
      <c r="G17" s="33"/>
      <c r="H17" s="33"/>
    </row>
    <row r="18" spans="2:8">
      <c r="B18" s="29"/>
      <c r="C18" s="16" t="s">
        <v>2</v>
      </c>
      <c r="D18" s="1" t="s">
        <v>3</v>
      </c>
      <c r="E18" s="16" t="s">
        <v>19</v>
      </c>
      <c r="F18" s="16" t="s">
        <v>16</v>
      </c>
      <c r="G18" s="14" t="s">
        <v>22</v>
      </c>
      <c r="H18" s="25"/>
    </row>
    <row r="19" spans="2:8" ht="14.5" customHeight="1">
      <c r="B19" s="29"/>
      <c r="C19" s="9">
        <v>10</v>
      </c>
      <c r="D19" s="10" t="s">
        <v>27</v>
      </c>
      <c r="E19" s="9">
        <v>10</v>
      </c>
      <c r="F19" s="11">
        <f t="shared" ref="F19:F20" si="3">E19*8</f>
        <v>80</v>
      </c>
      <c r="G19" s="11">
        <f t="shared" ref="G19:G20" si="4">F19*1150</f>
        <v>92000</v>
      </c>
      <c r="H19" s="4">
        <v>92000</v>
      </c>
    </row>
    <row r="20" spans="2:8">
      <c r="B20" s="29"/>
      <c r="C20" s="9">
        <v>11</v>
      </c>
      <c r="D20" s="10" t="s">
        <v>33</v>
      </c>
      <c r="E20" s="9">
        <v>2</v>
      </c>
      <c r="F20" s="11">
        <f t="shared" si="3"/>
        <v>16</v>
      </c>
      <c r="G20" s="11">
        <f t="shared" si="4"/>
        <v>18400</v>
      </c>
      <c r="H20" s="4">
        <v>18400</v>
      </c>
    </row>
    <row r="21" spans="2:8">
      <c r="B21" s="29"/>
      <c r="C21" s="22" t="s">
        <v>29</v>
      </c>
      <c r="D21" s="22"/>
      <c r="E21" s="3">
        <f>SUM(E19:E20)</f>
        <v>12</v>
      </c>
      <c r="F21" s="26">
        <f>SUM(F19:F20)</f>
        <v>96</v>
      </c>
      <c r="G21" s="12">
        <f>SUM(G19:G20)</f>
        <v>110400</v>
      </c>
      <c r="H21" s="20">
        <f>SUM(H19:H20)</f>
        <v>110400</v>
      </c>
    </row>
    <row r="23" spans="2:8" ht="28" customHeight="1">
      <c r="D23" s="18" t="s">
        <v>26</v>
      </c>
      <c r="E23" s="18" t="s">
        <v>19</v>
      </c>
      <c r="F23" s="18" t="s">
        <v>16</v>
      </c>
      <c r="G23" s="18" t="s">
        <v>25</v>
      </c>
    </row>
    <row r="24" spans="2:8">
      <c r="D24" s="2" t="s">
        <v>31</v>
      </c>
      <c r="E24" s="4">
        <v>87</v>
      </c>
      <c r="F24" s="11">
        <f t="shared" ref="F24:F25" si="5">E24*8</f>
        <v>696</v>
      </c>
      <c r="G24" s="11">
        <f>H15</f>
        <v>800400</v>
      </c>
    </row>
    <row r="25" spans="2:8">
      <c r="D25" s="5" t="s">
        <v>32</v>
      </c>
      <c r="E25" s="6">
        <v>12</v>
      </c>
      <c r="F25" s="11">
        <f t="shared" si="5"/>
        <v>96</v>
      </c>
      <c r="G25" s="11">
        <f>H21</f>
        <v>110400</v>
      </c>
    </row>
    <row r="26" spans="2:8" ht="18.5">
      <c r="D26" s="7" t="s">
        <v>14</v>
      </c>
      <c r="E26" s="8">
        <f>SUM(E24:E25)</f>
        <v>99</v>
      </c>
      <c r="F26" s="23" t="s">
        <v>34</v>
      </c>
      <c r="G26" s="23" t="s">
        <v>35</v>
      </c>
    </row>
    <row r="27" spans="2:8" ht="18.5">
      <c r="D27" s="7" t="s">
        <v>15</v>
      </c>
      <c r="E27" s="8">
        <f>E26/20</f>
        <v>4.95</v>
      </c>
      <c r="F27" s="23"/>
      <c r="G27" s="23"/>
    </row>
    <row r="28" spans="2:8">
      <c r="D28" s="21"/>
      <c r="E28" s="21"/>
    </row>
    <row r="31" spans="2:8" ht="14.5" customHeight="1">
      <c r="G31" s="17"/>
    </row>
  </sheetData>
  <mergeCells count="15">
    <mergeCell ref="C21:D21"/>
    <mergeCell ref="B6:B21"/>
    <mergeCell ref="C17:H17"/>
    <mergeCell ref="C16:H16"/>
    <mergeCell ref="H7:H8"/>
    <mergeCell ref="H11:H12"/>
    <mergeCell ref="B2:H2"/>
    <mergeCell ref="H3:H5"/>
    <mergeCell ref="D28:E28"/>
    <mergeCell ref="F26:F27"/>
    <mergeCell ref="G26:G27"/>
    <mergeCell ref="C15:D15"/>
    <mergeCell ref="E3:G3"/>
    <mergeCell ref="E4:F4"/>
    <mergeCell ref="B3:D4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2020-08-28T05:37:44Z</dcterms:created>
  <dcterms:modified xsi:type="dcterms:W3CDTF">2020-08-28T11:06:46Z</dcterms:modified>
</cp:coreProperties>
</file>