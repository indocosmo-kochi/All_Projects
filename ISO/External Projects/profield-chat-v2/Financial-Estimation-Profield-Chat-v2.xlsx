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0710" windowHeight="5640" tabRatio="271"/>
  </bookViews>
  <sheets>
    <sheet name="Tasks" sheetId="2" r:id="rId1"/>
  </sheets>
  <calcPr calcId="124519"/>
</workbook>
</file>

<file path=xl/calcChain.xml><?xml version="1.0" encoding="utf-8"?>
<calcChain xmlns="http://schemas.openxmlformats.org/spreadsheetml/2006/main">
  <c r="E40" i="2"/>
  <c r="G38"/>
  <c r="F38"/>
  <c r="F36"/>
  <c r="G36"/>
  <c r="F37"/>
  <c r="G37"/>
  <c r="F39"/>
  <c r="G39"/>
  <c r="F35"/>
  <c r="G35"/>
  <c r="G34"/>
  <c r="F34"/>
  <c r="G29"/>
  <c r="G28"/>
  <c r="G27"/>
  <c r="G26"/>
  <c r="G25"/>
  <c r="G24"/>
  <c r="G23"/>
  <c r="G22"/>
  <c r="G21"/>
  <c r="G20"/>
  <c r="G19"/>
  <c r="G18"/>
  <c r="G17"/>
  <c r="G16"/>
  <c r="G15"/>
  <c r="G13"/>
  <c r="G12"/>
  <c r="G11"/>
  <c r="G10"/>
  <c r="G9"/>
  <c r="G8"/>
  <c r="G7"/>
  <c r="F29"/>
  <c r="F28"/>
  <c r="F27"/>
  <c r="F26"/>
  <c r="F25"/>
  <c r="F24"/>
  <c r="F23"/>
  <c r="F22"/>
  <c r="F21"/>
  <c r="F20"/>
  <c r="F19"/>
  <c r="F18"/>
  <c r="F17"/>
  <c r="F16"/>
  <c r="F15"/>
  <c r="F13"/>
  <c r="F12"/>
  <c r="F11"/>
  <c r="F10"/>
  <c r="F9"/>
  <c r="F8"/>
  <c r="F7"/>
  <c r="D30"/>
  <c r="E30"/>
  <c r="G40" l="1"/>
  <c r="F40"/>
  <c r="G30"/>
  <c r="F30"/>
</calcChain>
</file>

<file path=xl/sharedStrings.xml><?xml version="1.0" encoding="utf-8"?>
<sst xmlns="http://schemas.openxmlformats.org/spreadsheetml/2006/main" count="48" uniqueCount="42">
  <si>
    <t>Module / Sub module</t>
  </si>
  <si>
    <t>Web App</t>
  </si>
  <si>
    <t>iOS App</t>
  </si>
  <si>
    <t>Admin Module (WEB)</t>
  </si>
  <si>
    <t>Standard Per Hour Rate (Currency INR)</t>
  </si>
  <si>
    <t>Chat v2 Estimate</t>
  </si>
  <si>
    <t>Products Add/Edit/Delete</t>
  </si>
  <si>
    <t>Product Owner Create/Edit//Delete</t>
  </si>
  <si>
    <t>Product to Product Owner linking</t>
  </si>
  <si>
    <t>Remove Product to Product Owner linking</t>
  </si>
  <si>
    <t>View chat messages - Category wise Product wise wise Customer wise</t>
  </si>
  <si>
    <t>View deleted products and its chat messages</t>
  </si>
  <si>
    <t>User(Customer) Registration/Edit/Deregistration</t>
  </si>
  <si>
    <t>Login / Logout Customer, Product Owner, Manager</t>
  </si>
  <si>
    <t>User - Products Card Layout</t>
  </si>
  <si>
    <t>User - Product Attributes View</t>
  </si>
  <si>
    <t>Display User + Product as in the contact List</t>
  </si>
  <si>
    <t>User Chat page with product details</t>
  </si>
  <si>
    <t>Product Owner Home page</t>
  </si>
  <si>
    <t xml:space="preserve">Load Product Details and Chat </t>
  </si>
  <si>
    <t>Send and receive text, voice and attachment messages</t>
  </si>
  <si>
    <t>Close chat (Back to Product list)</t>
  </si>
  <si>
    <t>Load products /message  based on user action (on mouse scroll)</t>
  </si>
  <si>
    <t xml:space="preserve">Product details loading on more link </t>
  </si>
  <si>
    <t>Offline chat feature</t>
  </si>
  <si>
    <t>Customer Feedback (with history)</t>
  </si>
  <si>
    <t>Recent Chat list</t>
  </si>
  <si>
    <t>Estimation</t>
  </si>
  <si>
    <t>TIME (Hours)</t>
  </si>
  <si>
    <t>COST (INR)</t>
  </si>
  <si>
    <t>T O T A L</t>
  </si>
  <si>
    <t>785 Hours</t>
  </si>
  <si>
    <t>9,02,750 INR</t>
  </si>
  <si>
    <t>Product Owner/Customer Modules</t>
  </si>
  <si>
    <t>Reply Feature Implementation</t>
  </si>
  <si>
    <t>First Name Search to Username Search</t>
  </si>
  <si>
    <t>Additional Attachment format support</t>
  </si>
  <si>
    <t>Enhancements</t>
  </si>
  <si>
    <t>v2</t>
  </si>
  <si>
    <t>v1</t>
  </si>
  <si>
    <t>280 Hours</t>
  </si>
  <si>
    <t>3,22,000 INR</t>
  </si>
</sst>
</file>

<file path=xl/styles.xml><?xml version="1.0" encoding="utf-8"?>
<styleSheet xmlns="http://schemas.openxmlformats.org/spreadsheetml/2006/main">
  <fonts count="6">
    <font>
      <sz val="11"/>
      <color rgb="FF000000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</font>
    <font>
      <sz val="1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F5597"/>
        <bgColor rgb="FF666699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4" fillId="0" borderId="1" xfId="0" applyFont="1" applyBorder="1"/>
    <xf numFmtId="0" fontId="0" fillId="0" borderId="1" xfId="0" applyFill="1" applyBorder="1"/>
    <xf numFmtId="0" fontId="0" fillId="0" borderId="1" xfId="0" applyFont="1" applyFill="1" applyBorder="1"/>
    <xf numFmtId="0" fontId="1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Border="1" applyAlignment="1"/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2" fillId="0" borderId="1" xfId="0" applyFont="1" applyBorder="1" applyAlignment="1"/>
    <xf numFmtId="0" fontId="0" fillId="0" borderId="1" xfId="0" applyFill="1" applyBorder="1" applyAlignment="1"/>
    <xf numFmtId="0" fontId="0" fillId="0" borderId="1" xfId="0" applyFill="1" applyBorder="1" applyAlignment="1">
      <alignment horizontal="left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G41"/>
  <sheetViews>
    <sheetView tabSelected="1" topLeftCell="A22" workbookViewId="0">
      <selection activeCell="D46" sqref="D46"/>
    </sheetView>
  </sheetViews>
  <sheetFormatPr defaultRowHeight="14.5"/>
  <cols>
    <col min="2" max="2" width="3.6328125" customWidth="1"/>
    <col min="3" max="3" width="80.1796875"/>
    <col min="4" max="4" width="12.7265625"/>
    <col min="5" max="5" width="10.26953125" customWidth="1"/>
    <col min="6" max="1009" width="8.54296875"/>
  </cols>
  <sheetData>
    <row r="2" spans="1:7" ht="22.5">
      <c r="B2" s="7" t="s">
        <v>5</v>
      </c>
      <c r="C2" s="7"/>
      <c r="D2" s="7"/>
      <c r="E2" s="7"/>
      <c r="F2" s="7"/>
      <c r="G2" s="7"/>
    </row>
    <row r="3" spans="1:7" ht="15" customHeight="1">
      <c r="B3" s="8" t="s">
        <v>0</v>
      </c>
      <c r="C3" s="8"/>
      <c r="D3" s="8" t="s">
        <v>27</v>
      </c>
      <c r="E3" s="8"/>
      <c r="F3" s="8"/>
      <c r="G3" s="8"/>
    </row>
    <row r="4" spans="1:7" ht="14.5" customHeight="1">
      <c r="B4" s="8"/>
      <c r="C4" s="8"/>
      <c r="D4" s="8" t="s">
        <v>28</v>
      </c>
      <c r="E4" s="8"/>
      <c r="F4" s="8" t="s">
        <v>29</v>
      </c>
      <c r="G4" s="8"/>
    </row>
    <row r="5" spans="1:7">
      <c r="B5" s="8"/>
      <c r="C5" s="8"/>
      <c r="D5" s="5" t="s">
        <v>1</v>
      </c>
      <c r="E5" s="5" t="s">
        <v>2</v>
      </c>
      <c r="F5" s="5" t="s">
        <v>1</v>
      </c>
      <c r="G5" s="5" t="s">
        <v>2</v>
      </c>
    </row>
    <row r="6" spans="1:7">
      <c r="B6" s="10" t="s">
        <v>4</v>
      </c>
      <c r="C6" s="10"/>
      <c r="D6" s="10"/>
      <c r="E6" s="10"/>
      <c r="F6" s="11">
        <v>1150</v>
      </c>
      <c r="G6" s="11"/>
    </row>
    <row r="7" spans="1:7">
      <c r="B7" s="12" t="s">
        <v>3</v>
      </c>
      <c r="C7" s="12"/>
      <c r="D7" s="1"/>
      <c r="E7" s="1"/>
      <c r="F7" s="1">
        <f>D7*$F$6</f>
        <v>0</v>
      </c>
      <c r="G7" s="1">
        <f>E7*$F$6</f>
        <v>0</v>
      </c>
    </row>
    <row r="8" spans="1:7">
      <c r="B8" s="13" t="s">
        <v>6</v>
      </c>
      <c r="C8" s="13"/>
      <c r="D8" s="3">
        <v>64</v>
      </c>
      <c r="E8" s="1"/>
      <c r="F8" s="1">
        <f>D8*$F$6</f>
        <v>73600</v>
      </c>
      <c r="G8" s="1">
        <f>E8*$F$6</f>
        <v>0</v>
      </c>
    </row>
    <row r="9" spans="1:7">
      <c r="B9" s="14" t="s">
        <v>7</v>
      </c>
      <c r="C9" s="1"/>
      <c r="D9" s="3">
        <v>36</v>
      </c>
      <c r="E9" s="1"/>
      <c r="F9" s="1">
        <f>D9*$F$6</f>
        <v>41400</v>
      </c>
      <c r="G9" s="1">
        <f>E9*$F$6</f>
        <v>0</v>
      </c>
    </row>
    <row r="10" spans="1:7">
      <c r="B10" s="14" t="s">
        <v>8</v>
      </c>
      <c r="C10" s="1"/>
      <c r="D10" s="1">
        <v>12</v>
      </c>
      <c r="E10" s="1"/>
      <c r="F10" s="1">
        <f>D10*$F$6</f>
        <v>13800</v>
      </c>
      <c r="G10" s="1">
        <f>E10*$F$6</f>
        <v>0</v>
      </c>
    </row>
    <row r="11" spans="1:7">
      <c r="B11" s="14" t="s">
        <v>9</v>
      </c>
      <c r="C11" s="1"/>
      <c r="D11" s="3">
        <v>6</v>
      </c>
      <c r="E11" s="1"/>
      <c r="F11" s="1">
        <f>D11*$F$6</f>
        <v>6900</v>
      </c>
      <c r="G11" s="1">
        <f>E11*$F$6</f>
        <v>0</v>
      </c>
    </row>
    <row r="12" spans="1:7">
      <c r="B12" s="14" t="s">
        <v>10</v>
      </c>
      <c r="C12" s="1"/>
      <c r="D12" s="3">
        <v>64</v>
      </c>
      <c r="E12" s="1"/>
      <c r="F12" s="1">
        <f>D12*$F$6</f>
        <v>73600</v>
      </c>
      <c r="G12" s="1">
        <f>E12*$F$6</f>
        <v>0</v>
      </c>
    </row>
    <row r="13" spans="1:7">
      <c r="B13" s="14" t="s">
        <v>11</v>
      </c>
      <c r="C13" s="1"/>
      <c r="D13" s="3">
        <v>16</v>
      </c>
      <c r="E13" s="1"/>
      <c r="F13" s="1">
        <f>D13*$F$6</f>
        <v>18400</v>
      </c>
      <c r="G13" s="1">
        <f>E13*$F$6</f>
        <v>0</v>
      </c>
    </row>
    <row r="14" spans="1:7">
      <c r="A14" s="9"/>
      <c r="B14" s="10" t="s">
        <v>33</v>
      </c>
      <c r="C14" s="10"/>
      <c r="D14" s="1"/>
      <c r="E14" s="1"/>
      <c r="F14" s="1"/>
      <c r="G14" s="1"/>
    </row>
    <row r="15" spans="1:7">
      <c r="B15" s="3" t="s">
        <v>26</v>
      </c>
      <c r="C15" s="1"/>
      <c r="D15" s="3">
        <v>28</v>
      </c>
      <c r="E15" s="3">
        <v>20</v>
      </c>
      <c r="F15" s="1">
        <f>D15*$F$6</f>
        <v>32200</v>
      </c>
      <c r="G15" s="1">
        <f>E15*$F$6</f>
        <v>23000</v>
      </c>
    </row>
    <row r="16" spans="1:7">
      <c r="B16" s="3" t="s">
        <v>12</v>
      </c>
      <c r="C16" s="1"/>
      <c r="D16" s="1">
        <v>16</v>
      </c>
      <c r="E16" s="1">
        <v>8</v>
      </c>
      <c r="F16" s="1">
        <f>D16*$F$6</f>
        <v>18400</v>
      </c>
      <c r="G16" s="1">
        <f>E16*$F$6</f>
        <v>9200</v>
      </c>
    </row>
    <row r="17" spans="2:7">
      <c r="B17" s="3" t="s">
        <v>13</v>
      </c>
      <c r="C17" s="1"/>
      <c r="D17" s="3">
        <v>20</v>
      </c>
      <c r="E17" s="1">
        <v>12</v>
      </c>
      <c r="F17" s="1">
        <f>D17*$F$6</f>
        <v>23000</v>
      </c>
      <c r="G17" s="1">
        <f>E17*$F$6</f>
        <v>13800</v>
      </c>
    </row>
    <row r="18" spans="2:7">
      <c r="B18" s="3" t="s">
        <v>14</v>
      </c>
      <c r="C18" s="1"/>
      <c r="D18" s="3">
        <v>16</v>
      </c>
      <c r="E18" s="1">
        <v>16</v>
      </c>
      <c r="F18" s="1">
        <f>D18*$F$6</f>
        <v>18400</v>
      </c>
      <c r="G18" s="1">
        <f>E18*$F$6</f>
        <v>18400</v>
      </c>
    </row>
    <row r="19" spans="2:7">
      <c r="B19" s="3" t="s">
        <v>15</v>
      </c>
      <c r="C19" s="1"/>
      <c r="D19" s="3">
        <v>16</v>
      </c>
      <c r="E19" s="1">
        <v>16</v>
      </c>
      <c r="F19" s="1">
        <f>D19*$F$6</f>
        <v>18400</v>
      </c>
      <c r="G19" s="1">
        <f>E19*$F$6</f>
        <v>18400</v>
      </c>
    </row>
    <row r="20" spans="2:7">
      <c r="B20" s="3" t="s">
        <v>16</v>
      </c>
      <c r="C20" s="1"/>
      <c r="D20" s="3">
        <v>24</v>
      </c>
      <c r="E20" s="1">
        <v>8</v>
      </c>
      <c r="F20" s="1">
        <f>D20*$F$6</f>
        <v>27600</v>
      </c>
      <c r="G20" s="1">
        <f>E20*$F$6</f>
        <v>9200</v>
      </c>
    </row>
    <row r="21" spans="2:7">
      <c r="B21" s="3" t="s">
        <v>17</v>
      </c>
      <c r="C21" s="1"/>
      <c r="D21" s="3">
        <v>35</v>
      </c>
      <c r="E21" s="1">
        <v>16</v>
      </c>
      <c r="F21" s="1">
        <f>D21*$F$6</f>
        <v>40250</v>
      </c>
      <c r="G21" s="1">
        <f>E21*$F$6</f>
        <v>18400</v>
      </c>
    </row>
    <row r="22" spans="2:7">
      <c r="B22" s="3" t="s">
        <v>18</v>
      </c>
      <c r="C22" s="1"/>
      <c r="D22" s="3">
        <v>40</v>
      </c>
      <c r="E22" s="1">
        <v>24</v>
      </c>
      <c r="F22" s="1">
        <f>D22*$F$6</f>
        <v>46000</v>
      </c>
      <c r="G22" s="1">
        <f>E22*$F$6</f>
        <v>27600</v>
      </c>
    </row>
    <row r="23" spans="2:7">
      <c r="B23" s="3" t="s">
        <v>19</v>
      </c>
      <c r="C23" s="1"/>
      <c r="D23" s="3">
        <v>24</v>
      </c>
      <c r="E23" s="1">
        <v>8</v>
      </c>
      <c r="F23" s="1">
        <f>D23*$F$6</f>
        <v>27600</v>
      </c>
      <c r="G23" s="1">
        <f>E23*$F$6</f>
        <v>9200</v>
      </c>
    </row>
    <row r="24" spans="2:7">
      <c r="B24" s="3" t="s">
        <v>20</v>
      </c>
      <c r="C24" s="1"/>
      <c r="D24" s="3">
        <v>56</v>
      </c>
      <c r="E24" s="1"/>
      <c r="F24" s="1">
        <f>D24*$F$6</f>
        <v>64400</v>
      </c>
      <c r="G24" s="1">
        <f>E24*$F$6</f>
        <v>0</v>
      </c>
    </row>
    <row r="25" spans="2:7">
      <c r="B25" s="3" t="s">
        <v>21</v>
      </c>
      <c r="C25" s="1"/>
      <c r="D25" s="3">
        <v>16</v>
      </c>
      <c r="E25" s="1">
        <v>4</v>
      </c>
      <c r="F25" s="1">
        <f>D25*$F$6</f>
        <v>18400</v>
      </c>
      <c r="G25" s="1">
        <f>E25*$F$6</f>
        <v>4600</v>
      </c>
    </row>
    <row r="26" spans="2:7">
      <c r="B26" s="3" t="s">
        <v>22</v>
      </c>
      <c r="C26" s="1"/>
      <c r="D26" s="3">
        <v>28</v>
      </c>
      <c r="E26" s="1">
        <v>4</v>
      </c>
      <c r="F26" s="1">
        <f>D26*$F$6</f>
        <v>32200</v>
      </c>
      <c r="G26" s="1">
        <f>E26*$F$6</f>
        <v>4600</v>
      </c>
    </row>
    <row r="27" spans="2:7">
      <c r="B27" s="3" t="s">
        <v>23</v>
      </c>
      <c r="C27" s="1"/>
      <c r="D27" s="3">
        <v>16</v>
      </c>
      <c r="E27" s="1">
        <v>8</v>
      </c>
      <c r="F27" s="1">
        <f>D27*$F$6</f>
        <v>18400</v>
      </c>
      <c r="G27" s="1">
        <f>E27*$F$6</f>
        <v>9200</v>
      </c>
    </row>
    <row r="28" spans="2:7">
      <c r="B28" s="3" t="s">
        <v>24</v>
      </c>
      <c r="C28" s="1"/>
      <c r="D28" s="3">
        <v>80</v>
      </c>
      <c r="E28" s="1"/>
      <c r="F28" s="1">
        <f>D28*$F$6</f>
        <v>92000</v>
      </c>
      <c r="G28" s="1">
        <f>E28*$F$6</f>
        <v>0</v>
      </c>
    </row>
    <row r="29" spans="2:7">
      <c r="B29" s="4" t="s">
        <v>25</v>
      </c>
      <c r="C29" s="1"/>
      <c r="D29" s="3">
        <v>24</v>
      </c>
      <c r="E29" s="1">
        <v>4</v>
      </c>
      <c r="F29" s="1">
        <f>D29*$F$6</f>
        <v>27600</v>
      </c>
      <c r="G29" s="1">
        <f>E29*$F$6</f>
        <v>4600</v>
      </c>
    </row>
    <row r="30" spans="2:7">
      <c r="B30" s="16" t="s">
        <v>30</v>
      </c>
      <c r="C30" s="17"/>
      <c r="D30" s="2">
        <f>SUM(D7:D29)</f>
        <v>637</v>
      </c>
      <c r="E30" s="2">
        <f>SUM(E7:E29)</f>
        <v>148</v>
      </c>
      <c r="F30" s="1">
        <f>SUM(F7:F29)</f>
        <v>732550</v>
      </c>
      <c r="G30" s="1">
        <f>SUM(G7:G29)</f>
        <v>170200</v>
      </c>
    </row>
    <row r="31" spans="2:7">
      <c r="B31" s="18"/>
      <c r="C31" s="19"/>
      <c r="D31" s="6" t="s">
        <v>31</v>
      </c>
      <c r="E31" s="6"/>
      <c r="F31" s="6" t="s">
        <v>32</v>
      </c>
      <c r="G31" s="6"/>
    </row>
    <row r="33" spans="2:7">
      <c r="B33" s="20" t="s">
        <v>37</v>
      </c>
      <c r="C33" s="20"/>
      <c r="D33" s="20"/>
      <c r="E33" s="20"/>
      <c r="F33" s="20"/>
      <c r="G33" s="20"/>
    </row>
    <row r="34" spans="2:7">
      <c r="B34" s="21" t="s">
        <v>38</v>
      </c>
      <c r="C34" s="1" t="s">
        <v>34</v>
      </c>
      <c r="D34" s="1">
        <v>106</v>
      </c>
      <c r="E34" s="1">
        <v>32</v>
      </c>
      <c r="F34" s="1">
        <f>D34*$F$6</f>
        <v>121900</v>
      </c>
      <c r="G34" s="1">
        <f>E34*$F$6</f>
        <v>36800</v>
      </c>
    </row>
    <row r="35" spans="2:7">
      <c r="B35" s="21"/>
      <c r="C35" s="1" t="s">
        <v>35</v>
      </c>
      <c r="D35" s="1">
        <v>16</v>
      </c>
      <c r="E35" s="1">
        <v>8</v>
      </c>
      <c r="F35" s="1">
        <f t="shared" ref="F35:F36" si="0">D35*$F$6</f>
        <v>18400</v>
      </c>
      <c r="G35" s="1">
        <f t="shared" ref="G35:G36" si="1">E35*$F$6</f>
        <v>9200</v>
      </c>
    </row>
    <row r="36" spans="2:7">
      <c r="B36" s="21"/>
      <c r="C36" s="1" t="s">
        <v>36</v>
      </c>
      <c r="D36" s="1">
        <v>24</v>
      </c>
      <c r="E36" s="1">
        <v>8</v>
      </c>
      <c r="F36" s="1">
        <f t="shared" si="0"/>
        <v>27600</v>
      </c>
      <c r="G36" s="1">
        <f t="shared" si="1"/>
        <v>9200</v>
      </c>
    </row>
    <row r="37" spans="2:7">
      <c r="B37" s="21" t="s">
        <v>39</v>
      </c>
      <c r="C37" s="1" t="s">
        <v>34</v>
      </c>
      <c r="D37" s="1">
        <v>40</v>
      </c>
      <c r="E37" s="1">
        <v>16</v>
      </c>
      <c r="F37" s="1">
        <f>D37*$F$6</f>
        <v>46000</v>
      </c>
      <c r="G37" s="1">
        <f>E37*$F$6</f>
        <v>18400</v>
      </c>
    </row>
    <row r="38" spans="2:7">
      <c r="B38" s="21"/>
      <c r="C38" s="1" t="s">
        <v>35</v>
      </c>
      <c r="D38" s="1">
        <v>8</v>
      </c>
      <c r="E38" s="1">
        <v>6</v>
      </c>
      <c r="F38" s="1">
        <f>D38*$F$6</f>
        <v>9200</v>
      </c>
      <c r="G38" s="1">
        <f>E38*$F$6</f>
        <v>6900</v>
      </c>
    </row>
    <row r="39" spans="2:7">
      <c r="B39" s="21"/>
      <c r="C39" s="1" t="s">
        <v>36</v>
      </c>
      <c r="D39" s="1">
        <v>8</v>
      </c>
      <c r="E39" s="1">
        <v>8</v>
      </c>
      <c r="F39" s="1">
        <f>D39*$F$6</f>
        <v>9200</v>
      </c>
      <c r="G39" s="1">
        <f>E39*$F$6</f>
        <v>9200</v>
      </c>
    </row>
    <row r="40" spans="2:7">
      <c r="B40" s="15" t="s">
        <v>30</v>
      </c>
      <c r="C40" s="15"/>
      <c r="D40" s="2">
        <v>276</v>
      </c>
      <c r="E40" s="2">
        <f>SUM(E34:E39)</f>
        <v>78</v>
      </c>
      <c r="F40" s="2">
        <f>SUM(F34:F39)</f>
        <v>232300</v>
      </c>
      <c r="G40" s="2">
        <f>SUM(G34:G39)</f>
        <v>89700</v>
      </c>
    </row>
    <row r="41" spans="2:7">
      <c r="B41" s="15"/>
      <c r="C41" s="15"/>
      <c r="D41" s="6" t="s">
        <v>40</v>
      </c>
      <c r="E41" s="6"/>
      <c r="F41" s="6" t="s">
        <v>41</v>
      </c>
      <c r="G41" s="6"/>
    </row>
  </sheetData>
  <mergeCells count="17">
    <mergeCell ref="B2:G2"/>
    <mergeCell ref="B3:C5"/>
    <mergeCell ref="B6:E6"/>
    <mergeCell ref="D41:E41"/>
    <mergeCell ref="F41:G41"/>
    <mergeCell ref="B33:G33"/>
    <mergeCell ref="B34:B36"/>
    <mergeCell ref="B37:B39"/>
    <mergeCell ref="B40:C41"/>
    <mergeCell ref="F6:G6"/>
    <mergeCell ref="F31:G31"/>
    <mergeCell ref="D31:E31"/>
    <mergeCell ref="D3:G3"/>
    <mergeCell ref="D4:E4"/>
    <mergeCell ref="F4:G4"/>
    <mergeCell ref="B14:C14"/>
    <mergeCell ref="B30:C31"/>
  </mergeCells>
  <pageMargins left="0.7" right="0.7" top="0.75" bottom="0.75" header="0.51180555555555496" footer="0.51180555555555496"/>
  <pageSetup firstPageNumber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</dc:creator>
  <cp:lastModifiedBy>indocosmo</cp:lastModifiedBy>
  <cp:revision>0</cp:revision>
  <dcterms:created xsi:type="dcterms:W3CDTF">2018-08-08T08:41:53Z</dcterms:created>
  <dcterms:modified xsi:type="dcterms:W3CDTF">2020-08-26T15:25:10Z</dcterms:modified>
  <dc:language>en-IN</dc:language>
</cp:coreProperties>
</file>