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65" windowHeight="9330"/>
  </bookViews>
  <sheets>
    <sheet name="ProjectSchedule" sheetId="11" r:id="rId1"/>
  </sheets>
  <definedNames>
    <definedName name="Display_Week">ProjectSchedule!$E$5</definedName>
    <definedName name="_xlnm.Print_Titles" localSheetId="0">ProjectSchedule!$5:$7</definedName>
    <definedName name="Project_Start">ProjectSchedule!$E$4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TODAY()</definedName>
  </definedNames>
  <calcPr calcId="145621"/>
</workbook>
</file>

<file path=xl/calcChain.xml><?xml version="1.0" encoding="utf-8"?>
<calcChain xmlns="http://schemas.openxmlformats.org/spreadsheetml/2006/main">
  <c r="J25" i="11" l="1"/>
  <c r="J24" i="11"/>
  <c r="J23" i="11"/>
  <c r="J22" i="11"/>
  <c r="J21" i="11"/>
  <c r="J16" i="11"/>
  <c r="J20" i="11"/>
  <c r="J19" i="11"/>
  <c r="J15" i="11"/>
  <c r="J18" i="11"/>
  <c r="J17" i="11"/>
  <c r="J14" i="11"/>
  <c r="J13" i="11"/>
  <c r="J12" i="11"/>
  <c r="J11" i="11"/>
  <c r="E10" i="11"/>
  <c r="J10" i="11" s="1"/>
  <c r="J9" i="11"/>
  <c r="J8" i="11"/>
  <c r="K6" i="11"/>
  <c r="L6" i="11" s="1"/>
  <c r="M6" i="11" l="1"/>
  <c r="L7" i="11"/>
  <c r="K5" i="11"/>
  <c r="K7" i="11"/>
  <c r="M7" i="11" l="1"/>
  <c r="N6" i="11"/>
  <c r="N7" i="11" l="1"/>
  <c r="O6" i="11"/>
  <c r="P6" i="11" l="1"/>
  <c r="O7" i="11"/>
  <c r="Q6" i="11" l="1"/>
  <c r="P7" i="11"/>
  <c r="Q7" i="11" l="1"/>
  <c r="R6" i="11"/>
  <c r="R5" i="11" l="1"/>
  <c r="S6" i="11"/>
  <c r="R7" i="11"/>
  <c r="T6" i="11" l="1"/>
  <c r="S7" i="11"/>
  <c r="U6" i="11" l="1"/>
  <c r="T7" i="11"/>
  <c r="U7" i="11" l="1"/>
  <c r="V6" i="11"/>
  <c r="V7" i="11" l="1"/>
  <c r="W6" i="11"/>
  <c r="X6" i="11" l="1"/>
  <c r="W7" i="11"/>
  <c r="Y6" i="11" l="1"/>
  <c r="X7" i="11"/>
  <c r="Y7" i="11" l="1"/>
  <c r="Y5" i="11"/>
  <c r="Z6" i="11"/>
  <c r="AA6" i="11" l="1"/>
  <c r="Z7" i="11"/>
  <c r="AB6" i="11" l="1"/>
  <c r="AA7" i="11"/>
  <c r="AC6" i="11" l="1"/>
  <c r="AB7" i="11"/>
  <c r="AC7" i="11" l="1"/>
  <c r="AD6" i="11"/>
  <c r="AD7" i="11" l="1"/>
  <c r="AE6" i="11"/>
  <c r="AF6" i="11" l="1"/>
  <c r="AE7" i="11"/>
  <c r="AG6" i="11" l="1"/>
  <c r="AF7" i="11"/>
  <c r="AF5" i="11"/>
  <c r="AG7" i="11" l="1"/>
  <c r="AH6" i="11"/>
  <c r="AI6" i="11" l="1"/>
  <c r="AH7" i="11"/>
  <c r="AJ6" i="11" l="1"/>
  <c r="AI7" i="11"/>
  <c r="AK6" i="11" l="1"/>
  <c r="AJ7" i="11"/>
  <c r="AK7" i="11" l="1"/>
  <c r="AL6" i="11"/>
  <c r="AL7" i="11" l="1"/>
  <c r="AM6" i="11"/>
  <c r="AN6" i="11" l="1"/>
  <c r="AM7" i="11"/>
  <c r="AM5" i="11"/>
  <c r="AO6" i="11" l="1"/>
  <c r="AN7" i="11"/>
  <c r="AO7" i="11" l="1"/>
  <c r="AP6" i="11"/>
  <c r="AQ6" i="11" l="1"/>
  <c r="AP7" i="11"/>
  <c r="AR6" i="11" l="1"/>
  <c r="AQ7" i="11"/>
  <c r="AS6" i="11" l="1"/>
  <c r="AR7" i="11"/>
  <c r="AS7" i="11" l="1"/>
  <c r="AT6" i="11"/>
  <c r="AT7" i="11" l="1"/>
  <c r="AT5" i="11"/>
  <c r="AU6" i="11"/>
  <c r="AV6" i="11" l="1"/>
  <c r="AU7" i="11"/>
  <c r="AW6" i="11" l="1"/>
  <c r="AV7" i="11"/>
  <c r="AW7" i="11" l="1"/>
  <c r="AX6" i="11"/>
  <c r="AY6" i="11" l="1"/>
  <c r="AX7" i="11"/>
  <c r="AZ6" i="11" l="1"/>
  <c r="AY7" i="11"/>
  <c r="BA6" i="11" l="1"/>
  <c r="AZ7" i="11"/>
  <c r="BA7" i="11" l="1"/>
  <c r="BA5" i="11"/>
  <c r="BB6" i="11"/>
  <c r="BB7" i="11" l="1"/>
  <c r="BC6" i="11"/>
  <c r="BD6" i="11" l="1"/>
  <c r="BC7" i="11"/>
  <c r="BE6" i="11" l="1"/>
  <c r="BD7" i="11"/>
  <c r="BE7" i="11" l="1"/>
  <c r="BF6" i="11"/>
  <c r="BG6" i="11" l="1"/>
  <c r="BF7" i="11"/>
  <c r="BH6" i="11" l="1"/>
  <c r="BG7" i="11"/>
  <c r="BI6" i="11" l="1"/>
  <c r="BH7" i="11"/>
  <c r="BH5" i="11"/>
  <c r="BI7" i="11" l="1"/>
  <c r="BJ6" i="11"/>
  <c r="BJ7" i="11" l="1"/>
  <c r="BK6" i="11"/>
  <c r="BL6" i="11" l="1"/>
  <c r="BK7" i="11"/>
  <c r="BM6" i="11" l="1"/>
  <c r="BL7" i="11"/>
  <c r="BM7" i="11" l="1"/>
  <c r="BN6" i="11"/>
  <c r="BN7" i="11" s="1"/>
</calcChain>
</file>

<file path=xl/sharedStrings.xml><?xml version="1.0" encoding="utf-8"?>
<sst xmlns="http://schemas.openxmlformats.org/spreadsheetml/2006/main" count="48" uniqueCount="34">
  <si>
    <t>PROJECT : Reeps - ARC</t>
  </si>
  <si>
    <t>Client</t>
  </si>
  <si>
    <t>ARC</t>
  </si>
  <si>
    <t>Delivery Dates</t>
  </si>
  <si>
    <t>Team</t>
  </si>
  <si>
    <t>Suresh, Aslam</t>
  </si>
  <si>
    <t>Project Start:</t>
  </si>
  <si>
    <t>Display Week:</t>
  </si>
  <si>
    <t>TASK</t>
  </si>
  <si>
    <t>ASSIGNED
TO</t>
  </si>
  <si>
    <t>PROGRESS</t>
  </si>
  <si>
    <t>PLANNED START DATE</t>
  </si>
  <si>
    <t>PLANNED END DATE</t>
  </si>
  <si>
    <t>ACTUAL START DATE</t>
  </si>
  <si>
    <t>ACTUAL END DATE</t>
  </si>
  <si>
    <t>DAYS</t>
  </si>
  <si>
    <t>Phase 1 : Department Module</t>
  </si>
  <si>
    <t>Project Setup and initialisation</t>
  </si>
  <si>
    <t>ASLAM</t>
  </si>
  <si>
    <t>Db setup &amp; Restoring</t>
  </si>
  <si>
    <t>Indocosmo Git Setup</t>
  </si>
  <si>
    <t>Common Validations ( request method, content-type,etc )</t>
  </si>
  <si>
    <t>Listing API coding</t>
  </si>
  <si>
    <t>Listing API Unit Test Case Preparation</t>
  </si>
  <si>
    <t>Listing API unit test module coding</t>
  </si>
  <si>
    <t>Registration &amp; Updation API coding</t>
  </si>
  <si>
    <t>Registration &amp; Updation API Unit Test Case Preparation</t>
  </si>
  <si>
    <t>Registration &amp; Updation API unit test module coding</t>
  </si>
  <si>
    <t>Deletion API coding</t>
  </si>
  <si>
    <t>Deletion API unit test case preparation</t>
  </si>
  <si>
    <t>Deletion API unit test module coding</t>
  </si>
  <si>
    <t>Review</t>
  </si>
  <si>
    <t>Modifications or Bug Fixing</t>
  </si>
  <si>
    <t>Final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</si>
</sst>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mmm\ d\,\ yyyy"/>
    <numFmt numFmtId="177" formatCode="ddd\,\ m/d/yyyy"/>
    <numFmt numFmtId="178" formatCode="m/d/yy;@"/>
    <numFmt numFmtId="179" formatCode="d"/>
    <numFmt numFmtId="180" formatCode="yyyy/m/d;@"/>
  </numFmts>
  <fonts count="20" x14ac:knownFonts="1">
    <font>
      <sz val="11"/>
      <color theme="1"/>
      <name val="メイリオ"/>
      <charset val="134"/>
      <scheme val="minor"/>
    </font>
    <font>
      <sz val="18"/>
      <color theme="1"/>
      <name val="メイリオ"/>
      <family val="2"/>
      <scheme val="minor"/>
    </font>
    <font>
      <sz val="11"/>
      <color theme="0"/>
      <name val="メイリオ"/>
      <family val="2"/>
      <scheme val="minor"/>
    </font>
    <font>
      <sz val="18"/>
      <color theme="0"/>
      <name val="メイリオ"/>
      <family val="2"/>
      <scheme val="minor"/>
    </font>
    <font>
      <b/>
      <sz val="18"/>
      <color theme="1" tint="0.34998626667073579"/>
      <name val="メイリオ"/>
      <family val="2"/>
      <scheme val="major"/>
    </font>
    <font>
      <sz val="18"/>
      <name val="メイリオ"/>
      <family val="2"/>
      <scheme val="minor"/>
    </font>
    <font>
      <sz val="14"/>
      <color theme="1"/>
      <name val="メイリオ"/>
      <family val="2"/>
      <scheme val="minor"/>
    </font>
    <font>
      <b/>
      <sz val="22"/>
      <color theme="1" tint="0.34998626667073579"/>
      <name val="メイリオ"/>
      <family val="2"/>
      <scheme val="major"/>
    </font>
    <font>
      <sz val="10"/>
      <name val="メイリオ"/>
      <family val="2"/>
      <scheme val="minor"/>
    </font>
    <font>
      <b/>
      <sz val="9"/>
      <color theme="0"/>
      <name val="メイリオ"/>
      <family val="2"/>
      <scheme val="minor"/>
    </font>
    <font>
      <b/>
      <sz val="11"/>
      <color theme="1"/>
      <name val="メイリオ"/>
      <family val="2"/>
      <scheme val="minor"/>
    </font>
    <font>
      <b/>
      <sz val="18"/>
      <color theme="1" tint="0.499984740745262"/>
      <name val="メイリオ"/>
      <family val="2"/>
      <scheme val="minor"/>
    </font>
    <font>
      <b/>
      <sz val="11"/>
      <color theme="1" tint="0.499984740745262"/>
      <name val="メイリオ"/>
      <family val="2"/>
      <scheme val="minor"/>
    </font>
    <font>
      <sz val="10"/>
      <color theme="1" tint="0.499984740745262"/>
      <name val="Arial"/>
      <family val="2"/>
    </font>
    <font>
      <sz val="9"/>
      <name val="メイリオ"/>
      <family val="2"/>
      <scheme val="minor"/>
    </font>
    <font>
      <sz val="8"/>
      <color theme="0"/>
      <name val="メイリオ"/>
      <family val="2"/>
      <scheme val="minor"/>
    </font>
    <font>
      <sz val="11"/>
      <name val="メイリオ"/>
      <family val="2"/>
      <scheme val="minor"/>
    </font>
    <font>
      <u/>
      <sz val="11"/>
      <color indexed="12"/>
      <name val="Arial"/>
      <family val="2"/>
    </font>
    <font>
      <sz val="11"/>
      <color theme="1"/>
      <name val="メイリオ"/>
      <charset val="134"/>
      <scheme val="minor"/>
    </font>
    <font>
      <sz val="6"/>
      <name val="メイリオ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12">
    <xf numFmtId="0" fontId="0" fillId="0" borderId="0"/>
    <xf numFmtId="0" fontId="18" fillId="0" borderId="5" applyFill="0">
      <alignment horizontal="left" vertical="center" indent="2"/>
    </xf>
    <xf numFmtId="9" fontId="18" fillId="0" borderId="0" applyFont="0" applyFill="0" applyBorder="0" applyAlignment="0" applyProtection="0"/>
    <xf numFmtId="178" fontId="18" fillId="0" borderId="5" applyFill="0">
      <alignment horizontal="center" vertical="center"/>
    </xf>
    <xf numFmtId="0" fontId="6" fillId="0" borderId="0" applyNumberFormat="0" applyFill="0" applyProtection="0">
      <alignment vertical="top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18" fillId="0" borderId="5" applyFill="0">
      <alignment horizontal="center" vertical="center"/>
    </xf>
    <xf numFmtId="0" fontId="6" fillId="0" borderId="0" applyNumberFormat="0" applyFill="0" applyAlignment="0" applyProtection="0"/>
    <xf numFmtId="0" fontId="18" fillId="0" borderId="0" applyNumberFormat="0" applyFill="0" applyProtection="0">
      <alignment horizontal="right" indent="1"/>
    </xf>
    <xf numFmtId="177" fontId="18" fillId="0" borderId="2">
      <alignment horizontal="center" vertical="center"/>
    </xf>
    <xf numFmtId="0" fontId="2" fillId="0" borderId="0"/>
  </cellStyleXfs>
  <cellXfs count="52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0" xfId="11"/>
    <xf numFmtId="0" fontId="0" fillId="0" borderId="0" xfId="0" applyAlignment="1">
      <alignment horizontal="center"/>
    </xf>
    <xf numFmtId="0" fontId="3" fillId="0" borderId="0" xfId="11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11" applyAlignment="1">
      <alignment wrapText="1"/>
    </xf>
    <xf numFmtId="0" fontId="6" fillId="0" borderId="0" xfId="8"/>
    <xf numFmtId="0" fontId="7" fillId="0" borderId="0" xfId="6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4">
      <alignment vertical="top"/>
    </xf>
    <xf numFmtId="177" fontId="18" fillId="0" borderId="2" xfId="10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0" xfId="11" applyFill="1" applyAlignment="1">
      <alignment wrapText="1"/>
    </xf>
    <xf numFmtId="0" fontId="9" fillId="3" borderId="4" xfId="0" applyFont="1" applyFill="1" applyBorder="1" applyAlignment="1">
      <alignment horizontal="left" vertical="center" indent="1"/>
    </xf>
    <xf numFmtId="0" fontId="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4" borderId="5" xfId="0" applyFont="1" applyFill="1" applyBorder="1" applyAlignment="1">
      <alignment horizontal="left" vertical="center" indent="1"/>
    </xf>
    <xf numFmtId="0" fontId="0" fillId="4" borderId="5" xfId="7" applyFont="1" applyFill="1">
      <alignment horizontal="center" vertical="center"/>
    </xf>
    <xf numFmtId="9" fontId="0" fillId="4" borderId="5" xfId="2" applyFont="1" applyFill="1" applyBorder="1" applyAlignment="1">
      <alignment horizontal="center" vertical="center"/>
    </xf>
    <xf numFmtId="178" fontId="0" fillId="4" borderId="5" xfId="0" applyNumberFormat="1" applyFont="1" applyFill="1" applyBorder="1" applyAlignment="1">
      <alignment horizontal="center" vertical="center"/>
    </xf>
    <xf numFmtId="0" fontId="2" fillId="2" borderId="5" xfId="1" applyFont="1" applyFill="1">
      <alignment horizontal="left" vertical="center" indent="2"/>
    </xf>
    <xf numFmtId="0" fontId="2" fillId="2" borderId="5" xfId="7" applyFont="1" applyFill="1">
      <alignment horizontal="center" vertical="center"/>
    </xf>
    <xf numFmtId="9" fontId="0" fillId="2" borderId="5" xfId="2" applyFont="1" applyFill="1" applyBorder="1" applyAlignment="1">
      <alignment horizontal="center" vertical="center"/>
    </xf>
    <xf numFmtId="178" fontId="2" fillId="2" borderId="5" xfId="3" applyFont="1" applyFill="1">
      <alignment horizontal="center" vertical="center"/>
    </xf>
    <xf numFmtId="0" fontId="2" fillId="2" borderId="5" xfId="1" applyFont="1" applyFill="1" applyAlignment="1">
      <alignment horizontal="left" vertical="center" wrapText="1" indent="2"/>
    </xf>
    <xf numFmtId="9" fontId="0" fillId="2" borderId="5" xfId="2" applyNumberFormat="1" applyFont="1" applyFill="1" applyBorder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13" fillId="0" borderId="0" xfId="5" applyFont="1" applyProtection="1">
      <alignment vertical="top"/>
    </xf>
    <xf numFmtId="179" fontId="14" fillId="5" borderId="7" xfId="0" applyNumberFormat="1" applyFont="1" applyFill="1" applyBorder="1" applyAlignment="1">
      <alignment horizontal="center" vertical="center"/>
    </xf>
    <xf numFmtId="179" fontId="14" fillId="5" borderId="0" xfId="0" applyNumberFormat="1" applyFont="1" applyFill="1" applyAlignment="1">
      <alignment horizontal="center" vertical="center"/>
    </xf>
    <xf numFmtId="0" fontId="15" fillId="2" borderId="8" xfId="0" applyFont="1" applyFill="1" applyBorder="1" applyAlignment="1">
      <alignment horizontal="center" vertical="center" shrinkToFit="1"/>
    </xf>
    <xf numFmtId="0" fontId="0" fillId="0" borderId="9" xfId="0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179" fontId="14" fillId="5" borderId="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180" fontId="2" fillId="2" borderId="5" xfId="3" applyNumberFormat="1" applyFont="1" applyFill="1">
      <alignment horizontal="center" vertical="center"/>
    </xf>
    <xf numFmtId="176" fontId="0" fillId="5" borderId="6" xfId="0" applyNumberFormat="1" applyFill="1" applyBorder="1" applyAlignment="1">
      <alignment horizontal="left" vertical="center" wrapText="1" indent="1"/>
    </xf>
    <xf numFmtId="176" fontId="0" fillId="5" borderId="4" xfId="0" applyNumberFormat="1" applyFill="1" applyBorder="1" applyAlignment="1">
      <alignment horizontal="left" vertical="center" wrapText="1" indent="1"/>
    </xf>
    <xf numFmtId="176" fontId="0" fillId="5" borderId="10" xfId="0" applyNumberFormat="1" applyFill="1" applyBorder="1" applyAlignment="1">
      <alignment horizontal="left" vertical="center" wrapText="1" indent="1"/>
    </xf>
    <xf numFmtId="0" fontId="0" fillId="0" borderId="3" xfId="0" applyBorder="1"/>
    <xf numFmtId="0" fontId="4" fillId="0" borderId="0" xfId="6" applyFont="1" applyAlignment="1">
      <alignment horizontal="left" vertical="center"/>
    </xf>
    <xf numFmtId="0" fontId="18" fillId="0" borderId="0" xfId="9">
      <alignment horizontal="right" indent="1"/>
    </xf>
    <xf numFmtId="0" fontId="18" fillId="0" borderId="1" xfId="9" applyBorder="1">
      <alignment horizontal="right" indent="1"/>
    </xf>
    <xf numFmtId="180" fontId="18" fillId="0" borderId="2" xfId="10" applyNumberFormat="1">
      <alignment horizontal="center" vertical="center"/>
    </xf>
  </cellXfs>
  <cellStyles count="12">
    <cellStyle name="Date" xfId="3"/>
    <cellStyle name="Name" xfId="7"/>
    <cellStyle name="Project Start" xfId="10"/>
    <cellStyle name="Task" xfId="1"/>
    <cellStyle name="zHiddenText" xfId="11"/>
    <cellStyle name="タイトル" xfId="6" builtinId="15"/>
    <cellStyle name="パーセント" xfId="2" builtinId="5"/>
    <cellStyle name="ハイパーリンク" xfId="5" builtinId="8"/>
    <cellStyle name="標準" xfId="0" builtinId="0"/>
    <cellStyle name="見出し 1" xfId="8" builtinId="16"/>
    <cellStyle name="見出し 2" xfId="4" builtinId="17"/>
    <cellStyle name="見出し 3" xfId="9" builtinId="18"/>
  </cellStyles>
  <dxfs count="12">
    <dxf>
      <fill>
        <patternFill patternType="solid">
          <bgColor rgb="FFFF0000"/>
        </patternFill>
      </fill>
      <border>
        <left/>
        <right/>
      </border>
    </dxf>
    <dxf>
      <fill>
        <patternFill patternType="solid">
          <bgColor rgb="FF00B050"/>
        </patternFill>
      </fill>
    </dxf>
    <dxf>
      <border>
        <left style="thin">
          <color rgb="FFC00000"/>
        </left>
        <right style="thin">
          <color rgb="FFC00000"/>
        </right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1454817346722"/>
        </top>
      </border>
    </dxf>
    <dxf>
      <fill>
        <patternFill patternType="solid">
          <bgColor theme="0" tint="-4.9989318521683403E-2"/>
        </patternFill>
      </fill>
      <border>
        <top style="thin">
          <color theme="4" tint="0.399914548173467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559435</xdr:colOff>
      <xdr:row>1</xdr:row>
      <xdr:rowOff>106680</xdr:rowOff>
    </xdr:from>
    <xdr:to>
      <xdr:col>3</xdr:col>
      <xdr:colOff>697865</xdr:colOff>
      <xdr:row>1</xdr:row>
      <xdr:rowOff>220980</xdr:rowOff>
    </xdr:to>
    <xdr:sp macro="" textlink="">
      <xdr:nvSpPr>
        <xdr:cNvPr id="3" name="Flowchart: Merge 2"/>
        <xdr:cNvSpPr/>
      </xdr:nvSpPr>
      <xdr:spPr>
        <a:xfrm>
          <a:off x="5154295" y="487680"/>
          <a:ext cx="138430" cy="114300"/>
        </a:xfrm>
        <a:prstGeom prst="flowChartMerg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41</xdr:col>
      <xdr:colOff>8890</xdr:colOff>
      <xdr:row>13</xdr:row>
      <xdr:rowOff>175260</xdr:rowOff>
    </xdr:from>
    <xdr:to>
      <xdr:col>41</xdr:col>
      <xdr:colOff>147320</xdr:colOff>
      <xdr:row>13</xdr:row>
      <xdr:rowOff>289560</xdr:rowOff>
    </xdr:to>
    <xdr:sp macro="" textlink="">
      <xdr:nvSpPr>
        <xdr:cNvPr id="4" name="Flowchart: Merge 3"/>
        <xdr:cNvSpPr/>
      </xdr:nvSpPr>
      <xdr:spPr>
        <a:xfrm>
          <a:off x="13844905" y="5071110"/>
          <a:ext cx="138430" cy="114300"/>
        </a:xfrm>
        <a:prstGeom prst="flowChartMerg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52</xdr:col>
      <xdr:colOff>24130</xdr:colOff>
      <xdr:row>14</xdr:row>
      <xdr:rowOff>251460</xdr:rowOff>
    </xdr:from>
    <xdr:to>
      <xdr:col>52</xdr:col>
      <xdr:colOff>162560</xdr:colOff>
      <xdr:row>14</xdr:row>
      <xdr:rowOff>365760</xdr:rowOff>
    </xdr:to>
    <xdr:sp macro="" textlink="">
      <xdr:nvSpPr>
        <xdr:cNvPr id="5" name="Flowchart: Merge 4"/>
        <xdr:cNvSpPr/>
      </xdr:nvSpPr>
      <xdr:spPr>
        <a:xfrm>
          <a:off x="15801975" y="6290310"/>
          <a:ext cx="138430" cy="114300"/>
        </a:xfrm>
        <a:prstGeom prst="flowChartMerg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56</xdr:col>
      <xdr:colOff>24130</xdr:colOff>
      <xdr:row>20</xdr:row>
      <xdr:rowOff>213360</xdr:rowOff>
    </xdr:from>
    <xdr:to>
      <xdr:col>56</xdr:col>
      <xdr:colOff>162560</xdr:colOff>
      <xdr:row>20</xdr:row>
      <xdr:rowOff>327660</xdr:rowOff>
    </xdr:to>
    <xdr:sp macro="" textlink="">
      <xdr:nvSpPr>
        <xdr:cNvPr id="6" name="Flowchart: Merge 5"/>
        <xdr:cNvSpPr/>
      </xdr:nvSpPr>
      <xdr:spPr>
        <a:xfrm>
          <a:off x="16508095" y="7014210"/>
          <a:ext cx="138430" cy="114300"/>
        </a:xfrm>
        <a:prstGeom prst="flowChartMerg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65</xdr:col>
      <xdr:colOff>16510</xdr:colOff>
      <xdr:row>24</xdr:row>
      <xdr:rowOff>152400</xdr:rowOff>
    </xdr:from>
    <xdr:to>
      <xdr:col>65</xdr:col>
      <xdr:colOff>154940</xdr:colOff>
      <xdr:row>24</xdr:row>
      <xdr:rowOff>266700</xdr:rowOff>
    </xdr:to>
    <xdr:sp macro="" textlink="">
      <xdr:nvSpPr>
        <xdr:cNvPr id="7" name="Flowchart: Merge 6"/>
        <xdr:cNvSpPr/>
      </xdr:nvSpPr>
      <xdr:spPr>
        <a:xfrm>
          <a:off x="18089245" y="8477250"/>
          <a:ext cx="138430" cy="114300"/>
        </a:xfrm>
        <a:prstGeom prst="flowChartMerg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erve">
      <a:dk1>
        <a:sysClr val="windowText" lastClr="000000"/>
      </a:dk1>
      <a:lt1>
        <a:sysClr val="window" lastClr="FFFFFF"/>
      </a:lt1>
      <a:dk2>
        <a:srgbClr val="666666"/>
      </a:dk2>
      <a:lt2>
        <a:srgbClr val="D2D2D2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FF79C2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9"/>
  <sheetViews>
    <sheetView showGridLines="0" tabSelected="1" workbookViewId="0">
      <pane ySplit="7" topLeftCell="A8" activePane="bottomLeft" state="frozen"/>
      <selection pane="bottomLeft" activeCell="B3" sqref="B3"/>
    </sheetView>
  </sheetViews>
  <sheetFormatPr defaultColWidth="9" defaultRowHeight="18.75" x14ac:dyDescent="0.45"/>
  <cols>
    <col min="1" max="1" width="2.6640625" style="4" customWidth="1"/>
    <col min="2" max="2" width="56.5546875" customWidth="1"/>
    <col min="3" max="3" width="13.44140625" bestFit="1" customWidth="1"/>
    <col min="4" max="4" width="9" bestFit="1" customWidth="1"/>
    <col min="5" max="5" width="11.6640625" style="5" bestFit="1" customWidth="1"/>
    <col min="6" max="8" width="11.21875" bestFit="1" customWidth="1"/>
    <col min="9" max="9" width="2.6640625" customWidth="1"/>
    <col min="10" max="10" width="5.109375" bestFit="1" customWidth="1"/>
    <col min="11" max="23" width="2.88671875" bestFit="1" customWidth="1"/>
    <col min="24" max="24" width="2.109375" bestFit="1" customWidth="1"/>
    <col min="25" max="25" width="2.33203125" bestFit="1" customWidth="1"/>
    <col min="26" max="26" width="2.109375" bestFit="1" customWidth="1"/>
    <col min="27" max="27" width="2.5546875" customWidth="1"/>
    <col min="28" max="31" width="2.109375" bestFit="1" customWidth="1"/>
    <col min="32" max="32" width="2.33203125" bestFit="1" customWidth="1"/>
    <col min="33" max="53" width="2.88671875" bestFit="1" customWidth="1"/>
    <col min="54" max="54" width="2.109375" bestFit="1" customWidth="1"/>
    <col min="55" max="55" width="2.5546875" customWidth="1"/>
    <col min="56" max="59" width="2.109375" bestFit="1" customWidth="1"/>
    <col min="60" max="60" width="2.33203125" bestFit="1" customWidth="1"/>
    <col min="61" max="61" width="2.109375" bestFit="1" customWidth="1"/>
    <col min="62" max="62" width="2.5546875" customWidth="1"/>
    <col min="63" max="66" width="2.88671875" bestFit="1" customWidth="1"/>
    <col min="71" max="72" width="10.33203125"/>
  </cols>
  <sheetData>
    <row r="1" spans="1:66" s="1" customFormat="1" ht="28.5" x14ac:dyDescent="0.65">
      <c r="A1" s="6"/>
      <c r="B1" s="48" t="s">
        <v>0</v>
      </c>
      <c r="C1" s="48"/>
      <c r="D1" s="48"/>
      <c r="E1" s="7"/>
      <c r="F1" s="8"/>
      <c r="G1" s="8"/>
      <c r="H1" s="8"/>
      <c r="J1" s="31"/>
      <c r="K1" s="32"/>
    </row>
    <row r="2" spans="1:66" ht="35.25" x14ac:dyDescent="0.8">
      <c r="A2" s="9"/>
      <c r="B2" s="10" t="s">
        <v>1</v>
      </c>
      <c r="C2" t="s">
        <v>2</v>
      </c>
      <c r="D2" s="11"/>
      <c r="E2" s="12" t="s">
        <v>3</v>
      </c>
      <c r="F2" s="13"/>
      <c r="G2" s="13"/>
      <c r="H2" s="13"/>
      <c r="J2" s="33"/>
      <c r="K2" s="34"/>
    </row>
    <row r="3" spans="1:66" ht="22.5" x14ac:dyDescent="0.5">
      <c r="B3" s="10" t="s">
        <v>4</v>
      </c>
      <c r="C3" t="s">
        <v>5</v>
      </c>
      <c r="K3" s="35"/>
    </row>
    <row r="4" spans="1:66" ht="22.5" x14ac:dyDescent="0.45">
      <c r="B4" s="14"/>
      <c r="C4" s="49" t="s">
        <v>6</v>
      </c>
      <c r="D4" s="50"/>
      <c r="E4" s="51">
        <v>44125</v>
      </c>
      <c r="F4" s="51"/>
      <c r="G4" s="15"/>
      <c r="H4" s="15"/>
    </row>
    <row r="5" spans="1:66" x14ac:dyDescent="0.45">
      <c r="A5" s="9"/>
      <c r="C5" s="49" t="s">
        <v>7</v>
      </c>
      <c r="D5" s="50"/>
      <c r="E5" s="16">
        <v>1</v>
      </c>
      <c r="K5" s="44">
        <f>K6</f>
        <v>44123</v>
      </c>
      <c r="L5" s="45"/>
      <c r="M5" s="45"/>
      <c r="N5" s="45"/>
      <c r="O5" s="45"/>
      <c r="P5" s="45"/>
      <c r="Q5" s="46"/>
      <c r="R5" s="44">
        <f>R6</f>
        <v>44130</v>
      </c>
      <c r="S5" s="45"/>
      <c r="T5" s="45"/>
      <c r="U5" s="45"/>
      <c r="V5" s="45"/>
      <c r="W5" s="45"/>
      <c r="X5" s="46"/>
      <c r="Y5" s="44">
        <f>Y6</f>
        <v>44137</v>
      </c>
      <c r="Z5" s="45"/>
      <c r="AA5" s="45"/>
      <c r="AB5" s="45"/>
      <c r="AC5" s="45"/>
      <c r="AD5" s="45"/>
      <c r="AE5" s="46"/>
      <c r="AF5" s="44">
        <f>AF6</f>
        <v>44144</v>
      </c>
      <c r="AG5" s="45"/>
      <c r="AH5" s="45"/>
      <c r="AI5" s="45"/>
      <c r="AJ5" s="45"/>
      <c r="AK5" s="45"/>
      <c r="AL5" s="46"/>
      <c r="AM5" s="44">
        <f>AM6</f>
        <v>44151</v>
      </c>
      <c r="AN5" s="45"/>
      <c r="AO5" s="45"/>
      <c r="AP5" s="45"/>
      <c r="AQ5" s="45"/>
      <c r="AR5" s="45"/>
      <c r="AS5" s="46"/>
      <c r="AT5" s="44">
        <f>AT6</f>
        <v>44158</v>
      </c>
      <c r="AU5" s="45"/>
      <c r="AV5" s="45"/>
      <c r="AW5" s="45"/>
      <c r="AX5" s="45"/>
      <c r="AY5" s="45"/>
      <c r="AZ5" s="46"/>
      <c r="BA5" s="44">
        <f>BA6</f>
        <v>44165</v>
      </c>
      <c r="BB5" s="45"/>
      <c r="BC5" s="45"/>
      <c r="BD5" s="45"/>
      <c r="BE5" s="45"/>
      <c r="BF5" s="45"/>
      <c r="BG5" s="46"/>
      <c r="BH5" s="44">
        <f>BH6</f>
        <v>44172</v>
      </c>
      <c r="BI5" s="45"/>
      <c r="BJ5" s="45"/>
      <c r="BK5" s="45"/>
      <c r="BL5" s="45"/>
      <c r="BM5" s="45"/>
      <c r="BN5" s="46"/>
    </row>
    <row r="6" spans="1:66" x14ac:dyDescent="0.45">
      <c r="A6" s="9"/>
      <c r="B6" s="47"/>
      <c r="C6" s="47"/>
      <c r="D6" s="47"/>
      <c r="E6" s="47"/>
      <c r="F6" s="47"/>
      <c r="G6" s="47"/>
      <c r="H6" s="47"/>
      <c r="I6" s="47"/>
      <c r="K6" s="36">
        <f>Project_Start-WEEKDAY(Project_Start,1)+2+7*(Display_Week-1)</f>
        <v>44123</v>
      </c>
      <c r="L6" s="37">
        <f>K6+1</f>
        <v>44124</v>
      </c>
      <c r="M6" s="37">
        <f t="shared" ref="M6:BB6" si="0">L6+1</f>
        <v>44125</v>
      </c>
      <c r="N6" s="37">
        <f t="shared" si="0"/>
        <v>44126</v>
      </c>
      <c r="O6" s="37">
        <f t="shared" si="0"/>
        <v>44127</v>
      </c>
      <c r="P6" s="37">
        <f t="shared" si="0"/>
        <v>44128</v>
      </c>
      <c r="Q6" s="41">
        <f t="shared" si="0"/>
        <v>44129</v>
      </c>
      <c r="R6" s="36">
        <f t="shared" si="0"/>
        <v>44130</v>
      </c>
      <c r="S6" s="37">
        <f t="shared" si="0"/>
        <v>44131</v>
      </c>
      <c r="T6" s="37">
        <f t="shared" si="0"/>
        <v>44132</v>
      </c>
      <c r="U6" s="37">
        <f t="shared" si="0"/>
        <v>44133</v>
      </c>
      <c r="V6" s="37">
        <f t="shared" si="0"/>
        <v>44134</v>
      </c>
      <c r="W6" s="37">
        <f t="shared" si="0"/>
        <v>44135</v>
      </c>
      <c r="X6" s="41">
        <f t="shared" si="0"/>
        <v>44136</v>
      </c>
      <c r="Y6" s="36">
        <f t="shared" si="0"/>
        <v>44137</v>
      </c>
      <c r="Z6" s="37">
        <f t="shared" si="0"/>
        <v>44138</v>
      </c>
      <c r="AA6" s="37">
        <f t="shared" si="0"/>
        <v>44139</v>
      </c>
      <c r="AB6" s="37">
        <f t="shared" si="0"/>
        <v>44140</v>
      </c>
      <c r="AC6" s="37">
        <f t="shared" si="0"/>
        <v>44141</v>
      </c>
      <c r="AD6" s="37">
        <f t="shared" si="0"/>
        <v>44142</v>
      </c>
      <c r="AE6" s="41">
        <f t="shared" si="0"/>
        <v>44143</v>
      </c>
      <c r="AF6" s="36">
        <f t="shared" si="0"/>
        <v>44144</v>
      </c>
      <c r="AG6" s="37">
        <f t="shared" si="0"/>
        <v>44145</v>
      </c>
      <c r="AH6" s="37">
        <f t="shared" si="0"/>
        <v>44146</v>
      </c>
      <c r="AI6" s="37">
        <f t="shared" si="0"/>
        <v>44147</v>
      </c>
      <c r="AJ6" s="37">
        <f t="shared" si="0"/>
        <v>44148</v>
      </c>
      <c r="AK6" s="37">
        <f t="shared" si="0"/>
        <v>44149</v>
      </c>
      <c r="AL6" s="41">
        <f t="shared" si="0"/>
        <v>44150</v>
      </c>
      <c r="AM6" s="36">
        <f t="shared" si="0"/>
        <v>44151</v>
      </c>
      <c r="AN6" s="37">
        <f t="shared" si="0"/>
        <v>44152</v>
      </c>
      <c r="AO6" s="37">
        <f t="shared" si="0"/>
        <v>44153</v>
      </c>
      <c r="AP6" s="37">
        <f t="shared" si="0"/>
        <v>44154</v>
      </c>
      <c r="AQ6" s="37">
        <f t="shared" si="0"/>
        <v>44155</v>
      </c>
      <c r="AR6" s="37">
        <f t="shared" si="0"/>
        <v>44156</v>
      </c>
      <c r="AS6" s="41">
        <f t="shared" si="0"/>
        <v>44157</v>
      </c>
      <c r="AT6" s="36">
        <f t="shared" si="0"/>
        <v>44158</v>
      </c>
      <c r="AU6" s="37">
        <f t="shared" si="0"/>
        <v>44159</v>
      </c>
      <c r="AV6" s="37">
        <f t="shared" si="0"/>
        <v>44160</v>
      </c>
      <c r="AW6" s="37">
        <f t="shared" si="0"/>
        <v>44161</v>
      </c>
      <c r="AX6" s="37">
        <f t="shared" si="0"/>
        <v>44162</v>
      </c>
      <c r="AY6" s="37">
        <f t="shared" si="0"/>
        <v>44163</v>
      </c>
      <c r="AZ6" s="41">
        <f t="shared" si="0"/>
        <v>44164</v>
      </c>
      <c r="BA6" s="36">
        <f t="shared" si="0"/>
        <v>44165</v>
      </c>
      <c r="BB6" s="37">
        <f t="shared" si="0"/>
        <v>44166</v>
      </c>
      <c r="BC6" s="37">
        <f t="shared" ref="BC6:BI6" si="1">BB6+1</f>
        <v>44167</v>
      </c>
      <c r="BD6" s="37">
        <f t="shared" si="1"/>
        <v>44168</v>
      </c>
      <c r="BE6" s="37">
        <f t="shared" si="1"/>
        <v>44169</v>
      </c>
      <c r="BF6" s="37">
        <f t="shared" si="1"/>
        <v>44170</v>
      </c>
      <c r="BG6" s="41">
        <f t="shared" si="1"/>
        <v>44171</v>
      </c>
      <c r="BH6" s="36">
        <f t="shared" si="1"/>
        <v>44172</v>
      </c>
      <c r="BI6" s="37">
        <f t="shared" si="1"/>
        <v>44173</v>
      </c>
      <c r="BJ6" s="37">
        <f t="shared" ref="BJ6:BN6" si="2">BI6+1</f>
        <v>44174</v>
      </c>
      <c r="BK6" s="37">
        <f t="shared" si="2"/>
        <v>44175</v>
      </c>
      <c r="BL6" s="37">
        <f t="shared" si="2"/>
        <v>44176</v>
      </c>
      <c r="BM6" s="37">
        <f t="shared" si="2"/>
        <v>44177</v>
      </c>
      <c r="BN6" s="41">
        <f t="shared" si="2"/>
        <v>44178</v>
      </c>
    </row>
    <row r="7" spans="1:66" s="2" customFormat="1" ht="30" x14ac:dyDescent="0.45">
      <c r="A7" s="17"/>
      <c r="B7" s="18" t="s">
        <v>8</v>
      </c>
      <c r="C7" s="19" t="s">
        <v>9</v>
      </c>
      <c r="D7" s="19" t="s">
        <v>10</v>
      </c>
      <c r="E7" s="19" t="s">
        <v>11</v>
      </c>
      <c r="F7" s="19" t="s">
        <v>12</v>
      </c>
      <c r="G7" s="19" t="s">
        <v>13</v>
      </c>
      <c r="H7" s="19" t="s">
        <v>14</v>
      </c>
      <c r="I7" s="19"/>
      <c r="J7" s="19" t="s">
        <v>15</v>
      </c>
      <c r="K7" s="38" t="str">
        <f t="shared" ref="K7" si="3">LEFT(TEXT(K6,"ddd"),1)</f>
        <v>M</v>
      </c>
      <c r="L7" s="38" t="str">
        <f t="shared" ref="L7:AT7" si="4">LEFT(TEXT(L6,"ddd"),1)</f>
        <v>T</v>
      </c>
      <c r="M7" s="38" t="str">
        <f t="shared" si="4"/>
        <v>W</v>
      </c>
      <c r="N7" s="38" t="str">
        <f t="shared" si="4"/>
        <v>T</v>
      </c>
      <c r="O7" s="38" t="str">
        <f t="shared" si="4"/>
        <v>F</v>
      </c>
      <c r="P7" s="38" t="str">
        <f t="shared" si="4"/>
        <v>S</v>
      </c>
      <c r="Q7" s="38" t="str">
        <f t="shared" si="4"/>
        <v>S</v>
      </c>
      <c r="R7" s="38" t="str">
        <f t="shared" si="4"/>
        <v>M</v>
      </c>
      <c r="S7" s="38" t="str">
        <f t="shared" si="4"/>
        <v>T</v>
      </c>
      <c r="T7" s="38" t="str">
        <f t="shared" si="4"/>
        <v>W</v>
      </c>
      <c r="U7" s="38" t="str">
        <f t="shared" si="4"/>
        <v>T</v>
      </c>
      <c r="V7" s="38" t="str">
        <f t="shared" si="4"/>
        <v>F</v>
      </c>
      <c r="W7" s="38" t="str">
        <f t="shared" si="4"/>
        <v>S</v>
      </c>
      <c r="X7" s="38" t="str">
        <f t="shared" si="4"/>
        <v>S</v>
      </c>
      <c r="Y7" s="38" t="str">
        <f t="shared" si="4"/>
        <v>M</v>
      </c>
      <c r="Z7" s="38" t="str">
        <f t="shared" si="4"/>
        <v>T</v>
      </c>
      <c r="AA7" s="38" t="str">
        <f t="shared" si="4"/>
        <v>W</v>
      </c>
      <c r="AB7" s="38" t="str">
        <f t="shared" si="4"/>
        <v>T</v>
      </c>
      <c r="AC7" s="38" t="str">
        <f t="shared" si="4"/>
        <v>F</v>
      </c>
      <c r="AD7" s="38" t="str">
        <f t="shared" si="4"/>
        <v>S</v>
      </c>
      <c r="AE7" s="38" t="str">
        <f t="shared" si="4"/>
        <v>S</v>
      </c>
      <c r="AF7" s="38" t="str">
        <f t="shared" si="4"/>
        <v>M</v>
      </c>
      <c r="AG7" s="38" t="str">
        <f t="shared" si="4"/>
        <v>T</v>
      </c>
      <c r="AH7" s="38" t="str">
        <f t="shared" si="4"/>
        <v>W</v>
      </c>
      <c r="AI7" s="38" t="str">
        <f t="shared" si="4"/>
        <v>T</v>
      </c>
      <c r="AJ7" s="38" t="str">
        <f t="shared" si="4"/>
        <v>F</v>
      </c>
      <c r="AK7" s="38" t="str">
        <f t="shared" si="4"/>
        <v>S</v>
      </c>
      <c r="AL7" s="38" t="str">
        <f t="shared" si="4"/>
        <v>S</v>
      </c>
      <c r="AM7" s="38" t="str">
        <f t="shared" si="4"/>
        <v>M</v>
      </c>
      <c r="AN7" s="38" t="str">
        <f t="shared" si="4"/>
        <v>T</v>
      </c>
      <c r="AO7" s="38" t="str">
        <f t="shared" si="4"/>
        <v>W</v>
      </c>
      <c r="AP7" s="38" t="str">
        <f t="shared" si="4"/>
        <v>T</v>
      </c>
      <c r="AQ7" s="38" t="str">
        <f t="shared" si="4"/>
        <v>F</v>
      </c>
      <c r="AR7" s="38" t="str">
        <f t="shared" si="4"/>
        <v>S</v>
      </c>
      <c r="AS7" s="38" t="str">
        <f t="shared" si="4"/>
        <v>S</v>
      </c>
      <c r="AT7" s="38" t="str">
        <f t="shared" si="4"/>
        <v>M</v>
      </c>
      <c r="AU7" s="38" t="str">
        <f t="shared" ref="AU7:BN7" si="5">LEFT(TEXT(AU6,"ddd"),1)</f>
        <v>T</v>
      </c>
      <c r="AV7" s="38" t="str">
        <f t="shared" si="5"/>
        <v>W</v>
      </c>
      <c r="AW7" s="38" t="str">
        <f t="shared" si="5"/>
        <v>T</v>
      </c>
      <c r="AX7" s="38" t="str">
        <f t="shared" si="5"/>
        <v>F</v>
      </c>
      <c r="AY7" s="38" t="str">
        <f t="shared" si="5"/>
        <v>S</v>
      </c>
      <c r="AZ7" s="38" t="str">
        <f t="shared" si="5"/>
        <v>S</v>
      </c>
      <c r="BA7" s="38" t="str">
        <f t="shared" si="5"/>
        <v>M</v>
      </c>
      <c r="BB7" s="38" t="str">
        <f t="shared" si="5"/>
        <v>T</v>
      </c>
      <c r="BC7" s="38" t="str">
        <f t="shared" si="5"/>
        <v>W</v>
      </c>
      <c r="BD7" s="38" t="str">
        <f t="shared" si="5"/>
        <v>T</v>
      </c>
      <c r="BE7" s="38" t="str">
        <f t="shared" si="5"/>
        <v>F</v>
      </c>
      <c r="BF7" s="38" t="str">
        <f t="shared" si="5"/>
        <v>S</v>
      </c>
      <c r="BG7" s="38" t="str">
        <f t="shared" si="5"/>
        <v>S</v>
      </c>
      <c r="BH7" s="38" t="str">
        <f t="shared" si="5"/>
        <v>M</v>
      </c>
      <c r="BI7" s="38" t="str">
        <f t="shared" si="5"/>
        <v>T</v>
      </c>
      <c r="BJ7" s="38" t="str">
        <f t="shared" si="5"/>
        <v>W</v>
      </c>
      <c r="BK7" s="38" t="str">
        <f t="shared" si="5"/>
        <v>T</v>
      </c>
      <c r="BL7" s="38" t="str">
        <f t="shared" si="5"/>
        <v>F</v>
      </c>
      <c r="BM7" s="38" t="str">
        <f t="shared" si="5"/>
        <v>S</v>
      </c>
      <c r="BN7" s="38" t="str">
        <f t="shared" si="5"/>
        <v>S</v>
      </c>
    </row>
    <row r="8" spans="1:66" x14ac:dyDescent="0.45">
      <c r="C8" s="20"/>
      <c r="E8"/>
      <c r="J8" t="str">
        <f t="shared" ref="J8:J19" si="6">IF(OR(ISBLANK(task_start),ISBLANK(task_end)),"",task_end-task_start+1)</f>
        <v/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</row>
    <row r="9" spans="1:66" s="3" customFormat="1" x14ac:dyDescent="0.45">
      <c r="A9" s="9"/>
      <c r="B9" s="21" t="s">
        <v>16</v>
      </c>
      <c r="C9" s="22"/>
      <c r="D9" s="23"/>
      <c r="E9" s="24"/>
      <c r="F9" s="24"/>
      <c r="G9" s="24"/>
      <c r="H9" s="24"/>
      <c r="I9" s="40"/>
      <c r="J9" s="40" t="str">
        <f t="shared" si="6"/>
        <v/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</row>
    <row r="10" spans="1:66" s="3" customFormat="1" x14ac:dyDescent="0.45">
      <c r="A10" s="9"/>
      <c r="B10" s="25" t="s">
        <v>17</v>
      </c>
      <c r="C10" s="26" t="s">
        <v>18</v>
      </c>
      <c r="D10" s="27">
        <v>1</v>
      </c>
      <c r="E10" s="43">
        <f>Project_Start</f>
        <v>44125</v>
      </c>
      <c r="F10" s="43">
        <v>44126</v>
      </c>
      <c r="G10" s="43">
        <v>44126</v>
      </c>
      <c r="H10" s="43">
        <v>44126</v>
      </c>
      <c r="I10" s="40"/>
      <c r="J10" s="40">
        <f t="shared" si="6"/>
        <v>2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</row>
    <row r="11" spans="1:66" s="3" customFormat="1" x14ac:dyDescent="0.45">
      <c r="A11" s="9"/>
      <c r="B11" s="25" t="s">
        <v>19</v>
      </c>
      <c r="C11" s="26" t="s">
        <v>18</v>
      </c>
      <c r="D11" s="27">
        <v>1</v>
      </c>
      <c r="E11" s="43">
        <v>44127</v>
      </c>
      <c r="F11" s="43">
        <v>44128</v>
      </c>
      <c r="G11" s="43">
        <v>44127</v>
      </c>
      <c r="H11" s="43">
        <v>44128</v>
      </c>
      <c r="I11" s="40"/>
      <c r="J11" s="40">
        <f t="shared" si="6"/>
        <v>2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42"/>
      <c r="X11" s="42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</row>
    <row r="12" spans="1:66" s="3" customFormat="1" x14ac:dyDescent="0.45">
      <c r="A12" s="4"/>
      <c r="B12" s="29" t="s">
        <v>20</v>
      </c>
      <c r="C12" s="26" t="s">
        <v>18</v>
      </c>
      <c r="D12" s="30">
        <v>1</v>
      </c>
      <c r="E12" s="43">
        <v>44131</v>
      </c>
      <c r="F12" s="43">
        <v>44131</v>
      </c>
      <c r="G12" s="43">
        <v>44131</v>
      </c>
      <c r="H12" s="43">
        <v>44131</v>
      </c>
      <c r="I12" s="40"/>
      <c r="J12" s="40">
        <f t="shared" si="6"/>
        <v>1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</row>
    <row r="13" spans="1:66" s="3" customFormat="1" x14ac:dyDescent="0.45">
      <c r="A13" s="4"/>
      <c r="B13" s="29" t="s">
        <v>21</v>
      </c>
      <c r="C13" s="26" t="s">
        <v>18</v>
      </c>
      <c r="D13" s="27">
        <v>1</v>
      </c>
      <c r="E13" s="43">
        <v>44131</v>
      </c>
      <c r="F13" s="43">
        <v>44133</v>
      </c>
      <c r="G13" s="43">
        <v>44131</v>
      </c>
      <c r="H13" s="43">
        <v>44133</v>
      </c>
      <c r="I13" s="40"/>
      <c r="J13" s="40">
        <f t="shared" si="6"/>
        <v>3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2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</row>
    <row r="14" spans="1:66" s="3" customFormat="1" x14ac:dyDescent="0.45">
      <c r="A14" s="4"/>
      <c r="B14" s="25" t="s">
        <v>22</v>
      </c>
      <c r="C14" s="26" t="s">
        <v>18</v>
      </c>
      <c r="D14" s="27">
        <v>1</v>
      </c>
      <c r="E14" s="43">
        <v>44134</v>
      </c>
      <c r="F14" s="43">
        <v>44138</v>
      </c>
      <c r="G14" s="43">
        <v>44134</v>
      </c>
      <c r="H14" s="43">
        <v>44138</v>
      </c>
      <c r="I14" s="40"/>
      <c r="J14" s="40">
        <f t="shared" si="6"/>
        <v>5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</row>
    <row r="15" spans="1:66" s="3" customFormat="1" x14ac:dyDescent="0.45">
      <c r="A15" s="4"/>
      <c r="B15" s="25" t="s">
        <v>25</v>
      </c>
      <c r="C15" s="26" t="s">
        <v>18</v>
      </c>
      <c r="D15" s="30">
        <v>1</v>
      </c>
      <c r="E15" s="43">
        <v>44139</v>
      </c>
      <c r="F15" s="43">
        <v>44146</v>
      </c>
      <c r="G15" s="43">
        <v>44139</v>
      </c>
      <c r="H15" s="43">
        <v>44146</v>
      </c>
      <c r="I15" s="40"/>
      <c r="J15" s="40">
        <f t="shared" si="6"/>
        <v>8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</row>
    <row r="16" spans="1:66" s="3" customFormat="1" x14ac:dyDescent="0.45">
      <c r="A16" s="4"/>
      <c r="B16" s="25" t="s">
        <v>28</v>
      </c>
      <c r="C16" s="26" t="s">
        <v>18</v>
      </c>
      <c r="D16" s="30">
        <v>1</v>
      </c>
      <c r="E16" s="43">
        <v>44146</v>
      </c>
      <c r="F16" s="43">
        <v>44148</v>
      </c>
      <c r="G16" s="43">
        <v>44146</v>
      </c>
      <c r="H16" s="43">
        <v>44148</v>
      </c>
      <c r="I16" s="40"/>
      <c r="J16" s="40">
        <f t="shared" ref="J16:J25" si="7">IF(OR(ISBLANK(task_start),ISBLANK(task_end)),"",task_end-task_start+1)</f>
        <v>3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</row>
    <row r="17" spans="1:66" s="3" customFormat="1" x14ac:dyDescent="0.45">
      <c r="A17" s="4"/>
      <c r="B17" s="29" t="s">
        <v>23</v>
      </c>
      <c r="C17" s="26" t="s">
        <v>18</v>
      </c>
      <c r="D17" s="27">
        <v>1</v>
      </c>
      <c r="E17" s="43">
        <v>44149</v>
      </c>
      <c r="F17" s="43">
        <v>44151</v>
      </c>
      <c r="G17" s="43">
        <v>44149</v>
      </c>
      <c r="H17" s="43">
        <v>44151</v>
      </c>
      <c r="I17" s="40"/>
      <c r="J17" s="40">
        <f t="shared" si="6"/>
        <v>3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</row>
    <row r="18" spans="1:66" s="3" customFormat="1" x14ac:dyDescent="0.45">
      <c r="A18" s="4"/>
      <c r="B18" s="25" t="s">
        <v>24</v>
      </c>
      <c r="C18" s="26" t="s">
        <v>18</v>
      </c>
      <c r="D18" s="30">
        <v>0.9</v>
      </c>
      <c r="E18" s="43">
        <v>44152</v>
      </c>
      <c r="F18" s="43">
        <v>44154</v>
      </c>
      <c r="G18" s="43">
        <v>44152</v>
      </c>
      <c r="H18" s="43"/>
      <c r="I18" s="40"/>
      <c r="J18" s="40">
        <f t="shared" si="6"/>
        <v>3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</row>
    <row r="19" spans="1:66" s="3" customFormat="1" x14ac:dyDescent="0.45">
      <c r="A19" s="4"/>
      <c r="B19" s="29" t="s">
        <v>26</v>
      </c>
      <c r="C19" s="26" t="s">
        <v>18</v>
      </c>
      <c r="D19" s="30">
        <v>0</v>
      </c>
      <c r="E19" s="43">
        <v>44155</v>
      </c>
      <c r="F19" s="43">
        <v>44158</v>
      </c>
      <c r="G19" s="43"/>
      <c r="H19" s="43"/>
      <c r="I19" s="40"/>
      <c r="J19" s="40">
        <f t="shared" si="6"/>
        <v>4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</row>
    <row r="20" spans="1:66" s="3" customFormat="1" x14ac:dyDescent="0.45">
      <c r="A20" s="4"/>
      <c r="B20" s="29" t="s">
        <v>27</v>
      </c>
      <c r="C20" s="26" t="s">
        <v>18</v>
      </c>
      <c r="D20" s="30">
        <v>0</v>
      </c>
      <c r="E20" s="43">
        <v>44159</v>
      </c>
      <c r="F20" s="43">
        <v>44166</v>
      </c>
      <c r="G20" s="43"/>
      <c r="H20" s="43"/>
      <c r="I20" s="40"/>
      <c r="J20" s="40">
        <f t="shared" si="7"/>
        <v>8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</row>
    <row r="21" spans="1:66" x14ac:dyDescent="0.45">
      <c r="B21" s="25" t="s">
        <v>29</v>
      </c>
      <c r="C21" s="26" t="s">
        <v>18</v>
      </c>
      <c r="D21" s="30">
        <v>0</v>
      </c>
      <c r="E21" s="43">
        <v>44167</v>
      </c>
      <c r="F21" s="43">
        <v>44168</v>
      </c>
      <c r="G21" s="43"/>
      <c r="H21" s="43"/>
      <c r="I21" s="40"/>
      <c r="J21" s="40">
        <f t="shared" si="7"/>
        <v>2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</row>
    <row r="22" spans="1:66" x14ac:dyDescent="0.45">
      <c r="B22" s="29" t="s">
        <v>30</v>
      </c>
      <c r="C22" s="26" t="s">
        <v>18</v>
      </c>
      <c r="D22" s="27">
        <v>0</v>
      </c>
      <c r="E22" s="43">
        <v>44169</v>
      </c>
      <c r="F22" s="43">
        <v>44172</v>
      </c>
      <c r="G22" s="43"/>
      <c r="H22" s="43"/>
      <c r="I22" s="40"/>
      <c r="J22" s="40">
        <f t="shared" si="7"/>
        <v>4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</row>
    <row r="23" spans="1:66" x14ac:dyDescent="0.45">
      <c r="B23" s="25" t="s">
        <v>31</v>
      </c>
      <c r="C23" s="26"/>
      <c r="D23" s="27">
        <v>0</v>
      </c>
      <c r="E23" s="43">
        <v>44173</v>
      </c>
      <c r="F23" s="43">
        <v>44174</v>
      </c>
      <c r="G23" s="43"/>
      <c r="H23" s="43"/>
      <c r="I23" s="40"/>
      <c r="J23" s="40">
        <f t="shared" si="7"/>
        <v>2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</row>
    <row r="24" spans="1:66" x14ac:dyDescent="0.45">
      <c r="B24" s="25" t="s">
        <v>32</v>
      </c>
      <c r="C24" s="26" t="s">
        <v>18</v>
      </c>
      <c r="D24" s="27">
        <v>0</v>
      </c>
      <c r="E24" s="43">
        <v>44175</v>
      </c>
      <c r="F24" s="43">
        <v>44178</v>
      </c>
      <c r="G24" s="43"/>
      <c r="H24" s="43"/>
      <c r="I24" s="40"/>
      <c r="J24" s="40">
        <f t="shared" si="7"/>
        <v>4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</row>
    <row r="25" spans="1:66" x14ac:dyDescent="0.45">
      <c r="B25" s="25" t="s">
        <v>33</v>
      </c>
      <c r="C25" s="26" t="s">
        <v>18</v>
      </c>
      <c r="D25" s="27">
        <v>0</v>
      </c>
      <c r="E25" s="43">
        <v>44179</v>
      </c>
      <c r="F25" s="43">
        <v>44179</v>
      </c>
      <c r="G25" s="43"/>
      <c r="H25" s="43"/>
      <c r="I25" s="40"/>
      <c r="J25" s="40">
        <f t="shared" si="7"/>
        <v>1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</row>
    <row r="26" spans="1:66" x14ac:dyDescent="0.45">
      <c r="B26" s="25"/>
      <c r="C26" s="26"/>
      <c r="D26" s="27"/>
      <c r="E26" s="28"/>
      <c r="F26" s="28"/>
      <c r="G26" s="28"/>
      <c r="H26" s="28"/>
      <c r="I26" s="40"/>
      <c r="J26" s="40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</row>
    <row r="27" spans="1:66" x14ac:dyDescent="0.45">
      <c r="B27" s="25"/>
      <c r="C27" s="26"/>
      <c r="D27" s="27"/>
      <c r="E27" s="28"/>
      <c r="F27" s="28"/>
      <c r="G27" s="28"/>
      <c r="H27" s="28"/>
      <c r="I27" s="40"/>
      <c r="J27" s="40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</row>
    <row r="28" spans="1:66" x14ac:dyDescent="0.45">
      <c r="B28" s="25"/>
      <c r="C28" s="26"/>
      <c r="D28" s="27"/>
      <c r="E28" s="28"/>
      <c r="F28" s="28"/>
      <c r="G28" s="28"/>
      <c r="H28" s="28"/>
      <c r="I28" s="40"/>
      <c r="J28" s="40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</row>
    <row r="29" spans="1:66" x14ac:dyDescent="0.45">
      <c r="B29" s="25"/>
      <c r="C29" s="26"/>
      <c r="D29" s="27"/>
      <c r="E29" s="28"/>
      <c r="F29" s="28"/>
      <c r="G29" s="28"/>
      <c r="H29" s="28"/>
      <c r="I29" s="40"/>
      <c r="J29" s="40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</row>
  </sheetData>
  <mergeCells count="13">
    <mergeCell ref="B1:D1"/>
    <mergeCell ref="C4:D4"/>
    <mergeCell ref="E4:F4"/>
    <mergeCell ref="C5:D5"/>
    <mergeCell ref="K5:Q5"/>
    <mergeCell ref="BA5:BG5"/>
    <mergeCell ref="BH5:BN5"/>
    <mergeCell ref="B6:I6"/>
    <mergeCell ref="R5:X5"/>
    <mergeCell ref="Y5:AE5"/>
    <mergeCell ref="AF5:AL5"/>
    <mergeCell ref="AM5:AS5"/>
    <mergeCell ref="AT5:AZ5"/>
  </mergeCells>
  <phoneticPr fontId="19"/>
  <conditionalFormatting sqref="D8:D29">
    <cfRule type="dataBar" priority="14">
      <dataBar>
        <cfvo type="num" val="0"/>
        <cfvo type="num" val="1"/>
        <color rgb="FF00B050"/>
      </dataBar>
    </cfRule>
  </conditionalFormatting>
  <conditionalFormatting sqref="K6:BN29">
    <cfRule type="expression" dxfId="2" priority="33">
      <formula>AND(TODAY()&gt;=K$6,TODAY()&lt;L$6)</formula>
    </cfRule>
  </conditionalFormatting>
  <conditionalFormatting sqref="K8:BN29">
    <cfRule type="expression" dxfId="1" priority="27">
      <formula>AND(task_start&lt;=K$6,ROUNDDOWN((task_end-task_start+1)*task_progress,0)+task_start-1&gt;=K$6)</formula>
    </cfRule>
    <cfRule type="expression" dxfId="0" priority="28" stopIfTrue="1">
      <formula>AND(task_end&gt;=K$6,task_start&lt;L$6)</formula>
    </cfRule>
  </conditionalFormatting>
  <dataValidations count="3">
    <dataValidation type="whole" operator="greaterThanOrEqual" allowBlank="1" showInputMessage="1" promptTitle="Display Week" prompt="Changing this number will scroll the Gantt Chart view." sqref="E5">
      <formula1>1</formula1>
    </dataValidation>
    <dataValidation type="list" allowBlank="1" showInputMessage="1" showErrorMessage="1" sqref="C11">
      <formula1>$C$11:$C$12</formula1>
    </dataValidation>
    <dataValidation type="list" allowBlank="1" showInputMessage="1" showErrorMessage="1" sqref="C12:C29">
      <formula1>$C$10:$C$11</formula1>
    </dataValidation>
  </dataValidations>
  <printOptions horizontalCentered="1"/>
  <pageMargins left="0.35" right="0.35" top="0.35" bottom="0.5" header="0.3" footer="0.3"/>
  <pageSetup scale="57" fitToHeight="0" orientation="landscape" r:id="rId1"/>
  <headerFooter differentFirst="1" scaleWithDoc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6</vt:i4>
      </vt:variant>
    </vt:vector>
  </HeadingPairs>
  <TitlesOfParts>
    <vt:vector size="7" baseType="lpstr">
      <vt:lpstr>ProjectSchedule</vt:lpstr>
      <vt:lpstr>Display_Week</vt:lpstr>
      <vt:lpstr>ProjectSchedule!Print_Titles</vt:lpstr>
      <vt:lpstr>Project_Start</vt:lpstr>
      <vt:lpstr>ProjectSchedule!task_end</vt:lpstr>
      <vt:lpstr>ProjectSchedule!task_progress</vt:lpstr>
      <vt:lpstr>ProjectSchedule!task_start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SHANOOG G.S</cp:lastModifiedBy>
  <dcterms:created xsi:type="dcterms:W3CDTF">2019-03-19T17:17:00Z</dcterms:created>
  <dcterms:modified xsi:type="dcterms:W3CDTF">2020-11-18T01:13:15Z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