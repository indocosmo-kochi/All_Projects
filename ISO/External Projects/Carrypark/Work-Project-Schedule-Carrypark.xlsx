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0" sheetId="1" r:id="rId4"/>
    <sheet state="visible" name="Version 1" sheetId="2" r:id="rId5"/>
    <sheet state="visible" name="Version 2" sheetId="3" r:id="rId6"/>
    <sheet state="visible" name="Version 3" sheetId="4" r:id="rId7"/>
    <sheet state="visible" name="Demo Modifications" sheetId="5" r:id="rId8"/>
    <sheet state="visible" name="Cube" sheetId="6" r:id="rId9"/>
    <sheet state="visible" name="In Progress" sheetId="7" r:id="rId10"/>
  </sheets>
  <definedNames>
    <definedName hidden="1" localSheetId="0" name="_xlnm._FilterDatabase">'Version 0'!$A$6:$AM$6</definedName>
  </definedNames>
  <calcPr/>
  <extLst>
    <ext uri="GoogleSheetsCustomDataVersion1">
      <go:sheetsCustomData xmlns:go="http://customooxmlschemas.google.com/" r:id="rId11" roundtripDataSignature="AMtx7mg5aimxS41NpQF1lPty/G3fRWRdRg=="/>
    </ext>
  </extLst>
</workbook>
</file>

<file path=xl/sharedStrings.xml><?xml version="1.0" encoding="utf-8"?>
<sst xmlns="http://schemas.openxmlformats.org/spreadsheetml/2006/main" count="1200" uniqueCount="347">
  <si>
    <t>Carry Park - Basic Version</t>
  </si>
  <si>
    <t>PHASE</t>
  </si>
  <si>
    <t>START</t>
  </si>
  <si>
    <t>END</t>
  </si>
  <si>
    <t>LAST UPDATED ON: 02-May-2020</t>
  </si>
  <si>
    <t>LAST UPDATED BY: Suresh S</t>
  </si>
  <si>
    <t>SLNo</t>
  </si>
  <si>
    <t>SUBJECT</t>
  </si>
  <si>
    <t>STATUS</t>
  </si>
  <si>
    <t>ASSIGNEE</t>
  </si>
  <si>
    <t>EST. HRS</t>
  </si>
  <si>
    <t>ACT. HRS</t>
  </si>
  <si>
    <t>ACT. START</t>
  </si>
  <si>
    <t>ACT. END</t>
  </si>
  <si>
    <t>Design &amp; Documentation</t>
  </si>
  <si>
    <t>System Analysis &amp; Design</t>
  </si>
  <si>
    <t>COMPLETE</t>
  </si>
  <si>
    <t>Suresh</t>
  </si>
  <si>
    <t xml:space="preserve">System Prototype </t>
  </si>
  <si>
    <t>Documentation</t>
  </si>
  <si>
    <t>PROGRESS</t>
  </si>
  <si>
    <t>Multilanguage support</t>
  </si>
  <si>
    <t>Cloud Settings</t>
  </si>
  <si>
    <t>User Registration</t>
  </si>
  <si>
    <t>User Registration - iOS - App</t>
  </si>
  <si>
    <t>Outsource</t>
  </si>
  <si>
    <t>User Registration - Android - App</t>
  </si>
  <si>
    <t>User Registration - Cloud Server</t>
  </si>
  <si>
    <t>Device Locking</t>
  </si>
  <si>
    <t>Device Locking - iOS - App</t>
  </si>
  <si>
    <t>Device Locking - Android - App</t>
  </si>
  <si>
    <t>Device Locking - Cloud Server</t>
  </si>
  <si>
    <t>Device Unlocking</t>
  </si>
  <si>
    <t>Device Unlocking - iOS - App</t>
  </si>
  <si>
    <t>Device Unlocking - Android - App</t>
  </si>
  <si>
    <t>Device Unlocking - Cloud Server</t>
  </si>
  <si>
    <t>Payment Integration</t>
  </si>
  <si>
    <t>Payment Integration - iOS - App</t>
  </si>
  <si>
    <t>Payment Integration - Android - App</t>
  </si>
  <si>
    <t>Payment Integration - Cloud Server</t>
  </si>
  <si>
    <t>Integration Testing</t>
  </si>
  <si>
    <t>FW Testing</t>
  </si>
  <si>
    <t>Lithin</t>
  </si>
  <si>
    <t>Modifications , Testing &amp; Bug Fixing</t>
  </si>
  <si>
    <t>Release of Phase 1</t>
  </si>
  <si>
    <t>Total Man Hours</t>
  </si>
  <si>
    <t>Project Management -  Support</t>
  </si>
  <si>
    <t>PHASE 1</t>
  </si>
  <si>
    <t>Testing &amp; Documentation</t>
  </si>
  <si>
    <t>PHASE 2</t>
  </si>
  <si>
    <t xml:space="preserve">Security Implementation - Server </t>
  </si>
  <si>
    <t>Dileep</t>
  </si>
  <si>
    <t>Security Implementation - iOS</t>
  </si>
  <si>
    <t>Security Implementation - Android</t>
  </si>
  <si>
    <t>PLANNED</t>
  </si>
  <si>
    <t>Tinu</t>
  </si>
  <si>
    <t xml:space="preserve">Modifications in the current source code - Server </t>
  </si>
  <si>
    <t>Modifications in the current source code  - iOS</t>
  </si>
  <si>
    <t>Modifications in the current source code  - Android</t>
  </si>
  <si>
    <t>Testing &amp; Bug fixing</t>
  </si>
  <si>
    <t>Release for UAT - Phase 1</t>
  </si>
  <si>
    <t>List the nearby lock devices by location in the app - Server</t>
  </si>
  <si>
    <t>List the nearby lock devices by location in the app - iOS</t>
  </si>
  <si>
    <t>List the nearby lock devices by location in the app - Android</t>
  </si>
  <si>
    <t xml:space="preserve">Error reporting to the cloud - Server </t>
  </si>
  <si>
    <t>Error reporting to the cloud - iOS</t>
  </si>
  <si>
    <t>Error reporting to the cloud - Android</t>
  </si>
  <si>
    <t>Dashboard - display the incidents</t>
  </si>
  <si>
    <t>Dashboard - display the device usage rate</t>
  </si>
  <si>
    <t>Dashboard - display the revenue details</t>
  </si>
  <si>
    <t>Release for UAT - Phase 2</t>
  </si>
  <si>
    <t>Current Status : Phase 1 Completed, Multilanguage Implementation Pending</t>
  </si>
  <si>
    <t>Carry Park - Security Process</t>
  </si>
  <si>
    <t>LAST UPDATED ON: 12-June-2020</t>
  </si>
  <si>
    <r>
      <t>Security Implementation</t>
    </r>
    <r>
      <rPr>
        <rFont val="ＭＳ Ｐゴシック"/>
        <b/>
        <color rgb="FFFFFFFF"/>
        <sz val="14.0"/>
      </rPr>
      <t xml:space="preserve">　セキューリテイ　関連</t>
    </r>
  </si>
  <si>
    <t>Security Implementation - iOS - App</t>
  </si>
  <si>
    <t>Security Implementation - Android - App</t>
  </si>
  <si>
    <t>Security Implementation - Cloud Server</t>
  </si>
  <si>
    <r>
      <t>Integration Testing with FW sample</t>
    </r>
    <r>
      <rPr>
        <rFont val="ＭＳ Ｐゴシック"/>
        <sz val="11.0"/>
      </rPr>
      <t xml:space="preserve">　テスト</t>
    </r>
  </si>
  <si>
    <r>
      <t>Release of Phase 2</t>
    </r>
    <r>
      <rPr>
        <rFont val="ＭＳ Ｐゴシック"/>
        <sz val="11.0"/>
      </rPr>
      <t xml:space="preserve">　　導入</t>
    </r>
  </si>
  <si>
    <t>Expected Date of Completion</t>
  </si>
  <si>
    <t>Actual Date of Completion</t>
  </si>
  <si>
    <t>Current Status : Phase 2 Android Testing Completed. Waiting for client demo</t>
  </si>
  <si>
    <t>Carry Park - Screen Changes</t>
  </si>
  <si>
    <t>LAST UPDATED ON: 25-June-2020</t>
  </si>
  <si>
    <r>
      <rPr>
        <rFont val="Calibri"/>
        <b/>
        <sz val="11.0"/>
      </rPr>
      <t xml:space="preserve">User Registration - iOS </t>
    </r>
    <r>
      <rPr>
        <rFont val="Calibri"/>
        <sz val="11.0"/>
      </rPr>
      <t>(1.Login screen design change, 2.Registration screen design changes, 
3.Registration screen popup, 4.Login as new phone, Mac id updste API, 5.Forgot pin hide pin text filed, 6. Login as new phone reset the pin and navigation, 7. Testing)</t>
    </r>
  </si>
  <si>
    <t>COMPLETED</t>
  </si>
  <si>
    <r>
      <rPr>
        <rFont val="Calibri"/>
        <b/>
        <sz val="11.0"/>
      </rPr>
      <t xml:space="preserve">User Registration - Android </t>
    </r>
    <r>
      <rPr>
        <rFont val="Calibri"/>
        <sz val="11.0"/>
      </rPr>
      <t>(1.Login screen design change, 2.Registration screen design changes, 
3.Registration screen popup, 4.Login as new phone, Mac id updste API, 5.Forgot pin hide pin text filed, 6. Login as new phone reset the pin and navigation, 7. Testing)</t>
    </r>
  </si>
  <si>
    <r>
      <rPr>
        <rFont val="Calibri"/>
        <b/>
        <sz val="11.0"/>
      </rPr>
      <t xml:space="preserve">New Scan - iOS </t>
    </r>
    <r>
      <rPr>
        <rFont val="Calibri"/>
        <sz val="11.0"/>
      </rPr>
      <t>( 1. Design changes)</t>
    </r>
  </si>
  <si>
    <r>
      <rPr>
        <rFont val="Calibri"/>
        <b/>
        <sz val="11.0"/>
      </rPr>
      <t xml:space="preserve">New Scan Device Location - iOS </t>
    </r>
    <r>
      <rPr>
        <rFont val="Calibri"/>
        <sz val="11.0"/>
      </rPr>
      <t>(1. Edit current navigation flow, 2.Integrate google map and map functions, 3. API integration for loading devices)</t>
    </r>
  </si>
  <si>
    <r>
      <rPr>
        <rFont val="Calibri"/>
        <b/>
        <sz val="11.0"/>
      </rPr>
      <t xml:space="preserve">New Scan - Android </t>
    </r>
    <r>
      <rPr>
        <rFont val="Calibri"/>
        <sz val="11.0"/>
      </rPr>
      <t>( 1. Design changes)</t>
    </r>
  </si>
  <si>
    <r>
      <rPr>
        <rFont val="Calibri"/>
        <b/>
        <sz val="11.0"/>
      </rPr>
      <t xml:space="preserve">New Scan Device Location - Android </t>
    </r>
    <r>
      <rPr>
        <rFont val="Calibri"/>
        <sz val="11.0"/>
      </rPr>
      <t>(1. Edit current navigation flow, 2.Integrate google map and map functions, 3. API integration for loading devices)</t>
    </r>
  </si>
  <si>
    <r>
      <rPr>
        <rFont val="Calibri"/>
        <b/>
        <sz val="11.0"/>
      </rPr>
      <t xml:space="preserve">In Use Section - iOS </t>
    </r>
    <r>
      <rPr>
        <rFont val="Calibri"/>
        <sz val="11.0"/>
      </rPr>
      <t>(1. Design changes, In use device listing)</t>
    </r>
  </si>
  <si>
    <r>
      <rPr>
        <rFont val="Calibri"/>
        <b/>
        <sz val="11.0"/>
      </rPr>
      <t xml:space="preserve">In Use Device Location - iOS </t>
    </r>
    <r>
      <rPr>
        <rFont val="Calibri"/>
        <sz val="11.0"/>
      </rPr>
      <t>(1. Edit current navigation flow, 2.Integrate google map and map functions, 3. API integration for loading devices)</t>
    </r>
  </si>
  <si>
    <r>
      <rPr>
        <rFont val="Calibri"/>
        <b/>
        <sz val="11.0"/>
      </rPr>
      <t xml:space="preserve">In Use Section - Android  </t>
    </r>
    <r>
      <rPr>
        <rFont val="Calibri"/>
        <sz val="11.0"/>
      </rPr>
      <t>(1. Design changes, In use device listing)</t>
    </r>
  </si>
  <si>
    <r>
      <rPr>
        <rFont val="Calibri"/>
        <b/>
        <sz val="11.0"/>
      </rPr>
      <t xml:space="preserve">In Use Device Location - Android  </t>
    </r>
    <r>
      <rPr>
        <rFont val="Calibri"/>
        <sz val="11.0"/>
      </rPr>
      <t>(1. Edit current navigation flow, 2.Integrate google map and map functions, 3. API integration for loading devices)</t>
    </r>
  </si>
  <si>
    <r>
      <rPr>
        <rFont val="Calibri"/>
        <b/>
        <sz val="11.0"/>
      </rPr>
      <t xml:space="preserve">Device Location Master - Cloud </t>
    </r>
    <r>
      <rPr>
        <rFont val="Calibri"/>
        <sz val="11.0"/>
      </rPr>
      <t>(Create a location lookup master and inlcude the location map)</t>
    </r>
  </si>
  <si>
    <r>
      <rPr>
        <rFont val="Calibri"/>
        <b/>
        <sz val="11.0"/>
      </rPr>
      <t xml:space="preserve">Device Location - Cloud </t>
    </r>
    <r>
      <rPr>
        <rFont val="Calibri"/>
        <sz val="11.0"/>
      </rPr>
      <t>( Populate the locations from the master to set the device location while adding  a new Device in the Cloud - to avoid repetition of goole location setting for each device)</t>
    </r>
  </si>
  <si>
    <r>
      <rPr>
        <rFont val="Calibri"/>
        <b/>
        <sz val="11.0"/>
      </rPr>
      <t>Rate Information Screen - including Video - iOS</t>
    </r>
    <r>
      <rPr>
        <rFont val="Calibri"/>
        <sz val="11.0"/>
      </rPr>
      <t xml:space="preserve"> (1. Design changes)</t>
    </r>
  </si>
  <si>
    <r>
      <rPr>
        <rFont val="Calibri"/>
        <b/>
        <sz val="11.0"/>
      </rPr>
      <t xml:space="preserve">Rate Information screen including Video - Android  </t>
    </r>
    <r>
      <rPr>
        <rFont val="Calibri"/>
        <sz val="11.0"/>
      </rPr>
      <t>(1. Design changes)</t>
    </r>
  </si>
  <si>
    <r>
      <rPr>
        <rFont val="Calibri"/>
        <b/>
        <sz val="11.0"/>
      </rPr>
      <t xml:space="preserve">Scan QR Code - Changes - iOS </t>
    </r>
    <r>
      <rPr>
        <rFont val="Calibri"/>
        <sz val="11.0"/>
      </rPr>
      <t>(Modifications in the QR code scanning for specific area scan)</t>
    </r>
  </si>
  <si>
    <r>
      <rPr>
        <rFont val="Calibri"/>
        <b/>
        <sz val="11.0"/>
      </rPr>
      <t xml:space="preserve">Scan QR Code - Changes - Android  </t>
    </r>
    <r>
      <rPr>
        <rFont val="Calibri"/>
        <sz val="11.0"/>
      </rPr>
      <t>(Modifications in the QR code scanning for specific area scan)</t>
    </r>
  </si>
  <si>
    <r>
      <rPr>
        <rFont val="Calibri"/>
        <b/>
        <sz val="11.0"/>
      </rPr>
      <t>Manage Devices - Cloud</t>
    </r>
    <r>
      <rPr>
        <rFont val="Calibri"/>
        <sz val="11.0"/>
      </rPr>
      <t xml:space="preserve"> (Create / Edit / Delete) - Add Device Type to Devices - ("Normal Device" &amp; "Contract Device". API modifications for the payment bypass - Cloud</t>
    </r>
  </si>
  <si>
    <r>
      <rPr>
        <rFont val="Calibri"/>
        <b/>
        <sz val="11.0"/>
      </rPr>
      <t>Create Business Customers - Cloud</t>
    </r>
    <r>
      <rPr>
        <rFont val="Calibri"/>
        <sz val="11.0"/>
      </rPr>
      <t xml:space="preserve"> (Create / Edit / Delete) - Create Business Customers in three different categories and assign devices to them</t>
    </r>
  </si>
  <si>
    <r>
      <rPr>
        <rFont val="Calibri"/>
        <b/>
        <sz val="11.0"/>
      </rPr>
      <t xml:space="preserve">Payment Bypass - iOS - </t>
    </r>
    <r>
      <rPr>
        <rFont val="Calibri"/>
        <sz val="11.0"/>
      </rPr>
      <t>(Check the device status and bypass payment for Contract Devices)</t>
    </r>
  </si>
  <si>
    <r>
      <rPr>
        <rFont val="Calibri"/>
        <b/>
        <sz val="11.0"/>
      </rPr>
      <t>Payment Bypass - Android</t>
    </r>
    <r>
      <rPr>
        <rFont val="Calibri"/>
        <sz val="11.0"/>
      </rPr>
      <t xml:space="preserve"> (Check the device status and bypass payment for Contract Devices)</t>
    </r>
  </si>
  <si>
    <r>
      <rPr>
        <rFont val="Calibri"/>
        <b/>
        <sz val="11.0"/>
      </rPr>
      <t xml:space="preserve">Payment Bypass - Cloud </t>
    </r>
    <r>
      <rPr>
        <rFont val="Calibri"/>
        <sz val="11.0"/>
      </rPr>
      <t>(APIs for bypass payment for Contract Devices)</t>
    </r>
  </si>
  <si>
    <t>Testing &amp; Bug Fixing - iOS</t>
  </si>
  <si>
    <t>Testing &amp; Bug Fixing - Android</t>
  </si>
  <si>
    <t>Testing &amp; Bug Fixing - Cloud</t>
  </si>
  <si>
    <t>Current Status  - Completed the client demo</t>
  </si>
  <si>
    <t>Maintenance &amp; Dashboard</t>
  </si>
  <si>
    <t>END - I</t>
  </si>
  <si>
    <t>END - II</t>
  </si>
  <si>
    <t>LAST UPDATED ON: 13-August-2020</t>
  </si>
  <si>
    <t xml:space="preserve">Maintenance App </t>
  </si>
  <si>
    <t>Maintenance Screen Design - iOS</t>
  </si>
  <si>
    <t>Maintenance Screen Design - Android</t>
  </si>
  <si>
    <t>User Login - iOS - Project Setup, Splash screen, login Screen design and API</t>
  </si>
  <si>
    <t>User Login - Android - Project Setup, Splash screen, login Screen design and API</t>
  </si>
  <si>
    <t>Task Listing - iOS</t>
  </si>
  <si>
    <t>Task Listing - Android</t>
  </si>
  <si>
    <t>Menu Items Display - iOS</t>
  </si>
  <si>
    <t>Menu Items Display - Android</t>
  </si>
  <si>
    <t>Scan &amp; Device Details (Install) - iOS - Design, API, QR code reading</t>
  </si>
  <si>
    <t>Scan &amp; Device Details (Install) - Android - Design, API, QR code reading</t>
  </si>
  <si>
    <t xml:space="preserve">Upload Images (Install) - iOS - Design, Uploading file, Progress, listing uploaded image listing, Pic multiple image picker from gallery </t>
  </si>
  <si>
    <t xml:space="preserve">Upload Images (Install) - Android - Design, Uploading file, Progress, listing uploaded image listing, Pic multiple image picker from gallery </t>
  </si>
  <si>
    <t>Work Details &amp; Location (Install) - iOS</t>
  </si>
  <si>
    <t>Work Details &amp; Location (Install) - Android</t>
  </si>
  <si>
    <t>Summary screen (Install) - iOS</t>
  </si>
  <si>
    <t>Summary screen (Install) - Android</t>
  </si>
  <si>
    <t>Scan &amp; Device Details (Repair) - iOS</t>
  </si>
  <si>
    <t>Scan &amp; Device Details (Repair) - Android</t>
  </si>
  <si>
    <t>Upload Images (Repair) - iOS</t>
  </si>
  <si>
    <t>Upload Images (Repair) - Android</t>
  </si>
  <si>
    <t>Work Details &amp; Location (Repair) - iOS</t>
  </si>
  <si>
    <t>Work Details &amp; Location (Repair) - Android</t>
  </si>
  <si>
    <t>Summary screen (Repair) - iOS</t>
  </si>
  <si>
    <t>Summary screen (Repair) - Android</t>
  </si>
  <si>
    <t>Locking Screen - iOS - BLT integration, BLT connection, Security implimentation</t>
  </si>
  <si>
    <t>Locking Screen - Android - BLT integration, BLT connection, Security implimentation</t>
  </si>
  <si>
    <t>Release Latch Screen - iOS</t>
  </si>
  <si>
    <t>Release Latch Screen - Android</t>
  </si>
  <si>
    <t>Unlocking Screen - iOS</t>
  </si>
  <si>
    <t>Unlocking Screen - Android</t>
  </si>
  <si>
    <t>Summary Screen (Test Screen) - iOS</t>
  </si>
  <si>
    <t>Summary Screen (Test Screen) - Android</t>
  </si>
  <si>
    <t>Location Search - iOS</t>
  </si>
  <si>
    <t>Location Search - Android</t>
  </si>
  <si>
    <t>Testing &amp; Bug Fixing</t>
  </si>
  <si>
    <t xml:space="preserve">Cloud - Maintenance </t>
  </si>
  <si>
    <t>Maintenance Company - Create maintenance companies and List &amp; search maintenance companies</t>
  </si>
  <si>
    <t>Maintenance Person - Create maintenance persons and List &amp; search maintenance persons</t>
  </si>
  <si>
    <t>Assign Devices to maintenance persons</t>
  </si>
  <si>
    <t>Assign Tasks to maintenance persons</t>
  </si>
  <si>
    <t>Maintenance task entry</t>
  </si>
  <si>
    <t>Cloud - Dashboard</t>
  </si>
  <si>
    <t>Design Prototype - Charts</t>
  </si>
  <si>
    <t xml:space="preserve">Device Status &amp; Summary </t>
  </si>
  <si>
    <t>Usage &amp; Statistics Drilldown Report</t>
  </si>
  <si>
    <t>Operational Log Report</t>
  </si>
  <si>
    <t>Revenue by Location - Show Graph</t>
  </si>
  <si>
    <t>Occupancy Rate by Location - Show Graph</t>
  </si>
  <si>
    <t>Cloud - Maintenance App APIs</t>
  </si>
  <si>
    <t>Required APIs for Maintenance Mobile App</t>
  </si>
  <si>
    <t>Date of Completion</t>
  </si>
  <si>
    <t>Date of Completion (After Rescedule)</t>
  </si>
  <si>
    <t>Dashboard - Charts</t>
  </si>
  <si>
    <t xml:space="preserve">LineChart - Dashboard </t>
  </si>
  <si>
    <t xml:space="preserve">BarChart - Dashboard </t>
  </si>
  <si>
    <t>PieChart - Dashboard</t>
  </si>
  <si>
    <t>Demo Modifications</t>
  </si>
  <si>
    <t>LAST UPDATED ON: 19-October-2020</t>
  </si>
  <si>
    <t>Demo on 23-06-2020 - Task Details</t>
  </si>
  <si>
    <t>Japanese caption settings - Cloud</t>
  </si>
  <si>
    <t>Design &amp; Documentation &amp; Communication</t>
  </si>
  <si>
    <t>User Manual Documentation - Web Application</t>
  </si>
  <si>
    <t>Website performance improvement</t>
  </si>
  <si>
    <t>Modifications from the client after demo</t>
  </si>
  <si>
    <t>Testing &amp; Bug Fixing - Multiple Devices - iOS</t>
  </si>
  <si>
    <t>Testing &amp; Bug Fixing - Multiple Devices - Android</t>
  </si>
  <si>
    <t>Testing &amp; Bug Fixing - Multiple Devices - Cloud</t>
  </si>
  <si>
    <t>Demo on 30-06-2020 - Task Details</t>
  </si>
  <si>
    <t>Check battery power on QR code scanning (iOS)</t>
  </si>
  <si>
    <t>Check battery power on QR code scanning (Android)</t>
  </si>
  <si>
    <t>Not discover BLT device - show alert - redirect - error reporting (iOS)</t>
  </si>
  <si>
    <t>Not discover BLT device - show alert - redirect - error reporting (Android)</t>
  </si>
  <si>
    <t>Check the status of locker handle is down and display instruction to use  (iOS)</t>
  </si>
  <si>
    <t>Check the status of locker handle is down and display instruction to use (Android)</t>
  </si>
  <si>
    <t>Unlock time- Check the handle doesn't return back (iOS)</t>
  </si>
  <si>
    <t>Unlock time- Check the handle doesn't return back (Android)</t>
  </si>
  <si>
    <t>QR Code Screen changes  (iOS)</t>
  </si>
  <si>
    <t>QR Code Screen changes (Android)</t>
  </si>
  <si>
    <t>Map screen - Device oder change based on the selection (iOS)</t>
  </si>
  <si>
    <t>Map screen - Device oder change based on the selection (Android)</t>
  </si>
  <si>
    <t>Bottom navigation - tap on in use button to load checkin - check out screen on its child class  (iOS)</t>
  </si>
  <si>
    <t>Testing &amp; Bug Fixing (iOS)</t>
  </si>
  <si>
    <t>Testing &amp; Bug Fixing (Android)</t>
  </si>
  <si>
    <t>Demo on 14-07-2020 - Task Details</t>
  </si>
  <si>
    <r>
      <rPr>
        <rFont val="Calibri"/>
        <sz val="11.0"/>
        <u/>
      </rPr>
      <t>iOS</t>
    </r>
    <r>
      <rPr>
        <rFont val="Calibri"/>
        <sz val="11.0"/>
      </rPr>
      <t xml:space="preserve">
1. Time out error after 3 minutes
2. Enable "Home" button in payment screen
3. Login screen keypad auto display - removed
4. Video files added
5. Customer Care added in "More" menu</t>
    </r>
  </si>
  <si>
    <r>
      <rPr>
        <rFont val="Calibri"/>
        <sz val="11.0"/>
        <u/>
      </rPr>
      <t>Android</t>
    </r>
    <r>
      <rPr>
        <rFont val="Calibri"/>
        <sz val="11.0"/>
      </rPr>
      <t xml:space="preserve">
1. Time out error after 3 minutes
2. Enable "Home" button in payment screen
3. Login screen keypad auto display - removed
4. Video files added
5. Customer Care added in "More" menu</t>
    </r>
  </si>
  <si>
    <r>
      <rPr>
        <rFont val="Calibri"/>
        <sz val="11.0"/>
        <u/>
      </rPr>
      <t>Cloud</t>
    </r>
    <r>
      <rPr>
        <rFont val="Calibri"/>
        <sz val="11.0"/>
      </rPr>
      <t xml:space="preserve">
1. Time out error after 3 minutes
2. Enable "Home" button in payment screen
3. Login screen keypad auto display - removed
4. Video files added
5. Customer Care added in "More" menu</t>
    </r>
  </si>
  <si>
    <t>Demo on 21-07-2020 - Task Details</t>
  </si>
  <si>
    <t>Screen caption changes - iOS</t>
  </si>
  <si>
    <t>Screen caption changes - Android</t>
  </si>
  <si>
    <t>Change Email Address - iOS</t>
  </si>
  <si>
    <t>Change Email Address - Android</t>
  </si>
  <si>
    <t>Change Email Address - Cloud</t>
  </si>
  <si>
    <t>De registration / Delete Account - iOS</t>
  </si>
  <si>
    <t>De registration / Delete Account - Android</t>
  </si>
  <si>
    <t>De registration / Delete Account - Cloud</t>
  </si>
  <si>
    <r>
      <rPr>
        <rFont val="Calibri"/>
        <sz val="11.0"/>
        <u/>
      </rPr>
      <t>Condition</t>
    </r>
    <r>
      <rPr>
        <rFont val="Calibri"/>
        <sz val="11.0"/>
      </rPr>
      <t xml:space="preserve">
User scan the QR Code, Done the payment, Did not press the lock button. 
</t>
    </r>
    <r>
      <rPr>
        <rFont val="Calibri"/>
        <sz val="11.0"/>
        <u/>
      </rPr>
      <t>Action</t>
    </r>
    <r>
      <rPr>
        <rFont val="Calibri"/>
        <sz val="11.0"/>
      </rPr>
      <t xml:space="preserve">
Start the alarm after 5 seconds after showing the alert "Please press the Lock button", Sound alert for 3 minutes,
After 3 minutes send mail and return to home screen
FOR iOS</t>
    </r>
  </si>
  <si>
    <r>
      <rPr>
        <rFont val="Calibri"/>
        <sz val="11.0"/>
        <u/>
      </rPr>
      <t xml:space="preserve">Condition
</t>
    </r>
    <r>
      <rPr>
        <rFont val="Calibri"/>
        <sz val="11.0"/>
      </rPr>
      <t xml:space="preserve">User scan the QR Code, Done the payment, Did not press the lock button. </t>
    </r>
    <r>
      <rPr>
        <rFont val="Calibri"/>
        <sz val="11.0"/>
        <u/>
      </rPr>
      <t xml:space="preserve">
Action
</t>
    </r>
    <r>
      <rPr>
        <rFont val="Calibri"/>
        <sz val="11.0"/>
      </rPr>
      <t>Start the alarm after 5 seconds after showing the alert "Please press the Lock button", Sound alert for 3 minutes,
After 3 minutes send mail and return to home screen
FOR Android</t>
    </r>
  </si>
  <si>
    <r>
      <rPr>
        <rFont val="Calibri"/>
        <sz val="11.0"/>
        <u/>
      </rPr>
      <t>Condition</t>
    </r>
    <r>
      <rPr>
        <rFont val="Calibri"/>
        <sz val="11.0"/>
      </rPr>
      <t xml:space="preserve">
User scan the QR Code, Done the payment,Did not press the lock button. 
</t>
    </r>
    <r>
      <rPr>
        <rFont val="Calibri"/>
        <sz val="11.0"/>
        <u/>
      </rPr>
      <t>Action</t>
    </r>
    <r>
      <rPr>
        <rFont val="Calibri"/>
        <sz val="11.0"/>
      </rPr>
      <t xml:space="preserve">
Start the alarm after 5 seconds after showing the alert "Please press the Lock button", Sound alert for 3 minutes, After 3 minutes send mail and return to home screen
FOR Cloud</t>
    </r>
  </si>
  <si>
    <r>
      <rPr>
        <rFont val="Calibri"/>
        <sz val="11.0"/>
        <u/>
      </rPr>
      <t>Condition</t>
    </r>
    <r>
      <rPr>
        <rFont val="Calibri"/>
        <sz val="11.0"/>
      </rPr>
      <t xml:space="preserve">
User scan the QR Code, Done the payment, Press the lock button, Did not lower the handle.
</t>
    </r>
    <r>
      <rPr>
        <rFont val="Calibri"/>
        <sz val="11.0"/>
        <u/>
      </rPr>
      <t>Action</t>
    </r>
    <r>
      <rPr>
        <rFont val="Calibri"/>
        <sz val="11.0"/>
      </rPr>
      <t xml:space="preserve">
After 3 minutes send mail and return to home screen
FOR Cloud</t>
    </r>
  </si>
  <si>
    <r>
      <rPr>
        <rFont val="Calibri"/>
        <sz val="11.0"/>
        <u/>
      </rPr>
      <t>Condition</t>
    </r>
    <r>
      <rPr>
        <rFont val="Calibri"/>
        <sz val="11.0"/>
      </rPr>
      <t xml:space="preserve">
1. User scan the QR Code
2. Done the payment 
3. Press the lock button. 
4. Did not lower the handle.
5. User leave the app.
6. Return and Re-Scan QR Code
</t>
    </r>
    <r>
      <rPr>
        <rFont val="Calibri"/>
        <sz val="11.0"/>
        <u/>
      </rPr>
      <t>Action</t>
    </r>
    <r>
      <rPr>
        <rFont val="Calibri"/>
        <sz val="11.0"/>
      </rPr>
      <t xml:space="preserve">
1. Skip the payment screen.
2. Skip the lock button screen. 
3. Redirect to alert "Please down the handle".
4. Repeat the time out process till reaches 2 hours without lowering the handle.
FOR iOS</t>
    </r>
  </si>
  <si>
    <r>
      <rPr>
        <rFont val="Calibri"/>
        <sz val="11.0"/>
        <u/>
      </rPr>
      <t>Condition</t>
    </r>
    <r>
      <rPr>
        <rFont val="Calibri"/>
        <sz val="11.0"/>
      </rPr>
      <t xml:space="preserve">
User scan the QR Code, Done the payment, Press the lock button, Did not lower the handle, User leave the app,  Return and Re-Scan QR Code
</t>
    </r>
    <r>
      <rPr>
        <rFont val="Calibri"/>
        <sz val="11.0"/>
        <u/>
      </rPr>
      <t>Action</t>
    </r>
    <r>
      <rPr>
        <rFont val="Calibri"/>
        <sz val="11.0"/>
      </rPr>
      <t xml:space="preserve">
Skip the payment screen, Skip the lock button screen,  Redirect to alert "Please down the handle", Repeat the time out process till reaches 2 hours without lowering the handle.
FOR Android</t>
    </r>
  </si>
  <si>
    <r>
      <rPr>
        <rFont val="Calibri"/>
        <sz val="11.0"/>
        <u/>
      </rPr>
      <t>Condition</t>
    </r>
    <r>
      <rPr>
        <rFont val="Calibri"/>
        <sz val="11.0"/>
      </rPr>
      <t xml:space="preserve">
User scan the QR Code, Done the payment, Press the lock button, Did not lower the handle, User leave the app,  Another user Scan after 2 hours.
</t>
    </r>
    <r>
      <rPr>
        <rFont val="Calibri"/>
        <sz val="11.0"/>
        <u/>
      </rPr>
      <t>Action</t>
    </r>
    <r>
      <rPr>
        <rFont val="Calibri"/>
        <sz val="11.0"/>
      </rPr>
      <t xml:space="preserve">
After 2 hours another user scan the QR code, He should be able to use the same device.
FOR iOS</t>
    </r>
  </si>
  <si>
    <r>
      <rPr>
        <rFont val="Calibri"/>
        <sz val="11.0"/>
        <u/>
      </rPr>
      <t>Condition</t>
    </r>
    <r>
      <rPr>
        <rFont val="Calibri"/>
        <sz val="11.0"/>
      </rPr>
      <t xml:space="preserve">
User scan the QR Code, Done the payment, Press the lock button, Did not lower the handle, User leave the app,  Another user Scan after 2 hours.
</t>
    </r>
    <r>
      <rPr>
        <rFont val="Calibri"/>
        <sz val="11.0"/>
        <u/>
      </rPr>
      <t>Action</t>
    </r>
    <r>
      <rPr>
        <rFont val="Calibri"/>
        <sz val="11.0"/>
      </rPr>
      <t xml:space="preserve">
After 2 hours another user scan the QR code, He should be able to use the same device.
FOR Android</t>
    </r>
  </si>
  <si>
    <r>
      <rPr>
        <rFont val="Calibri"/>
        <sz val="11.0"/>
        <u/>
      </rPr>
      <t xml:space="preserve">Condition
</t>
    </r>
    <r>
      <rPr>
        <rFont val="Calibri"/>
        <sz val="11.0"/>
      </rPr>
      <t>User scan the QR Code, Done the payment, Press the lock button, Did not lower the handle, User leave the app,  Another user Scan after 2 hours.</t>
    </r>
    <r>
      <rPr>
        <rFont val="Calibri"/>
        <sz val="11.0"/>
        <u/>
      </rPr>
      <t xml:space="preserve">
Action
</t>
    </r>
    <r>
      <rPr>
        <rFont val="Calibri"/>
        <sz val="11.0"/>
      </rPr>
      <t>After 2 hours another user scan the QR code, He should be able to use the same device.</t>
    </r>
    <r>
      <rPr>
        <rFont val="Calibri"/>
        <sz val="11.0"/>
        <u/>
      </rPr>
      <t xml:space="preserve">
</t>
    </r>
    <r>
      <rPr>
        <rFont val="Calibri"/>
        <sz val="11.0"/>
      </rPr>
      <t xml:space="preserve">
FOR Cloud</t>
    </r>
  </si>
  <si>
    <t>Add new status "Good / Bad" for the lock devices
1. If the device is  good to use - Status will be "Good"
2. If the device is  not good to use - Status will be "Bad"
3. Display the status in the Device list
4. When the admin clicks the "BAD" status display the detail about the error.
5. When the problem is solved change the status to "Good".
FOR iOS</t>
  </si>
  <si>
    <t>Add new status "Good / Bad" for the lock devices
1. If the device is  good to use - Status will be "Good"
2. If the device is  not good to use - Status will be "Bad"
3. Display the status in the Device list
4. When the admin clicks the "BAD" status display the detail about the error.
5. When the problem is solved change the status to "Good".
FOR Android</t>
  </si>
  <si>
    <t>Add new status "Good / Bad" for the lock devices
1. If the device is  good to use - Status will be "Good"
2. If the device is  not good to use - Status will be "Bad"
3. Display the status in the Device list
4. When the admin clicks the "BAD" status display the detail about the error.
5. When the problem is solved change the status to "Good".
FOR Cloud</t>
  </si>
  <si>
    <t>Payment gateway implementation - without redirect URL - iOS</t>
  </si>
  <si>
    <t>Payment gateway implementation - without redirect URL - Android</t>
  </si>
  <si>
    <t>Payment gateway implementation - without redirect URL - Cloud</t>
  </si>
  <si>
    <t>Help Q&amp;A - redirection to the URL - iOS</t>
  </si>
  <si>
    <t>Help Q&amp;A - redirection to the URL - Android</t>
  </si>
  <si>
    <t>Help Email - Send preset email content to support mail ID - iOS</t>
  </si>
  <si>
    <t>Help Email - Send preset email content to support mail ID - Android</t>
  </si>
  <si>
    <t>Help Email - Send preset email content to support mail ID - Cloud</t>
  </si>
  <si>
    <t>Maintenance App device history - iOS</t>
  </si>
  <si>
    <t>Maintenance App device history - Android</t>
  </si>
  <si>
    <t>Maintenance App device history - Cloud</t>
  </si>
  <si>
    <t>Demo on 11-08-2020 - Task Details</t>
  </si>
  <si>
    <t>Device not Discover issue - iOS</t>
  </si>
  <si>
    <t>Device not Discover issue - Android</t>
  </si>
  <si>
    <t>Japanese Caption - Changes - iOS</t>
  </si>
  <si>
    <t>Japanese Caption - Changes - Android</t>
  </si>
  <si>
    <t>Japanese Caption - Changes - Cloud</t>
  </si>
  <si>
    <t>Lever Status checking modifications - iOS</t>
  </si>
  <si>
    <t>Lever Status checking modifications - Android</t>
  </si>
  <si>
    <t>Lever Status checking modifications - Cloud</t>
  </si>
  <si>
    <t>Testing the New flow &amp; Bug fixing - iOS</t>
  </si>
  <si>
    <t>Testing the New flow &amp; Bug fixing - Android</t>
  </si>
  <si>
    <t>Demo on 25-08-2020 - Task Details</t>
  </si>
  <si>
    <t>App Error Log Implemenation - iOS</t>
  </si>
  <si>
    <t>App Error Log Implemenation - Android</t>
  </si>
  <si>
    <t>API for Error Log Implemenation - Cloud</t>
  </si>
  <si>
    <t>QR Code Design Changes - iOS</t>
  </si>
  <si>
    <t>QR Code Design Changes - Android</t>
  </si>
  <si>
    <t>Demo on 08-09-2020 - Task Details</t>
  </si>
  <si>
    <t>Firmware Testing - iOS (CP &amp; Maintenance)</t>
  </si>
  <si>
    <t>Firmware Testing - Android (CP &amp; Maintenance)</t>
  </si>
  <si>
    <t>Firmware Testing - Cloud (CP &amp; Maintenance)</t>
  </si>
  <si>
    <t>Demo on 15-09-2020 - Task Details</t>
  </si>
  <si>
    <t>Redirect QR Code screen - After time out - iOS</t>
  </si>
  <si>
    <t>Redirect QR Code screen - After time out - Android</t>
  </si>
  <si>
    <t>Firmware Testing &amp; Bug fixing - iOS</t>
  </si>
  <si>
    <t>Firmware Testing &amp; Bug fixing - Android</t>
  </si>
  <si>
    <t>Firmware Testing &amp; Bug fixing - Cloud</t>
  </si>
  <si>
    <t>iOS &amp; Android - Payment Integration</t>
  </si>
  <si>
    <t>Payment Integration - iOS</t>
  </si>
  <si>
    <t>Payment Integration - Android</t>
  </si>
  <si>
    <t>Payment Integration - Cloud</t>
  </si>
  <si>
    <t>Google Map Integration - Cloud</t>
  </si>
  <si>
    <t>Demo on 22-09-2020 - Task Details</t>
  </si>
  <si>
    <t>Modifications in Chart - Cloud</t>
  </si>
  <si>
    <t>Demo on 30-09-2020 - Task Details</t>
  </si>
  <si>
    <t>Payment Integration modifications - iOS</t>
  </si>
  <si>
    <t>Payment Integration modifications - Android</t>
  </si>
  <si>
    <t>Payment Integration modifications - Cloud</t>
  </si>
  <si>
    <t>Change Phone Number - iOS</t>
  </si>
  <si>
    <t>Change Phone Number - Android</t>
  </si>
  <si>
    <t>Change Phone Number - Cloud</t>
  </si>
  <si>
    <t>Mail functionality during operations - iOS</t>
  </si>
  <si>
    <t>Mail functionality during operations - Android</t>
  </si>
  <si>
    <t>Mail content changes during operations - iCloud</t>
  </si>
  <si>
    <t>Demo on 06-10-2020 - Task Details</t>
  </si>
  <si>
    <t>Apple Pay Integration - Testing</t>
  </si>
  <si>
    <t>Maintenance App - Changes in work report  - iOS</t>
  </si>
  <si>
    <t>Maintenance App - Changes in work report - Android</t>
  </si>
  <si>
    <t xml:space="preserve">Maintenance App - Change in work report - Cloud </t>
  </si>
  <si>
    <t>Area &amp; Landmark in Location - Cloud</t>
  </si>
  <si>
    <t>Demo on 13-10-2020 - Task Details</t>
  </si>
  <si>
    <t>Apple Store Upload</t>
  </si>
  <si>
    <t>Contract Users  Operational Changes - Cloud</t>
  </si>
  <si>
    <t>Dashboard filters &amp; changes - Cloud</t>
  </si>
  <si>
    <t>Cube Application</t>
  </si>
  <si>
    <t>LAST UPDATED ON: 13-November-2020</t>
  </si>
  <si>
    <t>Cloud - Cube Application</t>
  </si>
  <si>
    <t>Cube Registration - Cloud</t>
  </si>
  <si>
    <t>Cube Login &amp; Logout - API</t>
  </si>
  <si>
    <t>Error Logging - API</t>
  </si>
  <si>
    <t>Locking &amp; Unlocking - API</t>
  </si>
  <si>
    <t>Compose Hash - API</t>
  </si>
  <si>
    <t>Cube Power On - API</t>
  </si>
  <si>
    <t>Log Status - API</t>
  </si>
  <si>
    <t>Log Photo - API</t>
  </si>
  <si>
    <t>Action Query - API</t>
  </si>
  <si>
    <t>Cube Login Module - Cloud</t>
  </si>
  <si>
    <t>Device Listing Page - Cloud</t>
  </si>
  <si>
    <t>Error Log Listing Page - Cloud</t>
  </si>
  <si>
    <t>Photos Display Page - Cloud</t>
  </si>
  <si>
    <t>Maintenance Dashboard - Cloud</t>
  </si>
  <si>
    <t>CP - Additional Requirements</t>
  </si>
  <si>
    <t>LAST UPDATED ON: 25-November-2020</t>
  </si>
  <si>
    <t>CP - Cloud</t>
  </si>
  <si>
    <t>Battery Module Management</t>
  </si>
  <si>
    <t>Bar Chart - Battery module</t>
  </si>
  <si>
    <t>Line Chart - Battery module</t>
  </si>
  <si>
    <t xml:space="preserve">Pie Charts </t>
  </si>
  <si>
    <t xml:space="preserve">Payment Management - Maintenance </t>
  </si>
  <si>
    <t>PENDING</t>
  </si>
  <si>
    <t>Demo on 10-11-2020 - Task Details</t>
  </si>
  <si>
    <t>Video Instruction screen - Remove the video player &amp; adding swipeable image collection - iOS</t>
  </si>
  <si>
    <t>Video Instruction screen - Remove the video player &amp; adding swipeable image collection - Android</t>
  </si>
  <si>
    <t>Video Instruction screen - Remove the video player &amp; adding swipeable image collection - Cloud</t>
  </si>
  <si>
    <t>Hash key split - changes in the functional flow - iOS</t>
  </si>
  <si>
    <t>Hash key split - changes in the functional flow - Android</t>
  </si>
  <si>
    <r>
      <rPr>
        <rFont val="Calibri"/>
        <b/>
        <sz val="11.0"/>
      </rPr>
      <t xml:space="preserve">Maintenance Task Page </t>
    </r>
    <r>
      <rPr>
        <rFont val="Calibri"/>
        <sz val="11.0"/>
      </rPr>
      <t xml:space="preserve">
a) Adding Area, Location, Landmark filter
b) Adding boxes to show the device count
c) Changing and adding additional columns in list</t>
    </r>
  </si>
  <si>
    <r>
      <rPr>
        <rFont val="Calibri"/>
        <b/>
        <sz val="11.0"/>
      </rPr>
      <t xml:space="preserve">Error Log Page </t>
    </r>
    <r>
      <rPr>
        <rFont val="Calibri"/>
        <sz val="11.0"/>
      </rPr>
      <t xml:space="preserve">
a) Adding Area, Location, Landmark filter
b) Adding boxes to various count
c) Bar Charts to show various error count</t>
    </r>
  </si>
  <si>
    <r>
      <rPr>
        <rFont val="Calibri"/>
        <b/>
        <sz val="11.0"/>
      </rPr>
      <t>App User Page</t>
    </r>
    <r>
      <rPr>
        <rFont val="Calibri"/>
        <sz val="11.0"/>
      </rPr>
      <t xml:space="preserve">
a) Adding boxes to device count
b) Changing and adding additional columns in list</t>
    </r>
  </si>
  <si>
    <t>Testing &amp; Confirmation</t>
  </si>
  <si>
    <t>Team</t>
  </si>
  <si>
    <t>Demo on 17-11-2020 - Task Details</t>
  </si>
  <si>
    <t>Invoice Generation for users - iOS</t>
  </si>
  <si>
    <t>Invoice Generation for users - Android</t>
  </si>
  <si>
    <t>Invoice Generation for users - Cloud</t>
  </si>
  <si>
    <t>Device Listing Page for Maintenance user Login</t>
  </si>
  <si>
    <t>Search feature in Google map in Location Page</t>
  </si>
  <si>
    <t>SMTP(carrypark.com domain) Setup
Display password of maintenance user in view page</t>
  </si>
  <si>
    <t>Display total number boxes in Chart pages</t>
  </si>
  <si>
    <t>Email notification for email address change and when the maximum usage time reach</t>
  </si>
  <si>
    <t>Testing &amp; Support</t>
  </si>
  <si>
    <t>Demo on 24-11-2020 - Task Details</t>
  </si>
  <si>
    <t>Assign multiple maintenance task at the same time</t>
  </si>
  <si>
    <t>Add multiple device at the same time</t>
  </si>
  <si>
    <t>Landmark Module (add/edit landmarks)</t>
  </si>
  <si>
    <t>Add Location details to Cube devices</t>
  </si>
  <si>
    <t>Add contract user filter in all charts</t>
  </si>
  <si>
    <t>Display data tables in chart pages</t>
  </si>
  <si>
    <t>Location and Date filter in transaction Pages</t>
  </si>
  <si>
    <t>Display count in the user pages</t>
  </si>
  <si>
    <t>Use same devices for Cube &amp; Mobile App 
(Changes in Cloud and APIs)</t>
  </si>
  <si>
    <t>Lithin / Tinu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</si>
</sst>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yyyy"/>
    <numFmt numFmtId="165" formatCode="d\ mmm\ yy"/>
  </numFmts>
  <fonts count="14">
    <font>
      <sz val="11.0"/>
      <color rgb="FF000000"/>
      <name val="Calibri"/>
    </font>
    <font>
      <sz val="24.0"/>
      <color rgb="FF000000"/>
      <name val="Calibri"/>
    </font>
    <font>
      <b/>
      <sz val="11.0"/>
      <color rgb="FFFFFFFF"/>
      <name val="Calibri"/>
    </font>
    <font>
      <b/>
      <sz val="11.0"/>
      <color rgb="FF000000"/>
      <name val="Calibri"/>
    </font>
    <font>
      <b/>
      <sz val="11.0"/>
      <color theme="1"/>
      <name val="Calibri"/>
    </font>
    <font>
      <sz val="11.0"/>
      <color theme="1"/>
      <name val="Calibri"/>
    </font>
    <font/>
    <font>
      <sz val="12.0"/>
      <color rgb="FF000000"/>
      <name val="Calibri"/>
    </font>
    <font>
      <b/>
      <sz val="14.0"/>
      <color rgb="FFFFFFFF"/>
      <name val="Calibri"/>
    </font>
    <font>
      <b/>
      <sz val="12.0"/>
      <color theme="1"/>
      <name val="Calibri"/>
    </font>
    <font>
      <b/>
      <sz val="12.0"/>
      <color rgb="FF000000"/>
      <name val="Calibri"/>
    </font>
    <font>
      <sz val="11.0"/>
      <color rgb="FFFF0000"/>
      <name val="Calibri"/>
    </font>
    <font>
      <sz val="11.0"/>
      <name val="Calibri"/>
    </font>
    <font>
      <b/>
      <sz val="12.0"/>
      <name val="Calibri"/>
    </font>
  </fonts>
  <fills count="9">
    <fill>
      <patternFill patternType="none"/>
    </fill>
    <fill>
      <patternFill patternType="lightGray"/>
    </fill>
    <fill>
      <patternFill patternType="solid">
        <fgColor rgb="FF0070C0"/>
        <bgColor rgb="FF0070C0"/>
      </patternFill>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FFE598"/>
        <bgColor rgb="FFFFE598"/>
      </patternFill>
    </fill>
    <fill>
      <patternFill patternType="solid">
        <fgColor rgb="FFFFFF00"/>
        <bgColor rgb="FFFFFF00"/>
      </patternFill>
    </fill>
    <fill>
      <patternFill patternType="solid">
        <fgColor rgb="FF1F3864"/>
        <bgColor rgb="FF1F3864"/>
      </patternFill>
    </fill>
  </fills>
  <borders count="21">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right style="thin">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top/>
      <bottom/>
    </border>
    <border>
      <left/>
      <right/>
      <top/>
      <bottom/>
    </border>
    <border>
      <left style="thin">
        <color rgb="FF000000"/>
      </left>
      <top style="thin">
        <color rgb="FF000000"/>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Border="1" applyFill="1" applyFont="1"/>
    <xf borderId="0" fillId="0" fontId="0" numFmtId="0" xfId="0" applyAlignment="1" applyFont="1">
      <alignment vertical="center"/>
    </xf>
    <xf borderId="0" fillId="0" fontId="0" numFmtId="0" xfId="0" applyFont="1"/>
    <xf borderId="2" fillId="0" fontId="0" numFmtId="0" xfId="0" applyBorder="1" applyFont="1"/>
    <xf borderId="2" fillId="0" fontId="0" numFmtId="164" xfId="0" applyAlignment="1" applyBorder="1" applyFont="1" applyNumberFormat="1">
      <alignment vertical="center"/>
    </xf>
    <xf borderId="0" fillId="0" fontId="3" numFmtId="0" xfId="0" applyAlignment="1" applyFont="1">
      <alignment horizontal="left" vertical="top"/>
    </xf>
    <xf borderId="0" fillId="0" fontId="0" numFmtId="0" xfId="0" applyAlignment="1" applyFont="1">
      <alignment horizontal="center" vertical="center"/>
    </xf>
    <xf borderId="0" fillId="0" fontId="3" numFmtId="0" xfId="0" applyAlignment="1" applyFont="1">
      <alignment vertical="top"/>
    </xf>
    <xf borderId="1" fillId="3" fontId="2" numFmtId="15" xfId="0" applyAlignment="1" applyBorder="1" applyFill="1" applyFont="1" applyNumberFormat="1">
      <alignment horizontal="right"/>
    </xf>
    <xf borderId="3" fillId="2" fontId="2" numFmtId="15" xfId="0" applyAlignment="1" applyBorder="1" applyFont="1" applyNumberFormat="1">
      <alignment horizontal="center"/>
    </xf>
    <xf borderId="3" fillId="2" fontId="2" numFmtId="15" xfId="0" applyAlignment="1" applyBorder="1" applyFont="1" applyNumberFormat="1">
      <alignment horizontal="right"/>
    </xf>
    <xf borderId="4" fillId="4" fontId="4" numFmtId="0" xfId="0" applyBorder="1" applyFill="1" applyFont="1"/>
    <xf borderId="5" fillId="4" fontId="4" numFmtId="0" xfId="0" applyBorder="1" applyFont="1"/>
    <xf borderId="6" fillId="0" fontId="0" numFmtId="0" xfId="0" applyBorder="1" applyFont="1"/>
    <xf borderId="7" fillId="0" fontId="0" numFmtId="0" xfId="0" applyBorder="1" applyFont="1"/>
    <xf borderId="8" fillId="4" fontId="5" numFmtId="0" xfId="0" applyBorder="1" applyFont="1"/>
    <xf borderId="9" fillId="4" fontId="5" numFmtId="0" xfId="0" applyAlignment="1" applyBorder="1" applyFont="1">
      <alignment horizontal="left"/>
    </xf>
    <xf borderId="9" fillId="4" fontId="4" numFmtId="0" xfId="0" applyBorder="1" applyFont="1"/>
    <xf borderId="9" fillId="4" fontId="5" numFmtId="0" xfId="0" applyBorder="1" applyFont="1"/>
    <xf borderId="9" fillId="4" fontId="5" numFmtId="15" xfId="0" applyBorder="1" applyFont="1" applyNumberFormat="1"/>
    <xf borderId="9" fillId="5" fontId="4" numFmtId="9" xfId="0" applyAlignment="1" applyBorder="1" applyFill="1" applyFont="1" applyNumberFormat="1">
      <alignment horizontal="right"/>
    </xf>
    <xf borderId="4" fillId="4" fontId="5" numFmtId="0" xfId="0" applyBorder="1" applyFont="1"/>
    <xf borderId="2" fillId="4" fontId="5" numFmtId="0" xfId="0" applyAlignment="1" applyBorder="1" applyFont="1">
      <alignment horizontal="left"/>
    </xf>
    <xf borderId="2" fillId="4" fontId="4" numFmtId="0" xfId="0" applyBorder="1" applyFont="1"/>
    <xf borderId="2" fillId="4" fontId="5" numFmtId="0" xfId="0" applyBorder="1" applyFont="1"/>
    <xf borderId="2" fillId="4" fontId="5" numFmtId="15" xfId="0" applyBorder="1" applyFont="1" applyNumberFormat="1"/>
    <xf borderId="2" fillId="5" fontId="4" numFmtId="9" xfId="0" applyAlignment="1" applyBorder="1" applyFont="1" applyNumberFormat="1">
      <alignment horizontal="right"/>
    </xf>
    <xf borderId="4" fillId="6" fontId="5" numFmtId="0" xfId="0" applyBorder="1" applyFill="1" applyFont="1"/>
    <xf borderId="2" fillId="6" fontId="5" numFmtId="0" xfId="0" applyAlignment="1" applyBorder="1" applyFont="1">
      <alignment horizontal="left"/>
    </xf>
    <xf borderId="2" fillId="6" fontId="4" numFmtId="0" xfId="0" applyBorder="1" applyFont="1"/>
    <xf borderId="2" fillId="6" fontId="5" numFmtId="0" xfId="0" applyBorder="1" applyFont="1"/>
    <xf borderId="2" fillId="6" fontId="5" numFmtId="15" xfId="0" applyBorder="1" applyFont="1" applyNumberFormat="1"/>
    <xf borderId="2" fillId="6" fontId="4" numFmtId="9" xfId="0" applyAlignment="1" applyBorder="1" applyFont="1" applyNumberFormat="1">
      <alignment horizontal="right"/>
    </xf>
    <xf borderId="10" fillId="4" fontId="4" numFmtId="0" xfId="0" applyBorder="1" applyFont="1"/>
    <xf borderId="11" fillId="4" fontId="4" numFmtId="0" xfId="0" applyBorder="1" applyFont="1"/>
    <xf borderId="3" fillId="4" fontId="4" numFmtId="0" xfId="0" applyBorder="1" applyFont="1"/>
    <xf borderId="12" fillId="0" fontId="5" numFmtId="0" xfId="0" applyBorder="1" applyFont="1"/>
    <xf borderId="2" fillId="0" fontId="5" numFmtId="0" xfId="0" applyAlignment="1" applyBorder="1" applyFont="1">
      <alignment horizontal="left"/>
    </xf>
    <xf borderId="2" fillId="0" fontId="4" numFmtId="0" xfId="0" applyBorder="1" applyFont="1"/>
    <xf borderId="2" fillId="0" fontId="5" numFmtId="0" xfId="0" applyBorder="1" applyFont="1"/>
    <xf borderId="2" fillId="0" fontId="5" numFmtId="15" xfId="0" applyBorder="1" applyFont="1" applyNumberFormat="1"/>
    <xf borderId="2" fillId="0" fontId="4" numFmtId="9" xfId="0" applyAlignment="1" applyBorder="1" applyFont="1" applyNumberFormat="1">
      <alignment horizontal="right"/>
    </xf>
    <xf borderId="2" fillId="4" fontId="5" numFmtId="15" xfId="0" applyAlignment="1" applyBorder="1" applyFont="1" applyNumberFormat="1">
      <alignment vertical="top"/>
    </xf>
    <xf borderId="13" fillId="4" fontId="5" numFmtId="0" xfId="0" applyAlignment="1" applyBorder="1" applyFont="1">
      <alignment horizontal="left"/>
    </xf>
    <xf borderId="13" fillId="4" fontId="4" numFmtId="0" xfId="0" applyBorder="1" applyFont="1"/>
    <xf borderId="13" fillId="4" fontId="5" numFmtId="0" xfId="0" applyBorder="1" applyFont="1"/>
    <xf borderId="13" fillId="4" fontId="5" numFmtId="15" xfId="0" applyBorder="1" applyFont="1" applyNumberFormat="1"/>
    <xf borderId="14" fillId="4" fontId="4" numFmtId="0" xfId="0" applyAlignment="1" applyBorder="1" applyFont="1">
      <alignment horizontal="right"/>
    </xf>
    <xf borderId="6" fillId="0" fontId="6" numFmtId="0" xfId="0" applyBorder="1" applyFont="1"/>
    <xf borderId="7" fillId="0" fontId="6" numFmtId="0" xfId="0" applyBorder="1" applyFont="1"/>
    <xf borderId="2" fillId="4" fontId="4" numFmtId="15" xfId="0" applyBorder="1" applyFont="1" applyNumberFormat="1"/>
    <xf borderId="0" fillId="0" fontId="3" numFmtId="0" xfId="0" applyFont="1"/>
    <xf borderId="11" fillId="4" fontId="5" numFmtId="0" xfId="0" applyBorder="1" applyFont="1"/>
    <xf borderId="0" fillId="0" fontId="7" numFmtId="0" xfId="0" applyFont="1"/>
    <xf borderId="4" fillId="7" fontId="5" numFmtId="0" xfId="0" applyBorder="1" applyFill="1" applyFont="1"/>
    <xf borderId="2" fillId="7" fontId="4" numFmtId="0" xfId="0" applyAlignment="1" applyBorder="1" applyFont="1">
      <alignment horizontal="left"/>
    </xf>
    <xf borderId="2" fillId="7" fontId="4" numFmtId="0" xfId="0" applyBorder="1" applyFont="1"/>
    <xf borderId="2" fillId="7" fontId="5" numFmtId="0" xfId="0" applyBorder="1" applyFont="1"/>
    <xf borderId="2" fillId="7" fontId="5" numFmtId="15" xfId="0" applyBorder="1" applyFont="1" applyNumberFormat="1"/>
    <xf borderId="2" fillId="7" fontId="5" numFmtId="165" xfId="0" applyBorder="1" applyFont="1" applyNumberFormat="1"/>
    <xf borderId="2" fillId="7" fontId="4" numFmtId="9" xfId="0" applyAlignment="1" applyBorder="1" applyFont="1" applyNumberFormat="1">
      <alignment horizontal="right"/>
    </xf>
    <xf borderId="2" fillId="4" fontId="5" numFmtId="165" xfId="0" applyBorder="1" applyFont="1" applyNumberFormat="1"/>
    <xf borderId="2" fillId="5" fontId="5" numFmtId="9" xfId="0" applyBorder="1" applyFont="1" applyNumberFormat="1"/>
    <xf borderId="2" fillId="5" fontId="4" numFmtId="9" xfId="0" applyBorder="1" applyFont="1" applyNumberFormat="1"/>
    <xf borderId="15" fillId="8" fontId="8" numFmtId="0" xfId="0" applyAlignment="1" applyBorder="1" applyFill="1" applyFont="1">
      <alignment horizontal="center" vertical="top"/>
    </xf>
    <xf borderId="16" fillId="0" fontId="6" numFmtId="0" xfId="0" applyBorder="1" applyFont="1"/>
    <xf borderId="17" fillId="0" fontId="6" numFmtId="0" xfId="0" applyBorder="1" applyFont="1"/>
    <xf borderId="0" fillId="0" fontId="0" numFmtId="0" xfId="0" applyAlignment="1" applyFont="1">
      <alignment vertical="top"/>
    </xf>
    <xf borderId="1" fillId="3" fontId="2" numFmtId="15" xfId="0" applyAlignment="1" applyBorder="1" applyFont="1" applyNumberFormat="1">
      <alignment horizontal="left" vertical="top"/>
    </xf>
    <xf borderId="4" fillId="4" fontId="4" numFmtId="0" xfId="0" applyAlignment="1" applyBorder="1" applyFont="1">
      <alignment vertical="top"/>
    </xf>
    <xf borderId="5" fillId="4" fontId="4" numFmtId="0" xfId="0" applyAlignment="1" applyBorder="1" applyFont="1">
      <alignment vertical="top"/>
    </xf>
    <xf borderId="18" fillId="4" fontId="4" numFmtId="0" xfId="0" applyAlignment="1" applyBorder="1" applyFont="1">
      <alignment vertical="top"/>
    </xf>
    <xf borderId="2" fillId="4" fontId="5" numFmtId="0" xfId="0" applyAlignment="1" applyBorder="1" applyFont="1">
      <alignment horizontal="left" vertical="top"/>
    </xf>
    <xf borderId="2" fillId="4" fontId="5" numFmtId="0" xfId="0" applyAlignment="1" applyBorder="1" applyFont="1">
      <alignment vertical="top"/>
    </xf>
    <xf borderId="2" fillId="0" fontId="5" numFmtId="15" xfId="0" applyAlignment="1" applyBorder="1" applyFont="1" applyNumberFormat="1">
      <alignment vertical="top"/>
    </xf>
    <xf borderId="2" fillId="5" fontId="4" numFmtId="9" xfId="0" applyAlignment="1" applyBorder="1" applyFont="1" applyNumberFormat="1">
      <alignment horizontal="right" vertical="top"/>
    </xf>
    <xf borderId="9" fillId="4" fontId="5" numFmtId="0" xfId="0" applyAlignment="1" applyBorder="1" applyFont="1">
      <alignment horizontal="left" vertical="top"/>
    </xf>
    <xf borderId="9" fillId="4" fontId="5" numFmtId="0" xfId="0" applyAlignment="1" applyBorder="1" applyFont="1">
      <alignment vertical="top"/>
    </xf>
    <xf borderId="9" fillId="4" fontId="5" numFmtId="15" xfId="0" applyAlignment="1" applyBorder="1" applyFont="1" applyNumberFormat="1">
      <alignment vertical="top"/>
    </xf>
    <xf borderId="9" fillId="5" fontId="4" numFmtId="9" xfId="0" applyAlignment="1" applyBorder="1" applyFont="1" applyNumberFormat="1">
      <alignment horizontal="right" vertical="top"/>
    </xf>
    <xf borderId="10" fillId="4" fontId="4" numFmtId="0" xfId="0" applyAlignment="1" applyBorder="1" applyFont="1">
      <alignment vertical="top"/>
    </xf>
    <xf borderId="11" fillId="4" fontId="4" numFmtId="0" xfId="0" applyAlignment="1" applyBorder="1" applyFont="1">
      <alignment vertical="top"/>
    </xf>
    <xf borderId="3" fillId="4" fontId="4" numFmtId="0" xfId="0" applyAlignment="1" applyBorder="1" applyFont="1">
      <alignment vertical="top"/>
    </xf>
    <xf borderId="14" fillId="4" fontId="9" numFmtId="0" xfId="0" applyAlignment="1" applyBorder="1" applyFont="1">
      <alignment horizontal="right" vertical="top"/>
    </xf>
    <xf borderId="2" fillId="4" fontId="9" numFmtId="0" xfId="0" applyAlignment="1" applyBorder="1" applyFont="1">
      <alignment vertical="top"/>
    </xf>
    <xf borderId="2" fillId="4" fontId="9" numFmtId="15" xfId="0" applyAlignment="1" applyBorder="1" applyFont="1" applyNumberFormat="1">
      <alignment vertical="top"/>
    </xf>
    <xf borderId="2" fillId="5" fontId="9" numFmtId="9" xfId="0" applyAlignment="1" applyBorder="1" applyFont="1" applyNumberFormat="1">
      <alignment horizontal="right" vertical="top"/>
    </xf>
    <xf borderId="0" fillId="0" fontId="10" numFmtId="0" xfId="0" applyAlignment="1" applyFont="1">
      <alignment vertical="top"/>
    </xf>
    <xf borderId="12" fillId="0" fontId="10" numFmtId="0" xfId="0" applyAlignment="1" applyBorder="1" applyFont="1">
      <alignment horizontal="right" vertical="top"/>
    </xf>
    <xf borderId="0" fillId="0" fontId="7" numFmtId="0" xfId="0" applyAlignment="1" applyFont="1">
      <alignment vertical="top"/>
    </xf>
    <xf borderId="0" fillId="0" fontId="10" numFmtId="0" xfId="0" applyAlignment="1" applyFont="1">
      <alignment horizontal="right" vertical="top"/>
    </xf>
    <xf borderId="11" fillId="4" fontId="9" numFmtId="15" xfId="0" applyAlignment="1" applyBorder="1" applyFont="1" applyNumberFormat="1">
      <alignment vertical="top"/>
    </xf>
    <xf borderId="11" fillId="8" fontId="8" numFmtId="0" xfId="0" applyAlignment="1" applyBorder="1" applyFont="1">
      <alignment horizontal="center" vertical="top"/>
    </xf>
    <xf borderId="3" fillId="2" fontId="2" numFmtId="0" xfId="0" applyAlignment="1" applyBorder="1" applyFont="1">
      <alignment vertical="top"/>
    </xf>
    <xf borderId="1" fillId="2" fontId="2" numFmtId="0" xfId="0" applyAlignment="1" applyBorder="1" applyFont="1">
      <alignment vertical="top"/>
    </xf>
    <xf borderId="1" fillId="2" fontId="2" numFmtId="0" xfId="0" applyAlignment="1" applyBorder="1" applyFont="1">
      <alignment horizontal="left" vertical="top"/>
    </xf>
    <xf borderId="1" fillId="2" fontId="2" numFmtId="15" xfId="0" applyAlignment="1" applyBorder="1" applyFont="1" applyNumberFormat="1">
      <alignment horizontal="left" vertical="top"/>
    </xf>
    <xf borderId="5" fillId="4" fontId="5" numFmtId="0" xfId="0" applyAlignment="1" applyBorder="1" applyFont="1">
      <alignment vertical="center"/>
    </xf>
    <xf borderId="2" fillId="4" fontId="5" numFmtId="0" xfId="0" applyAlignment="1" applyBorder="1" applyFont="1">
      <alignment horizontal="left" shrinkToFit="0" vertical="center" wrapText="1"/>
    </xf>
    <xf borderId="2" fillId="4" fontId="4" numFmtId="0" xfId="0" applyAlignment="1" applyBorder="1" applyFont="1">
      <alignment vertical="center"/>
    </xf>
    <xf borderId="2" fillId="4" fontId="5" numFmtId="0" xfId="0" applyAlignment="1" applyBorder="1" applyFont="1">
      <alignment vertical="center"/>
    </xf>
    <xf borderId="2" fillId="5" fontId="4" numFmtId="9" xfId="0" applyAlignment="1" applyBorder="1" applyFont="1" applyNumberFormat="1">
      <alignment horizontal="right" vertical="center"/>
    </xf>
    <xf borderId="11" fillId="4" fontId="5" numFmtId="0" xfId="0" applyAlignment="1" applyBorder="1" applyFont="1">
      <alignment vertical="center"/>
    </xf>
    <xf borderId="2" fillId="0" fontId="0" numFmtId="0" xfId="0" applyAlignment="1" applyBorder="1" applyFont="1">
      <alignment vertical="center"/>
    </xf>
    <xf borderId="2" fillId="4" fontId="5" numFmtId="0" xfId="0" applyAlignment="1" applyBorder="1" applyFont="1">
      <alignment horizontal="left" vertical="center"/>
    </xf>
    <xf borderId="0" fillId="0" fontId="11" numFmtId="0" xfId="0" applyAlignment="1" applyFont="1">
      <alignment vertical="center"/>
    </xf>
    <xf borderId="14" fillId="4" fontId="9" numFmtId="0" xfId="0" applyAlignment="1" applyBorder="1" applyFont="1">
      <alignment horizontal="right" vertical="center"/>
    </xf>
    <xf borderId="2" fillId="4" fontId="9" numFmtId="0" xfId="0" applyAlignment="1" applyBorder="1" applyFont="1">
      <alignment vertical="center"/>
    </xf>
    <xf borderId="2" fillId="4" fontId="9" numFmtId="15" xfId="0" applyAlignment="1" applyBorder="1" applyFont="1" applyNumberFormat="1">
      <alignment vertical="center"/>
    </xf>
    <xf borderId="2" fillId="5" fontId="9" numFmtId="9" xfId="0" applyAlignment="1" applyBorder="1" applyFont="1" applyNumberFormat="1">
      <alignment horizontal="right" vertical="center"/>
    </xf>
    <xf borderId="0" fillId="0" fontId="10" numFmtId="0" xfId="0" applyAlignment="1" applyFont="1">
      <alignment vertical="center"/>
    </xf>
    <xf borderId="12" fillId="0" fontId="10" numFmtId="0" xfId="0" applyAlignment="1" applyBorder="1" applyFont="1">
      <alignment horizontal="right" vertical="center"/>
    </xf>
    <xf borderId="2" fillId="0" fontId="3" numFmtId="164" xfId="0" applyAlignment="1" applyBorder="1" applyFont="1" applyNumberFormat="1">
      <alignment vertical="center"/>
    </xf>
    <xf borderId="6" fillId="0" fontId="10" numFmtId="0" xfId="0" applyAlignment="1" applyBorder="1" applyFont="1">
      <alignment vertical="center"/>
    </xf>
    <xf borderId="7" fillId="0" fontId="10" numFmtId="0" xfId="0" applyAlignment="1" applyBorder="1" applyFont="1">
      <alignment vertical="center"/>
    </xf>
    <xf borderId="0" fillId="0" fontId="7" numFmtId="0" xfId="0" applyAlignment="1" applyFont="1">
      <alignment vertical="center"/>
    </xf>
    <xf borderId="15" fillId="8" fontId="8" numFmtId="0" xfId="0" applyAlignment="1" applyBorder="1" applyFont="1">
      <alignment horizontal="left" vertical="top"/>
    </xf>
    <xf borderId="6" fillId="0" fontId="4" numFmtId="0" xfId="0" applyAlignment="1" applyBorder="1" applyFont="1">
      <alignment vertical="center"/>
    </xf>
    <xf borderId="2" fillId="0" fontId="5" numFmtId="0" xfId="0" applyAlignment="1" applyBorder="1" applyFont="1">
      <alignment horizontal="left" shrinkToFit="0" vertical="center" wrapText="1"/>
    </xf>
    <xf borderId="2" fillId="0" fontId="4" numFmtId="0" xfId="0" applyAlignment="1" applyBorder="1" applyFont="1">
      <alignment vertical="center"/>
    </xf>
    <xf borderId="2" fillId="0" fontId="5" numFmtId="0" xfId="0" applyAlignment="1" applyBorder="1" applyFont="1">
      <alignment vertical="center"/>
    </xf>
    <xf borderId="2" fillId="0" fontId="4" numFmtId="9" xfId="0" applyAlignment="1" applyBorder="1" applyFont="1" applyNumberFormat="1">
      <alignment horizontal="right" vertical="center"/>
    </xf>
    <xf borderId="2" fillId="0" fontId="10" numFmtId="164" xfId="0" applyAlignment="1" applyBorder="1" applyFont="1" applyNumberFormat="1">
      <alignment vertical="center"/>
    </xf>
    <xf borderId="11" fillId="8" fontId="8" numFmtId="0" xfId="0" applyAlignment="1" applyBorder="1" applyFont="1">
      <alignment vertical="top"/>
    </xf>
    <xf borderId="2" fillId="4" fontId="5" numFmtId="0" xfId="0" applyAlignment="1" applyBorder="1" applyFont="1">
      <alignment shrinkToFit="0" vertical="center" wrapText="1"/>
    </xf>
    <xf borderId="11" fillId="4" fontId="5" numFmtId="0" xfId="0" applyAlignment="1" applyBorder="1" applyFont="1">
      <alignment horizontal="left" shrinkToFit="0" vertical="center" wrapText="1"/>
    </xf>
    <xf borderId="11" fillId="4" fontId="4" numFmtId="0" xfId="0" applyAlignment="1" applyBorder="1" applyFont="1">
      <alignment vertical="center"/>
    </xf>
    <xf borderId="0" fillId="0" fontId="0" numFmtId="164" xfId="0" applyAlignment="1" applyFont="1" applyNumberFormat="1">
      <alignment vertical="center"/>
    </xf>
    <xf borderId="11" fillId="5" fontId="9" numFmtId="9" xfId="0" applyAlignment="1" applyBorder="1" applyFont="1" applyNumberFormat="1">
      <alignment horizontal="right" vertical="center"/>
    </xf>
    <xf borderId="2" fillId="0" fontId="0" numFmtId="0" xfId="0" applyAlignment="1" applyBorder="1" applyFont="1">
      <alignment vertical="top"/>
    </xf>
    <xf borderId="12" fillId="0" fontId="10" numFmtId="164" xfId="0" applyAlignment="1" applyBorder="1" applyFont="1" applyNumberFormat="1">
      <alignment vertical="center"/>
    </xf>
    <xf borderId="6" fillId="0" fontId="0" numFmtId="0" xfId="0" applyAlignment="1" applyBorder="1" applyFont="1">
      <alignment vertical="top"/>
    </xf>
    <xf borderId="7" fillId="0" fontId="0" numFmtId="0" xfId="0" applyAlignment="1" applyBorder="1" applyFont="1">
      <alignment vertical="top"/>
    </xf>
    <xf borderId="0" fillId="0" fontId="1" numFmtId="0" xfId="0" applyAlignment="1" applyFont="1">
      <alignment horizontal="left" vertical="top"/>
    </xf>
    <xf borderId="0" fillId="0" fontId="3" numFmtId="0" xfId="0" applyAlignment="1" applyFont="1">
      <alignment horizontal="left" readingOrder="0" vertical="top"/>
    </xf>
    <xf borderId="0" fillId="0" fontId="0" numFmtId="0" xfId="0" applyAlignment="1" applyFont="1">
      <alignment horizontal="center" vertical="top"/>
    </xf>
    <xf borderId="5" fillId="4" fontId="5" numFmtId="0" xfId="0" applyAlignment="1" applyBorder="1" applyFont="1">
      <alignment vertical="top"/>
    </xf>
    <xf borderId="2" fillId="4" fontId="4" numFmtId="0" xfId="0" applyAlignment="1" applyBorder="1" applyFont="1">
      <alignment vertical="top"/>
    </xf>
    <xf borderId="2" fillId="0" fontId="0" numFmtId="164" xfId="0" applyAlignment="1" applyBorder="1" applyFont="1" applyNumberFormat="1">
      <alignment vertical="top"/>
    </xf>
    <xf borderId="2" fillId="4" fontId="12" numFmtId="0" xfId="0" applyAlignment="1" applyBorder="1" applyFont="1">
      <alignment readingOrder="0" vertical="top"/>
    </xf>
    <xf borderId="2" fillId="0" fontId="0" numFmtId="0" xfId="0" applyAlignment="1" applyBorder="1" applyFont="1">
      <alignment readingOrder="0" vertical="top"/>
    </xf>
    <xf borderId="2" fillId="5" fontId="13" numFmtId="9" xfId="0" applyAlignment="1" applyBorder="1" applyFont="1" applyNumberFormat="1">
      <alignment horizontal="right" vertical="top"/>
    </xf>
    <xf borderId="2" fillId="0" fontId="10" numFmtId="164" xfId="0" applyAlignment="1" applyBorder="1" applyFont="1" applyNumberFormat="1">
      <alignment vertical="top"/>
    </xf>
    <xf borderId="2" fillId="4" fontId="5" numFmtId="0" xfId="0" applyAlignment="1" applyBorder="1" applyFont="1">
      <alignment horizontal="left" shrinkToFit="0" vertical="top" wrapText="1"/>
    </xf>
    <xf borderId="2" fillId="5" fontId="9" numFmtId="9" xfId="0" applyAlignment="1" applyBorder="1" applyFont="1" applyNumberFormat="1">
      <alignment horizontal="right" readingOrder="0" vertical="top"/>
    </xf>
    <xf borderId="2" fillId="0" fontId="0" numFmtId="164" xfId="0" applyAlignment="1" applyBorder="1" applyFont="1" applyNumberFormat="1">
      <alignment readingOrder="0" vertical="top"/>
    </xf>
    <xf borderId="12" fillId="0" fontId="10" numFmtId="164" xfId="0" applyAlignment="1" applyBorder="1" applyFont="1" applyNumberFormat="1">
      <alignment vertical="top"/>
    </xf>
    <xf borderId="6" fillId="0" fontId="10" numFmtId="164" xfId="0" applyAlignment="1" applyBorder="1" applyFont="1" applyNumberFormat="1">
      <alignment vertical="top"/>
    </xf>
    <xf borderId="7" fillId="0" fontId="10" numFmtId="164" xfId="0" applyAlignment="1" applyBorder="1" applyFont="1" applyNumberFormat="1">
      <alignment vertical="top"/>
    </xf>
    <xf borderId="11" fillId="8" fontId="5" numFmtId="0" xfId="0" applyAlignment="1" applyBorder="1" applyFont="1">
      <alignment vertical="top"/>
    </xf>
    <xf borderId="19" fillId="2" fontId="2" numFmtId="15" xfId="0" applyAlignment="1" applyBorder="1" applyFont="1" applyNumberFormat="1">
      <alignment horizontal="right" readingOrder="0" vertical="top"/>
    </xf>
    <xf borderId="19" fillId="2" fontId="2" numFmtId="15" xfId="0" applyAlignment="1" applyBorder="1" applyFont="1" applyNumberFormat="1">
      <alignment readingOrder="0" vertical="top"/>
    </xf>
    <xf borderId="2" fillId="4" fontId="5" numFmtId="0" xfId="0" applyAlignment="1" applyBorder="1" applyFont="1">
      <alignment readingOrder="0" vertical="top"/>
    </xf>
    <xf borderId="19" fillId="4" fontId="9" numFmtId="9" xfId="0" applyAlignment="1" applyBorder="1" applyFont="1" applyNumberFormat="1">
      <alignment horizontal="right" readingOrder="0" vertical="top"/>
    </xf>
    <xf borderId="5" fillId="4" fontId="5" numFmtId="0" xfId="0" applyAlignment="1" applyBorder="1" applyFont="1">
      <alignment readingOrder="0" vertical="top"/>
    </xf>
    <xf borderId="2" fillId="4" fontId="5" numFmtId="0" xfId="0" applyAlignment="1" applyBorder="1" applyFont="1">
      <alignment horizontal="left" readingOrder="0" shrinkToFit="0" vertical="top" wrapText="1"/>
    </xf>
    <xf borderId="19" fillId="4" fontId="9" numFmtId="9" xfId="0" applyAlignment="1" applyBorder="1" applyFont="1" applyNumberFormat="1">
      <alignment horizontal="right" vertical="top"/>
    </xf>
    <xf borderId="11" fillId="4" fontId="5" numFmtId="0" xfId="0" applyAlignment="1" applyBorder="1" applyFont="1">
      <alignment readingOrder="0" vertical="top"/>
    </xf>
    <xf borderId="20" fillId="4" fontId="5" numFmtId="9" xfId="0" applyAlignment="1" applyBorder="1" applyFont="1" applyNumberFormat="1">
      <alignment vertical="top"/>
    </xf>
    <xf borderId="12" fillId="0" fontId="10" numFmtId="164" xfId="0" applyAlignment="1" applyBorder="1" applyFont="1" applyNumberFormat="1">
      <alignment horizontal="right" readingOrder="0" vertical="top"/>
    </xf>
    <xf borderId="6" fillId="0" fontId="10" numFmtId="164" xfId="0" applyAlignment="1" applyBorder="1" applyFont="1" applyNumberFormat="1">
      <alignment horizontal="right" vertical="top"/>
    </xf>
    <xf borderId="11" fillId="8" fontId="8" numFmtId="0" xfId="0" applyAlignment="1" applyBorder="1" applyFont="1">
      <alignment readingOrder="0" vertical="top"/>
    </xf>
    <xf borderId="2" fillId="4" fontId="4" numFmtId="0" xfId="0" applyAlignment="1" applyBorder="1" applyFont="1">
      <alignment readingOrder="0" vertical="top"/>
    </xf>
    <xf borderId="19" fillId="4" fontId="5" numFmtId="9" xfId="0" applyAlignment="1" applyBorder="1" applyFont="1" applyNumberFormat="1">
      <alignment vertical="top"/>
    </xf>
    <xf borderId="19" fillId="0" fontId="10" numFmtId="164" xfId="0" applyAlignment="1" applyBorder="1" applyFont="1" applyNumberFormat="1">
      <alignment horizontal="righ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29"/>
    <col customWidth="1" min="2" max="2" width="62.43"/>
    <col customWidth="1" min="3" max="3" width="11.71"/>
    <col customWidth="1" min="4" max="4" width="12.0"/>
    <col customWidth="1" min="5" max="5" width="11.57"/>
    <col customWidth="1" min="6" max="6" width="11.14"/>
    <col customWidth="1" min="7" max="39" width="12.86"/>
  </cols>
  <sheetData>
    <row r="1" ht="15.0" customHeight="1">
      <c r="A1" s="1" t="s">
        <v>0</v>
      </c>
      <c r="C1" s="2" t="s">
        <v>1</v>
      </c>
      <c r="D1" s="2" t="s">
        <v>2</v>
      </c>
      <c r="E1" s="2" t="s">
        <v>3</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4"/>
      <c r="AO1" s="4"/>
      <c r="AP1" s="4"/>
      <c r="AQ1" s="4"/>
      <c r="AR1" s="4"/>
      <c r="AS1" s="4"/>
      <c r="AT1" s="4"/>
      <c r="AU1" s="4"/>
      <c r="AV1" s="4"/>
      <c r="AW1" s="4"/>
      <c r="AX1" s="4"/>
      <c r="AY1" s="4"/>
      <c r="AZ1" s="4"/>
      <c r="BA1" s="4"/>
      <c r="BB1" s="4"/>
      <c r="BC1" s="4"/>
      <c r="BD1" s="4"/>
      <c r="BE1" s="4"/>
      <c r="BF1" s="4"/>
      <c r="BG1" s="4"/>
    </row>
    <row r="2" ht="15.0" customHeight="1">
      <c r="C2" s="5">
        <v>1.0</v>
      </c>
      <c r="D2" s="6">
        <v>43801.0</v>
      </c>
      <c r="E2" s="6">
        <v>43936.0</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4"/>
      <c r="AO2" s="4"/>
      <c r="AP2" s="4"/>
      <c r="AQ2" s="4"/>
      <c r="AR2" s="4"/>
      <c r="AS2" s="4"/>
      <c r="AT2" s="4"/>
      <c r="AU2" s="4"/>
      <c r="AV2" s="4"/>
      <c r="AW2" s="4"/>
      <c r="AX2" s="4"/>
      <c r="AY2" s="4"/>
      <c r="AZ2" s="4"/>
      <c r="BA2" s="4"/>
      <c r="BB2" s="4"/>
      <c r="BC2" s="4"/>
      <c r="BD2" s="4"/>
      <c r="BE2" s="4"/>
      <c r="BF2" s="4"/>
      <c r="BG2" s="4"/>
    </row>
    <row r="3">
      <c r="A3" s="7" t="s">
        <v>4</v>
      </c>
      <c r="C3" s="5"/>
      <c r="D3" s="6"/>
      <c r="E3" s="6"/>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4"/>
      <c r="AO3" s="4"/>
      <c r="AP3" s="4"/>
      <c r="AQ3" s="4"/>
      <c r="AR3" s="4"/>
      <c r="AS3" s="4"/>
      <c r="AT3" s="4"/>
      <c r="AU3" s="4"/>
      <c r="AV3" s="4"/>
      <c r="AW3" s="4"/>
      <c r="AX3" s="4"/>
      <c r="AY3" s="4"/>
      <c r="AZ3" s="4"/>
      <c r="BA3" s="4"/>
      <c r="BB3" s="4"/>
      <c r="BC3" s="4"/>
      <c r="BD3" s="4"/>
      <c r="BE3" s="4"/>
      <c r="BF3" s="4"/>
      <c r="BG3" s="4"/>
    </row>
    <row r="4">
      <c r="A4" s="7" t="s">
        <v>5</v>
      </c>
      <c r="C4" s="5"/>
      <c r="D4" s="6"/>
      <c r="E4" s="6"/>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4"/>
      <c r="AO4" s="4"/>
      <c r="AP4" s="4"/>
      <c r="AQ4" s="4"/>
      <c r="AR4" s="4"/>
      <c r="AS4" s="4"/>
      <c r="AT4" s="4"/>
      <c r="AU4" s="4"/>
      <c r="AV4" s="4"/>
      <c r="AW4" s="4"/>
      <c r="AX4" s="4"/>
      <c r="AY4" s="4"/>
      <c r="AZ4" s="4"/>
      <c r="BA4" s="4"/>
      <c r="BB4" s="4"/>
      <c r="BC4" s="4"/>
      <c r="BD4" s="4"/>
      <c r="BE4" s="4"/>
      <c r="BF4" s="4"/>
      <c r="BG4" s="4"/>
    </row>
    <row r="5">
      <c r="A5" s="7"/>
      <c r="C5" s="9"/>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4"/>
      <c r="AO5" s="4"/>
      <c r="AP5" s="4"/>
      <c r="AQ5" s="4"/>
      <c r="AR5" s="4"/>
      <c r="AS5" s="4"/>
      <c r="AT5" s="4"/>
      <c r="AU5" s="4"/>
      <c r="AV5" s="4"/>
      <c r="AW5" s="4"/>
      <c r="AX5" s="4"/>
      <c r="AY5" s="4"/>
      <c r="AZ5" s="4"/>
      <c r="BA5" s="4"/>
      <c r="BB5" s="4"/>
      <c r="BC5" s="4"/>
      <c r="BD5" s="4"/>
      <c r="BE5" s="4"/>
      <c r="BF5" s="4"/>
      <c r="BG5" s="4"/>
    </row>
    <row r="6">
      <c r="A6" s="2" t="s">
        <v>6</v>
      </c>
      <c r="B6" s="2" t="s">
        <v>7</v>
      </c>
      <c r="C6" s="2" t="s">
        <v>8</v>
      </c>
      <c r="D6" s="2" t="s">
        <v>9</v>
      </c>
      <c r="E6" s="2" t="s">
        <v>10</v>
      </c>
      <c r="F6" s="2" t="s">
        <v>11</v>
      </c>
      <c r="G6" s="2" t="s">
        <v>12</v>
      </c>
      <c r="H6" s="2" t="s">
        <v>13</v>
      </c>
      <c r="I6" s="10">
        <v>43953.0</v>
      </c>
      <c r="J6" s="11">
        <v>43952.0</v>
      </c>
      <c r="K6" s="11">
        <v>43951.0</v>
      </c>
      <c r="L6" s="11">
        <v>43950.0</v>
      </c>
      <c r="M6" s="11">
        <v>43949.0</v>
      </c>
      <c r="N6" s="11">
        <v>43948.0</v>
      </c>
      <c r="O6" s="11">
        <v>43947.0</v>
      </c>
      <c r="P6" s="11">
        <v>43946.0</v>
      </c>
      <c r="Q6" s="11">
        <v>43945.0</v>
      </c>
      <c r="R6" s="11">
        <v>43944.0</v>
      </c>
      <c r="S6" s="11">
        <v>43943.0</v>
      </c>
      <c r="T6" s="12">
        <v>43942.0</v>
      </c>
      <c r="U6" s="12">
        <v>43941.0</v>
      </c>
      <c r="V6" s="12">
        <v>43938.0</v>
      </c>
      <c r="W6" s="12">
        <v>43937.0</v>
      </c>
      <c r="X6" s="12">
        <v>43936.0</v>
      </c>
      <c r="Y6" s="12">
        <v>43934.0</v>
      </c>
      <c r="Z6" s="12">
        <v>43930.0</v>
      </c>
      <c r="AA6" s="12">
        <v>43929.0</v>
      </c>
      <c r="AB6" s="12">
        <v>43928.0</v>
      </c>
      <c r="AC6" s="12">
        <v>43927.0</v>
      </c>
      <c r="AD6" s="12">
        <v>43924.0</v>
      </c>
      <c r="AE6" s="12">
        <v>43923.0</v>
      </c>
      <c r="AF6" s="12">
        <v>43922.0</v>
      </c>
      <c r="AG6" s="12">
        <v>43921.0</v>
      </c>
      <c r="AH6" s="12">
        <v>43920.0</v>
      </c>
      <c r="AI6" s="12">
        <v>43918.0</v>
      </c>
      <c r="AJ6" s="12">
        <v>43917.0</v>
      </c>
      <c r="AK6" s="12">
        <v>43916.0</v>
      </c>
      <c r="AL6" s="12">
        <v>43915.0</v>
      </c>
      <c r="AM6" s="12">
        <v>43914.0</v>
      </c>
      <c r="AO6" s="4"/>
      <c r="AP6" s="4"/>
      <c r="AQ6" s="4"/>
      <c r="AR6" s="4"/>
      <c r="AS6" s="4"/>
      <c r="AT6" s="4"/>
      <c r="AU6" s="4"/>
      <c r="AV6" s="4"/>
      <c r="AW6" s="4"/>
      <c r="AX6" s="4"/>
      <c r="AY6" s="4"/>
      <c r="AZ6" s="4"/>
      <c r="BA6" s="4"/>
      <c r="BB6" s="4"/>
      <c r="BC6" s="4"/>
      <c r="BD6" s="4"/>
      <c r="BE6" s="4"/>
      <c r="BF6" s="4"/>
      <c r="BG6" s="4"/>
    </row>
    <row r="7" ht="15.0" customHeight="1">
      <c r="A7" s="13" t="s">
        <v>14</v>
      </c>
      <c r="B7" s="14"/>
      <c r="C7" s="14"/>
      <c r="D7" s="14"/>
      <c r="E7" s="14"/>
      <c r="F7" s="14"/>
      <c r="G7" s="14"/>
      <c r="H7" s="14"/>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6"/>
      <c r="AN7" s="4"/>
      <c r="AO7" s="4"/>
      <c r="AP7" s="4"/>
      <c r="AQ7" s="4"/>
      <c r="AR7" s="4"/>
      <c r="AS7" s="4"/>
      <c r="AT7" s="4"/>
      <c r="AU7" s="4"/>
      <c r="AV7" s="4"/>
      <c r="AW7" s="4"/>
      <c r="AX7" s="4"/>
      <c r="AY7" s="4"/>
      <c r="AZ7" s="4"/>
      <c r="BA7" s="4"/>
      <c r="BB7" s="4"/>
      <c r="BC7" s="4"/>
      <c r="BD7" s="4"/>
      <c r="BE7" s="4"/>
      <c r="BF7" s="4"/>
      <c r="BG7" s="4"/>
    </row>
    <row r="8" ht="15.0" customHeight="1">
      <c r="A8" s="17">
        <v>1.0</v>
      </c>
      <c r="B8" s="18" t="s">
        <v>15</v>
      </c>
      <c r="C8" s="19" t="s">
        <v>16</v>
      </c>
      <c r="D8" s="20" t="s">
        <v>17</v>
      </c>
      <c r="E8" s="20">
        <f t="shared" ref="E8:F8" si="1">20*8</f>
        <v>160</v>
      </c>
      <c r="F8" s="20">
        <f t="shared" si="1"/>
        <v>160</v>
      </c>
      <c r="G8" s="21">
        <v>44167.0</v>
      </c>
      <c r="H8" s="21">
        <v>44192.0</v>
      </c>
      <c r="I8" s="22">
        <v>1.0</v>
      </c>
      <c r="J8" s="22">
        <v>1.0</v>
      </c>
      <c r="K8" s="22">
        <v>1.0</v>
      </c>
      <c r="L8" s="22">
        <v>1.0</v>
      </c>
      <c r="M8" s="22">
        <v>1.0</v>
      </c>
      <c r="N8" s="22">
        <v>1.0</v>
      </c>
      <c r="O8" s="22">
        <v>1.0</v>
      </c>
      <c r="P8" s="22">
        <v>1.0</v>
      </c>
      <c r="Q8" s="22">
        <v>1.0</v>
      </c>
      <c r="R8" s="22">
        <v>1.0</v>
      </c>
      <c r="S8" s="22">
        <v>1.0</v>
      </c>
      <c r="T8" s="22">
        <v>1.0</v>
      </c>
      <c r="U8" s="22">
        <v>1.0</v>
      </c>
      <c r="V8" s="22">
        <v>1.0</v>
      </c>
      <c r="W8" s="22">
        <v>1.0</v>
      </c>
      <c r="X8" s="22">
        <v>1.0</v>
      </c>
      <c r="Y8" s="22">
        <v>1.0</v>
      </c>
      <c r="Z8" s="22">
        <v>1.0</v>
      </c>
      <c r="AA8" s="22">
        <v>1.0</v>
      </c>
      <c r="AB8" s="22">
        <v>1.0</v>
      </c>
      <c r="AC8" s="22">
        <v>1.0</v>
      </c>
      <c r="AD8" s="22">
        <v>1.0</v>
      </c>
      <c r="AE8" s="22">
        <v>1.0</v>
      </c>
      <c r="AF8" s="22">
        <v>1.0</v>
      </c>
      <c r="AG8" s="22">
        <v>1.0</v>
      </c>
      <c r="AH8" s="22">
        <v>1.0</v>
      </c>
      <c r="AI8" s="22">
        <v>1.0</v>
      </c>
      <c r="AJ8" s="22">
        <v>1.0</v>
      </c>
      <c r="AK8" s="22">
        <v>1.0</v>
      </c>
      <c r="AL8" s="22">
        <v>1.0</v>
      </c>
      <c r="AM8" s="22">
        <v>1.0</v>
      </c>
      <c r="AN8" s="4"/>
      <c r="AO8" s="4"/>
      <c r="AP8" s="4"/>
      <c r="AQ8" s="4"/>
      <c r="AR8" s="4"/>
      <c r="AS8" s="4"/>
      <c r="AT8" s="4"/>
      <c r="AU8" s="4"/>
      <c r="AV8" s="4"/>
      <c r="AW8" s="4"/>
      <c r="AX8" s="4"/>
      <c r="AY8" s="4"/>
      <c r="AZ8" s="4"/>
      <c r="BA8" s="4"/>
      <c r="BB8" s="4"/>
      <c r="BC8" s="4"/>
      <c r="BD8" s="4"/>
      <c r="BE8" s="4"/>
      <c r="BF8" s="4"/>
      <c r="BG8" s="4"/>
    </row>
    <row r="9" ht="15.0" customHeight="1">
      <c r="A9" s="23">
        <v>2.0</v>
      </c>
      <c r="B9" s="24" t="s">
        <v>18</v>
      </c>
      <c r="C9" s="25" t="s">
        <v>16</v>
      </c>
      <c r="D9" s="26" t="s">
        <v>17</v>
      </c>
      <c r="E9" s="26">
        <f>20*8</f>
        <v>160</v>
      </c>
      <c r="F9" s="26">
        <f>25*8</f>
        <v>200</v>
      </c>
      <c r="G9" s="27">
        <v>44195.0</v>
      </c>
      <c r="H9" s="27">
        <v>43864.0</v>
      </c>
      <c r="I9" s="28">
        <v>1.0</v>
      </c>
      <c r="J9" s="28">
        <v>1.0</v>
      </c>
      <c r="K9" s="28">
        <v>1.0</v>
      </c>
      <c r="L9" s="28">
        <v>1.0</v>
      </c>
      <c r="M9" s="28">
        <v>1.0</v>
      </c>
      <c r="N9" s="28">
        <v>1.0</v>
      </c>
      <c r="O9" s="28">
        <v>1.0</v>
      </c>
      <c r="P9" s="28">
        <v>1.0</v>
      </c>
      <c r="Q9" s="28">
        <v>1.0</v>
      </c>
      <c r="R9" s="28">
        <v>1.0</v>
      </c>
      <c r="S9" s="28">
        <v>1.0</v>
      </c>
      <c r="T9" s="28">
        <v>1.0</v>
      </c>
      <c r="U9" s="28">
        <v>1.0</v>
      </c>
      <c r="V9" s="28">
        <v>1.0</v>
      </c>
      <c r="W9" s="28">
        <v>1.0</v>
      </c>
      <c r="X9" s="28">
        <v>1.0</v>
      </c>
      <c r="Y9" s="28">
        <v>1.0</v>
      </c>
      <c r="Z9" s="28">
        <v>1.0</v>
      </c>
      <c r="AA9" s="28">
        <v>1.0</v>
      </c>
      <c r="AB9" s="28">
        <v>1.0</v>
      </c>
      <c r="AC9" s="28">
        <v>1.0</v>
      </c>
      <c r="AD9" s="28">
        <v>1.0</v>
      </c>
      <c r="AE9" s="28">
        <v>1.0</v>
      </c>
      <c r="AF9" s="28">
        <v>1.0</v>
      </c>
      <c r="AG9" s="28">
        <v>1.0</v>
      </c>
      <c r="AH9" s="28">
        <v>1.0</v>
      </c>
      <c r="AI9" s="28">
        <v>1.0</v>
      </c>
      <c r="AJ9" s="28">
        <v>1.0</v>
      </c>
      <c r="AK9" s="28">
        <v>1.0</v>
      </c>
      <c r="AL9" s="28">
        <v>1.0</v>
      </c>
      <c r="AM9" s="28">
        <v>1.0</v>
      </c>
      <c r="AN9" s="4"/>
      <c r="AO9" s="4"/>
      <c r="AP9" s="4"/>
      <c r="AQ9" s="4"/>
      <c r="AR9" s="4"/>
      <c r="AS9" s="4"/>
      <c r="AT9" s="4"/>
      <c r="AU9" s="4"/>
      <c r="AV9" s="4"/>
      <c r="AW9" s="4"/>
      <c r="AX9" s="4"/>
      <c r="AY9" s="4"/>
      <c r="AZ9" s="4"/>
      <c r="BA9" s="4"/>
      <c r="BB9" s="4"/>
      <c r="BC9" s="4"/>
      <c r="BD9" s="4"/>
      <c r="BE9" s="4"/>
      <c r="BF9" s="4"/>
      <c r="BG9" s="4"/>
    </row>
    <row r="10" ht="15.0" customHeight="1">
      <c r="A10" s="23">
        <v>3.0</v>
      </c>
      <c r="B10" s="24" t="s">
        <v>19</v>
      </c>
      <c r="C10" s="25" t="s">
        <v>20</v>
      </c>
      <c r="D10" s="26" t="s">
        <v>17</v>
      </c>
      <c r="E10" s="26">
        <f t="shared" ref="E10:F10" si="2">10*8</f>
        <v>80</v>
      </c>
      <c r="F10" s="26">
        <f t="shared" si="2"/>
        <v>80</v>
      </c>
      <c r="G10" s="27">
        <v>43864.0</v>
      </c>
      <c r="H10" s="27">
        <v>43875.0</v>
      </c>
      <c r="I10" s="28">
        <v>1.0</v>
      </c>
      <c r="J10" s="28">
        <v>1.0</v>
      </c>
      <c r="K10" s="28">
        <v>1.0</v>
      </c>
      <c r="L10" s="28">
        <v>1.0</v>
      </c>
      <c r="M10" s="28">
        <v>1.0</v>
      </c>
      <c r="N10" s="28">
        <v>1.0</v>
      </c>
      <c r="O10" s="28">
        <v>1.0</v>
      </c>
      <c r="P10" s="28">
        <v>1.0</v>
      </c>
      <c r="Q10" s="28">
        <v>1.0</v>
      </c>
      <c r="R10" s="28">
        <v>1.0</v>
      </c>
      <c r="S10" s="28">
        <v>1.0</v>
      </c>
      <c r="T10" s="28">
        <v>1.0</v>
      </c>
      <c r="U10" s="28">
        <v>1.0</v>
      </c>
      <c r="V10" s="28">
        <v>1.0</v>
      </c>
      <c r="W10" s="28">
        <v>1.0</v>
      </c>
      <c r="X10" s="28">
        <v>1.0</v>
      </c>
      <c r="Y10" s="28">
        <v>1.0</v>
      </c>
      <c r="Z10" s="28">
        <v>1.0</v>
      </c>
      <c r="AA10" s="28">
        <v>1.0</v>
      </c>
      <c r="AB10" s="28">
        <v>1.0</v>
      </c>
      <c r="AC10" s="28">
        <v>1.0</v>
      </c>
      <c r="AD10" s="28">
        <v>1.0</v>
      </c>
      <c r="AE10" s="28">
        <v>1.0</v>
      </c>
      <c r="AF10" s="28">
        <v>1.0</v>
      </c>
      <c r="AG10" s="28">
        <v>1.0</v>
      </c>
      <c r="AH10" s="28">
        <v>1.0</v>
      </c>
      <c r="AI10" s="28">
        <v>1.0</v>
      </c>
      <c r="AJ10" s="28">
        <v>1.0</v>
      </c>
      <c r="AK10" s="28">
        <v>1.0</v>
      </c>
      <c r="AL10" s="28">
        <v>1.0</v>
      </c>
      <c r="AM10" s="28">
        <v>1.0</v>
      </c>
      <c r="AN10" s="4"/>
      <c r="AO10" s="4"/>
      <c r="AP10" s="4"/>
      <c r="AQ10" s="4"/>
      <c r="AR10" s="4"/>
      <c r="AS10" s="4"/>
      <c r="AT10" s="4"/>
      <c r="AU10" s="4"/>
      <c r="AV10" s="4"/>
      <c r="AW10" s="4"/>
      <c r="AX10" s="4"/>
      <c r="AY10" s="4"/>
      <c r="AZ10" s="4"/>
      <c r="BA10" s="4"/>
      <c r="BB10" s="4"/>
      <c r="BC10" s="4"/>
      <c r="BD10" s="4"/>
      <c r="BE10" s="4"/>
      <c r="BF10" s="4"/>
      <c r="BG10" s="4"/>
    </row>
    <row r="11" ht="15.0" customHeight="1">
      <c r="A11" s="29">
        <v>4.0</v>
      </c>
      <c r="B11" s="30" t="s">
        <v>21</v>
      </c>
      <c r="C11" s="31" t="s">
        <v>20</v>
      </c>
      <c r="D11" s="32" t="s">
        <v>17</v>
      </c>
      <c r="E11" s="32">
        <f>4*8</f>
        <v>32</v>
      </c>
      <c r="F11" s="32">
        <v>40.0</v>
      </c>
      <c r="G11" s="33">
        <v>43865.0</v>
      </c>
      <c r="H11" s="33">
        <v>44081.0</v>
      </c>
      <c r="I11" s="34">
        <v>1.0</v>
      </c>
      <c r="J11" s="28">
        <v>0.9</v>
      </c>
      <c r="K11" s="28">
        <v>0.9</v>
      </c>
      <c r="L11" s="28">
        <v>0.9</v>
      </c>
      <c r="M11" s="28">
        <v>0.9</v>
      </c>
      <c r="N11" s="28">
        <v>0.9</v>
      </c>
      <c r="O11" s="28">
        <v>0.9</v>
      </c>
      <c r="P11" s="28">
        <v>0.9</v>
      </c>
      <c r="Q11" s="28">
        <v>0.9</v>
      </c>
      <c r="R11" s="28">
        <v>0.9</v>
      </c>
      <c r="S11" s="28">
        <v>0.9</v>
      </c>
      <c r="T11" s="28">
        <v>0.9</v>
      </c>
      <c r="U11" s="28">
        <v>0.9</v>
      </c>
      <c r="V11" s="28">
        <v>0.9</v>
      </c>
      <c r="W11" s="28">
        <v>0.9</v>
      </c>
      <c r="X11" s="28">
        <v>0.9</v>
      </c>
      <c r="Y11" s="28">
        <v>0.9</v>
      </c>
      <c r="Z11" s="28">
        <v>0.9</v>
      </c>
      <c r="AA11" s="28">
        <v>0.9</v>
      </c>
      <c r="AB11" s="28">
        <v>0.9</v>
      </c>
      <c r="AC11" s="28">
        <v>0.9</v>
      </c>
      <c r="AD11" s="28">
        <v>0.9</v>
      </c>
      <c r="AE11" s="28">
        <v>0.9</v>
      </c>
      <c r="AF11" s="28">
        <v>0.9</v>
      </c>
      <c r="AG11" s="28">
        <v>0.9</v>
      </c>
      <c r="AH11" s="28">
        <v>0.9</v>
      </c>
      <c r="AI11" s="28">
        <v>0.9</v>
      </c>
      <c r="AJ11" s="28">
        <v>0.9</v>
      </c>
      <c r="AK11" s="28">
        <v>0.9</v>
      </c>
      <c r="AL11" s="28">
        <v>0.9</v>
      </c>
      <c r="AM11" s="28">
        <v>0.9</v>
      </c>
      <c r="AN11" s="4"/>
      <c r="AO11" s="4"/>
      <c r="AP11" s="4"/>
      <c r="AQ11" s="4"/>
      <c r="AR11" s="4"/>
      <c r="AS11" s="4"/>
      <c r="AT11" s="4"/>
      <c r="AU11" s="4"/>
      <c r="AV11" s="4"/>
      <c r="AW11" s="4"/>
      <c r="AX11" s="4"/>
      <c r="AY11" s="4"/>
      <c r="AZ11" s="4"/>
      <c r="BA11" s="4"/>
      <c r="BB11" s="4"/>
      <c r="BC11" s="4"/>
      <c r="BD11" s="4"/>
      <c r="BE11" s="4"/>
      <c r="BF11" s="4"/>
      <c r="BG11" s="4"/>
    </row>
    <row r="12" ht="15.0" customHeight="1">
      <c r="A12" s="23">
        <v>5.0</v>
      </c>
      <c r="B12" s="24" t="s">
        <v>22</v>
      </c>
      <c r="C12" s="25" t="s">
        <v>20</v>
      </c>
      <c r="D12" s="26" t="s">
        <v>17</v>
      </c>
      <c r="E12" s="26">
        <f>10*8</f>
        <v>80</v>
      </c>
      <c r="F12" s="26">
        <v>96.0</v>
      </c>
      <c r="G12" s="27">
        <v>43871.0</v>
      </c>
      <c r="H12" s="27">
        <v>43881.0</v>
      </c>
      <c r="I12" s="28">
        <v>1.0</v>
      </c>
      <c r="J12" s="28">
        <v>1.0</v>
      </c>
      <c r="K12" s="28">
        <v>1.0</v>
      </c>
      <c r="L12" s="28">
        <v>1.0</v>
      </c>
      <c r="M12" s="28">
        <v>1.0</v>
      </c>
      <c r="N12" s="28">
        <v>1.0</v>
      </c>
      <c r="O12" s="28">
        <v>1.0</v>
      </c>
      <c r="P12" s="28">
        <v>1.0</v>
      </c>
      <c r="Q12" s="28">
        <v>1.0</v>
      </c>
      <c r="R12" s="28">
        <v>1.0</v>
      </c>
      <c r="S12" s="28">
        <v>1.0</v>
      </c>
      <c r="T12" s="28">
        <v>1.0</v>
      </c>
      <c r="U12" s="28">
        <v>1.0</v>
      </c>
      <c r="V12" s="28">
        <v>1.0</v>
      </c>
      <c r="W12" s="28">
        <v>1.0</v>
      </c>
      <c r="X12" s="28">
        <v>1.0</v>
      </c>
      <c r="Y12" s="28">
        <v>1.0</v>
      </c>
      <c r="Z12" s="28">
        <v>1.0</v>
      </c>
      <c r="AA12" s="28">
        <v>1.0</v>
      </c>
      <c r="AB12" s="28">
        <v>1.0</v>
      </c>
      <c r="AC12" s="28">
        <v>1.0</v>
      </c>
      <c r="AD12" s="28">
        <v>1.0</v>
      </c>
      <c r="AE12" s="28">
        <v>1.0</v>
      </c>
      <c r="AF12" s="28">
        <v>1.0</v>
      </c>
      <c r="AG12" s="28">
        <v>1.0</v>
      </c>
      <c r="AH12" s="28">
        <v>1.0</v>
      </c>
      <c r="AI12" s="28">
        <v>1.0</v>
      </c>
      <c r="AJ12" s="28">
        <v>1.0</v>
      </c>
      <c r="AK12" s="28">
        <v>1.0</v>
      </c>
      <c r="AL12" s="28">
        <v>1.0</v>
      </c>
      <c r="AM12" s="28">
        <v>1.0</v>
      </c>
      <c r="AN12" s="4"/>
      <c r="AO12" s="4"/>
      <c r="AP12" s="4"/>
      <c r="AQ12" s="4"/>
      <c r="AR12" s="4"/>
      <c r="AS12" s="4"/>
      <c r="AT12" s="4"/>
      <c r="AU12" s="4"/>
      <c r="AV12" s="4"/>
      <c r="AW12" s="4"/>
      <c r="AX12" s="4"/>
      <c r="AY12" s="4"/>
      <c r="AZ12" s="4"/>
      <c r="BA12" s="4"/>
      <c r="BB12" s="4"/>
      <c r="BC12" s="4"/>
      <c r="BD12" s="4"/>
      <c r="BE12" s="4"/>
      <c r="BF12" s="4"/>
      <c r="BG12" s="4"/>
    </row>
    <row r="13" ht="15.0" customHeight="1">
      <c r="A13" s="13" t="s">
        <v>23</v>
      </c>
      <c r="B13" s="35"/>
      <c r="C13" s="36"/>
      <c r="D13" s="36"/>
      <c r="E13" s="36"/>
      <c r="F13" s="36"/>
      <c r="G13" s="36"/>
      <c r="H13" s="37"/>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4"/>
      <c r="AJ13" s="4"/>
      <c r="AK13" s="4"/>
      <c r="AL13" s="4"/>
      <c r="AM13" s="4"/>
      <c r="AN13" s="4"/>
      <c r="AO13" s="4"/>
      <c r="AP13" s="4"/>
      <c r="AQ13" s="4"/>
      <c r="AR13" s="4"/>
      <c r="AS13" s="4"/>
      <c r="AT13" s="4"/>
      <c r="AU13" s="4"/>
      <c r="AV13" s="4"/>
      <c r="AW13" s="4"/>
      <c r="AX13" s="4"/>
      <c r="AY13" s="4"/>
      <c r="AZ13" s="4"/>
      <c r="BA13" s="4"/>
      <c r="BB13" s="4"/>
      <c r="BC13" s="4"/>
      <c r="BD13" s="4"/>
      <c r="BE13" s="4"/>
      <c r="BF13" s="4"/>
      <c r="BG13" s="4"/>
    </row>
    <row r="14" ht="15.0" customHeight="1">
      <c r="A14" s="23">
        <v>6.0</v>
      </c>
      <c r="B14" s="24" t="s">
        <v>24</v>
      </c>
      <c r="C14" s="25" t="s">
        <v>20</v>
      </c>
      <c r="D14" s="5" t="s">
        <v>25</v>
      </c>
      <c r="E14" s="26">
        <f t="shared" ref="E14:E15" si="3">5*8</f>
        <v>40</v>
      </c>
      <c r="F14" s="26">
        <v>40.0</v>
      </c>
      <c r="G14" s="27">
        <v>43871.0</v>
      </c>
      <c r="H14" s="27">
        <v>43881.0</v>
      </c>
      <c r="I14" s="28">
        <v>1.0</v>
      </c>
      <c r="J14" s="28">
        <v>1.0</v>
      </c>
      <c r="K14" s="28">
        <v>1.0</v>
      </c>
      <c r="L14" s="28">
        <v>1.0</v>
      </c>
      <c r="M14" s="28">
        <v>1.0</v>
      </c>
      <c r="N14" s="28">
        <v>1.0</v>
      </c>
      <c r="O14" s="28">
        <v>1.0</v>
      </c>
      <c r="P14" s="28">
        <v>1.0</v>
      </c>
      <c r="Q14" s="28">
        <v>1.0</v>
      </c>
      <c r="R14" s="28">
        <v>1.0</v>
      </c>
      <c r="S14" s="28">
        <v>1.0</v>
      </c>
      <c r="T14" s="28">
        <v>1.0</v>
      </c>
      <c r="U14" s="28">
        <v>1.0</v>
      </c>
      <c r="V14" s="28">
        <v>1.0</v>
      </c>
      <c r="W14" s="28">
        <v>1.0</v>
      </c>
      <c r="X14" s="28">
        <v>1.0</v>
      </c>
      <c r="Y14" s="28">
        <v>1.0</v>
      </c>
      <c r="Z14" s="28">
        <v>1.0</v>
      </c>
      <c r="AA14" s="28">
        <v>1.0</v>
      </c>
      <c r="AB14" s="28">
        <v>1.0</v>
      </c>
      <c r="AC14" s="28">
        <v>1.0</v>
      </c>
      <c r="AD14" s="28">
        <v>1.0</v>
      </c>
      <c r="AE14" s="28">
        <v>1.0</v>
      </c>
      <c r="AF14" s="28">
        <v>1.0</v>
      </c>
      <c r="AG14" s="28">
        <v>1.0</v>
      </c>
      <c r="AH14" s="28">
        <v>1.0</v>
      </c>
      <c r="AI14" s="28">
        <v>1.0</v>
      </c>
      <c r="AJ14" s="28">
        <v>1.0</v>
      </c>
      <c r="AK14" s="28">
        <v>1.0</v>
      </c>
      <c r="AL14" s="28">
        <v>1.0</v>
      </c>
      <c r="AM14" s="28">
        <v>1.0</v>
      </c>
      <c r="AN14" s="4"/>
      <c r="AO14" s="4"/>
      <c r="AP14" s="4"/>
      <c r="AQ14" s="4"/>
      <c r="AR14" s="4"/>
      <c r="AS14" s="4"/>
      <c r="AT14" s="4"/>
      <c r="AU14" s="4"/>
      <c r="AV14" s="4"/>
      <c r="AW14" s="4"/>
      <c r="AX14" s="4"/>
      <c r="AY14" s="4"/>
      <c r="AZ14" s="4"/>
      <c r="BA14" s="4"/>
      <c r="BB14" s="4"/>
      <c r="BC14" s="4"/>
      <c r="BD14" s="4"/>
      <c r="BE14" s="4"/>
      <c r="BF14" s="4"/>
      <c r="BG14" s="4"/>
    </row>
    <row r="15" ht="15.0" customHeight="1">
      <c r="A15" s="23">
        <v>7.0</v>
      </c>
      <c r="B15" s="24" t="s">
        <v>26</v>
      </c>
      <c r="C15" s="25" t="s">
        <v>20</v>
      </c>
      <c r="D15" s="5" t="s">
        <v>25</v>
      </c>
      <c r="E15" s="26">
        <f t="shared" si="3"/>
        <v>40</v>
      </c>
      <c r="F15" s="26">
        <v>40.0</v>
      </c>
      <c r="G15" s="27">
        <v>43871.0</v>
      </c>
      <c r="H15" s="27">
        <v>43881.0</v>
      </c>
      <c r="I15" s="28">
        <v>1.0</v>
      </c>
      <c r="J15" s="28">
        <v>1.0</v>
      </c>
      <c r="K15" s="28">
        <v>1.0</v>
      </c>
      <c r="L15" s="28">
        <v>1.0</v>
      </c>
      <c r="M15" s="28">
        <v>1.0</v>
      </c>
      <c r="N15" s="28">
        <v>1.0</v>
      </c>
      <c r="O15" s="28">
        <v>1.0</v>
      </c>
      <c r="P15" s="28">
        <v>1.0</v>
      </c>
      <c r="Q15" s="28">
        <v>1.0</v>
      </c>
      <c r="R15" s="28">
        <v>1.0</v>
      </c>
      <c r="S15" s="28">
        <v>1.0</v>
      </c>
      <c r="T15" s="28">
        <v>1.0</v>
      </c>
      <c r="U15" s="28">
        <v>1.0</v>
      </c>
      <c r="V15" s="28">
        <v>1.0</v>
      </c>
      <c r="W15" s="28">
        <v>1.0</v>
      </c>
      <c r="X15" s="28">
        <v>1.0</v>
      </c>
      <c r="Y15" s="28">
        <v>1.0</v>
      </c>
      <c r="Z15" s="28">
        <v>1.0</v>
      </c>
      <c r="AA15" s="28">
        <v>1.0</v>
      </c>
      <c r="AB15" s="28">
        <v>1.0</v>
      </c>
      <c r="AC15" s="28">
        <v>1.0</v>
      </c>
      <c r="AD15" s="28">
        <v>1.0</v>
      </c>
      <c r="AE15" s="28">
        <v>1.0</v>
      </c>
      <c r="AF15" s="28">
        <v>1.0</v>
      </c>
      <c r="AG15" s="28">
        <v>1.0</v>
      </c>
      <c r="AH15" s="28">
        <v>1.0</v>
      </c>
      <c r="AI15" s="28">
        <v>1.0</v>
      </c>
      <c r="AJ15" s="28">
        <v>1.0</v>
      </c>
      <c r="AK15" s="28">
        <v>1.0</v>
      </c>
      <c r="AL15" s="28">
        <v>1.0</v>
      </c>
      <c r="AM15" s="28">
        <v>1.0</v>
      </c>
      <c r="AN15" s="4"/>
      <c r="AO15" s="4"/>
      <c r="AP15" s="4"/>
      <c r="AQ15" s="4"/>
      <c r="AR15" s="4"/>
      <c r="AS15" s="4"/>
      <c r="AT15" s="4"/>
      <c r="AU15" s="4"/>
      <c r="AV15" s="4"/>
      <c r="AW15" s="4"/>
      <c r="AX15" s="4"/>
      <c r="AY15" s="4"/>
      <c r="AZ15" s="4"/>
      <c r="BA15" s="4"/>
      <c r="BB15" s="4"/>
      <c r="BC15" s="4"/>
      <c r="BD15" s="4"/>
      <c r="BE15" s="4"/>
      <c r="BF15" s="4"/>
      <c r="BG15" s="4"/>
    </row>
    <row r="16" ht="15.0" customHeight="1">
      <c r="A16" s="23">
        <v>8.0</v>
      </c>
      <c r="B16" s="24" t="s">
        <v>27</v>
      </c>
      <c r="C16" s="25" t="s">
        <v>20</v>
      </c>
      <c r="D16" s="5" t="s">
        <v>25</v>
      </c>
      <c r="E16" s="26">
        <f>3*8</f>
        <v>24</v>
      </c>
      <c r="F16" s="26">
        <v>32.0</v>
      </c>
      <c r="G16" s="27">
        <v>43871.0</v>
      </c>
      <c r="H16" s="27">
        <v>43881.0</v>
      </c>
      <c r="I16" s="28">
        <v>1.0</v>
      </c>
      <c r="J16" s="28">
        <v>1.0</v>
      </c>
      <c r="K16" s="28">
        <v>1.0</v>
      </c>
      <c r="L16" s="28">
        <v>1.0</v>
      </c>
      <c r="M16" s="28">
        <v>1.0</v>
      </c>
      <c r="N16" s="28">
        <v>1.0</v>
      </c>
      <c r="O16" s="28">
        <v>1.0</v>
      </c>
      <c r="P16" s="28">
        <v>1.0</v>
      </c>
      <c r="Q16" s="28">
        <v>1.0</v>
      </c>
      <c r="R16" s="28">
        <v>1.0</v>
      </c>
      <c r="S16" s="28">
        <v>1.0</v>
      </c>
      <c r="T16" s="28">
        <v>1.0</v>
      </c>
      <c r="U16" s="28">
        <v>1.0</v>
      </c>
      <c r="V16" s="28">
        <v>1.0</v>
      </c>
      <c r="W16" s="28">
        <v>1.0</v>
      </c>
      <c r="X16" s="28">
        <v>1.0</v>
      </c>
      <c r="Y16" s="28">
        <v>1.0</v>
      </c>
      <c r="Z16" s="28">
        <v>1.0</v>
      </c>
      <c r="AA16" s="28">
        <v>1.0</v>
      </c>
      <c r="AB16" s="28">
        <v>1.0</v>
      </c>
      <c r="AC16" s="28">
        <v>1.0</v>
      </c>
      <c r="AD16" s="28">
        <v>1.0</v>
      </c>
      <c r="AE16" s="28">
        <v>1.0</v>
      </c>
      <c r="AF16" s="28">
        <v>1.0</v>
      </c>
      <c r="AG16" s="28">
        <v>1.0</v>
      </c>
      <c r="AH16" s="28">
        <v>1.0</v>
      </c>
      <c r="AI16" s="28">
        <v>1.0</v>
      </c>
      <c r="AJ16" s="28">
        <v>1.0</v>
      </c>
      <c r="AK16" s="28">
        <v>1.0</v>
      </c>
      <c r="AL16" s="28">
        <v>1.0</v>
      </c>
      <c r="AM16" s="28">
        <v>1.0</v>
      </c>
      <c r="AN16" s="4"/>
      <c r="AO16" s="4"/>
      <c r="AP16" s="4"/>
      <c r="AQ16" s="4"/>
      <c r="AR16" s="4"/>
      <c r="AS16" s="4"/>
      <c r="AT16" s="4"/>
      <c r="AU16" s="4"/>
      <c r="AV16" s="4"/>
      <c r="AW16" s="4"/>
      <c r="AX16" s="4"/>
      <c r="AY16" s="4"/>
      <c r="AZ16" s="4"/>
      <c r="BA16" s="4"/>
      <c r="BB16" s="4"/>
      <c r="BC16" s="4"/>
      <c r="BD16" s="4"/>
      <c r="BE16" s="4"/>
      <c r="BF16" s="4"/>
      <c r="BG16" s="4"/>
    </row>
    <row r="17" ht="15.0" customHeight="1">
      <c r="A17" s="13" t="s">
        <v>28</v>
      </c>
      <c r="B17" s="35"/>
      <c r="C17" s="36"/>
      <c r="D17" s="36"/>
      <c r="E17" s="36"/>
      <c r="F17" s="36"/>
      <c r="G17" s="36"/>
      <c r="H17" s="37"/>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4"/>
      <c r="AJ17" s="4"/>
      <c r="AK17" s="4"/>
      <c r="AL17" s="4"/>
      <c r="AM17" s="4"/>
      <c r="AN17" s="4"/>
      <c r="AO17" s="4"/>
      <c r="AP17" s="4"/>
      <c r="AQ17" s="4"/>
      <c r="AR17" s="4"/>
      <c r="AS17" s="4"/>
      <c r="AT17" s="4"/>
      <c r="AU17" s="4"/>
      <c r="AV17" s="4"/>
      <c r="AW17" s="4"/>
      <c r="AX17" s="4"/>
      <c r="AY17" s="4"/>
      <c r="AZ17" s="4"/>
      <c r="BA17" s="4"/>
      <c r="BB17" s="4"/>
      <c r="BC17" s="4"/>
      <c r="BD17" s="4"/>
      <c r="BE17" s="4"/>
      <c r="BF17" s="4"/>
      <c r="BG17" s="4"/>
    </row>
    <row r="18" ht="15.0" customHeight="1">
      <c r="A18" s="23">
        <v>9.0</v>
      </c>
      <c r="B18" s="24" t="s">
        <v>29</v>
      </c>
      <c r="C18" s="25" t="s">
        <v>20</v>
      </c>
      <c r="D18" s="5" t="s">
        <v>25</v>
      </c>
      <c r="E18" s="26">
        <f t="shared" ref="E18:E19" si="4">12*8</f>
        <v>96</v>
      </c>
      <c r="F18" s="26">
        <v>112.0</v>
      </c>
      <c r="G18" s="27">
        <v>43882.0</v>
      </c>
      <c r="H18" s="27">
        <v>43895.0</v>
      </c>
      <c r="I18" s="28">
        <v>1.0</v>
      </c>
      <c r="J18" s="28">
        <v>1.0</v>
      </c>
      <c r="K18" s="28">
        <v>1.0</v>
      </c>
      <c r="L18" s="28">
        <v>1.0</v>
      </c>
      <c r="M18" s="28">
        <v>1.0</v>
      </c>
      <c r="N18" s="28">
        <v>1.0</v>
      </c>
      <c r="O18" s="28">
        <v>1.0</v>
      </c>
      <c r="P18" s="28">
        <v>1.0</v>
      </c>
      <c r="Q18" s="28">
        <v>1.0</v>
      </c>
      <c r="R18" s="28">
        <v>1.0</v>
      </c>
      <c r="S18" s="28">
        <v>1.0</v>
      </c>
      <c r="T18" s="28">
        <v>1.0</v>
      </c>
      <c r="U18" s="28">
        <v>1.0</v>
      </c>
      <c r="V18" s="28">
        <v>1.0</v>
      </c>
      <c r="W18" s="28">
        <v>1.0</v>
      </c>
      <c r="X18" s="28">
        <v>1.0</v>
      </c>
      <c r="Y18" s="28">
        <v>1.0</v>
      </c>
      <c r="Z18" s="28">
        <v>1.0</v>
      </c>
      <c r="AA18" s="28">
        <v>1.0</v>
      </c>
      <c r="AB18" s="28">
        <v>1.0</v>
      </c>
      <c r="AC18" s="28">
        <v>1.0</v>
      </c>
      <c r="AD18" s="28">
        <v>1.0</v>
      </c>
      <c r="AE18" s="28">
        <v>1.0</v>
      </c>
      <c r="AF18" s="28">
        <v>1.0</v>
      </c>
      <c r="AG18" s="28">
        <v>1.0</v>
      </c>
      <c r="AH18" s="28">
        <v>1.0</v>
      </c>
      <c r="AI18" s="28">
        <v>1.0</v>
      </c>
      <c r="AJ18" s="28">
        <v>1.0</v>
      </c>
      <c r="AK18" s="28">
        <v>1.0</v>
      </c>
      <c r="AL18" s="28">
        <v>1.0</v>
      </c>
      <c r="AM18" s="28">
        <v>1.0</v>
      </c>
      <c r="AN18" s="4"/>
      <c r="AO18" s="4"/>
      <c r="AP18" s="4"/>
      <c r="AQ18" s="4"/>
      <c r="AR18" s="4"/>
      <c r="AS18" s="4"/>
      <c r="AT18" s="4"/>
      <c r="AU18" s="4"/>
      <c r="AV18" s="4"/>
      <c r="AW18" s="4"/>
      <c r="AX18" s="4"/>
      <c r="AY18" s="4"/>
      <c r="AZ18" s="4"/>
      <c r="BA18" s="4"/>
      <c r="BB18" s="4"/>
      <c r="BC18" s="4"/>
      <c r="BD18" s="4"/>
      <c r="BE18" s="4"/>
      <c r="BF18" s="4"/>
      <c r="BG18" s="4"/>
    </row>
    <row r="19" ht="15.0" customHeight="1">
      <c r="A19" s="23">
        <v>10.0</v>
      </c>
      <c r="B19" s="24" t="s">
        <v>30</v>
      </c>
      <c r="C19" s="25" t="s">
        <v>20</v>
      </c>
      <c r="D19" s="5" t="s">
        <v>25</v>
      </c>
      <c r="E19" s="26">
        <f t="shared" si="4"/>
        <v>96</v>
      </c>
      <c r="F19" s="26">
        <v>96.0</v>
      </c>
      <c r="G19" s="27">
        <v>43882.0</v>
      </c>
      <c r="H19" s="27">
        <v>43895.0</v>
      </c>
      <c r="I19" s="28">
        <v>1.0</v>
      </c>
      <c r="J19" s="28">
        <v>1.0</v>
      </c>
      <c r="K19" s="28">
        <v>1.0</v>
      </c>
      <c r="L19" s="28">
        <v>1.0</v>
      </c>
      <c r="M19" s="28">
        <v>1.0</v>
      </c>
      <c r="N19" s="28">
        <v>1.0</v>
      </c>
      <c r="O19" s="28">
        <v>1.0</v>
      </c>
      <c r="P19" s="28">
        <v>1.0</v>
      </c>
      <c r="Q19" s="28">
        <v>1.0</v>
      </c>
      <c r="R19" s="28">
        <v>1.0</v>
      </c>
      <c r="S19" s="28">
        <v>1.0</v>
      </c>
      <c r="T19" s="28">
        <v>1.0</v>
      </c>
      <c r="U19" s="28">
        <v>1.0</v>
      </c>
      <c r="V19" s="28">
        <v>1.0</v>
      </c>
      <c r="W19" s="28">
        <v>1.0</v>
      </c>
      <c r="X19" s="28">
        <v>1.0</v>
      </c>
      <c r="Y19" s="28">
        <v>1.0</v>
      </c>
      <c r="Z19" s="28">
        <v>1.0</v>
      </c>
      <c r="AA19" s="28">
        <v>1.0</v>
      </c>
      <c r="AB19" s="28">
        <v>1.0</v>
      </c>
      <c r="AC19" s="28">
        <v>1.0</v>
      </c>
      <c r="AD19" s="28">
        <v>1.0</v>
      </c>
      <c r="AE19" s="28">
        <v>1.0</v>
      </c>
      <c r="AF19" s="28">
        <v>1.0</v>
      </c>
      <c r="AG19" s="28">
        <v>1.0</v>
      </c>
      <c r="AH19" s="28">
        <v>1.0</v>
      </c>
      <c r="AI19" s="28">
        <v>1.0</v>
      </c>
      <c r="AJ19" s="28">
        <v>1.0</v>
      </c>
      <c r="AK19" s="28">
        <v>1.0</v>
      </c>
      <c r="AL19" s="28">
        <v>1.0</v>
      </c>
      <c r="AM19" s="28">
        <v>1.0</v>
      </c>
      <c r="AN19" s="4"/>
      <c r="AO19" s="4"/>
      <c r="AP19" s="4"/>
      <c r="AQ19" s="4"/>
      <c r="AR19" s="4"/>
      <c r="AS19" s="4"/>
      <c r="AT19" s="4"/>
      <c r="AU19" s="4"/>
      <c r="AV19" s="4"/>
      <c r="AW19" s="4"/>
      <c r="AX19" s="4"/>
      <c r="AY19" s="4"/>
      <c r="AZ19" s="4"/>
      <c r="BA19" s="4"/>
      <c r="BB19" s="4"/>
      <c r="BC19" s="4"/>
      <c r="BD19" s="4"/>
      <c r="BE19" s="4"/>
      <c r="BF19" s="4"/>
      <c r="BG19" s="4"/>
    </row>
    <row r="20" ht="15.0" customHeight="1">
      <c r="A20" s="23">
        <v>11.0</v>
      </c>
      <c r="B20" s="24" t="s">
        <v>31</v>
      </c>
      <c r="C20" s="25" t="s">
        <v>20</v>
      </c>
      <c r="D20" s="5" t="s">
        <v>25</v>
      </c>
      <c r="E20" s="26">
        <f>6*8</f>
        <v>48</v>
      </c>
      <c r="F20" s="26">
        <v>56.0</v>
      </c>
      <c r="G20" s="27">
        <v>43882.0</v>
      </c>
      <c r="H20" s="27">
        <v>43895.0</v>
      </c>
      <c r="I20" s="28">
        <v>1.0</v>
      </c>
      <c r="J20" s="28">
        <v>1.0</v>
      </c>
      <c r="K20" s="28">
        <v>1.0</v>
      </c>
      <c r="L20" s="28">
        <v>1.0</v>
      </c>
      <c r="M20" s="28">
        <v>1.0</v>
      </c>
      <c r="N20" s="28">
        <v>1.0</v>
      </c>
      <c r="O20" s="28">
        <v>1.0</v>
      </c>
      <c r="P20" s="28">
        <v>1.0</v>
      </c>
      <c r="Q20" s="28">
        <v>1.0</v>
      </c>
      <c r="R20" s="28">
        <v>1.0</v>
      </c>
      <c r="S20" s="28">
        <v>1.0</v>
      </c>
      <c r="T20" s="28">
        <v>1.0</v>
      </c>
      <c r="U20" s="28">
        <v>1.0</v>
      </c>
      <c r="V20" s="28">
        <v>1.0</v>
      </c>
      <c r="W20" s="28">
        <v>1.0</v>
      </c>
      <c r="X20" s="28">
        <v>1.0</v>
      </c>
      <c r="Y20" s="28">
        <v>1.0</v>
      </c>
      <c r="Z20" s="28">
        <v>1.0</v>
      </c>
      <c r="AA20" s="28">
        <v>1.0</v>
      </c>
      <c r="AB20" s="28">
        <v>1.0</v>
      </c>
      <c r="AC20" s="28">
        <v>1.0</v>
      </c>
      <c r="AD20" s="28">
        <v>1.0</v>
      </c>
      <c r="AE20" s="28">
        <v>1.0</v>
      </c>
      <c r="AF20" s="28">
        <v>1.0</v>
      </c>
      <c r="AG20" s="28">
        <v>1.0</v>
      </c>
      <c r="AH20" s="28">
        <v>1.0</v>
      </c>
      <c r="AI20" s="28">
        <v>1.0</v>
      </c>
      <c r="AJ20" s="28">
        <v>1.0</v>
      </c>
      <c r="AK20" s="28">
        <v>1.0</v>
      </c>
      <c r="AL20" s="28">
        <v>1.0</v>
      </c>
      <c r="AM20" s="28">
        <v>1.0</v>
      </c>
      <c r="AN20" s="4"/>
      <c r="AO20" s="4"/>
      <c r="AP20" s="4"/>
      <c r="AQ20" s="4"/>
      <c r="AR20" s="4"/>
      <c r="AS20" s="4"/>
      <c r="AT20" s="4"/>
      <c r="AU20" s="4"/>
      <c r="AV20" s="4"/>
      <c r="AW20" s="4"/>
      <c r="AX20" s="4"/>
      <c r="AY20" s="4"/>
      <c r="AZ20" s="4"/>
      <c r="BA20" s="4"/>
      <c r="BB20" s="4"/>
      <c r="BC20" s="4"/>
      <c r="BD20" s="4"/>
      <c r="BE20" s="4"/>
      <c r="BF20" s="4"/>
      <c r="BG20" s="4"/>
    </row>
    <row r="21" ht="15.0" customHeight="1">
      <c r="A21" s="13" t="s">
        <v>32</v>
      </c>
      <c r="B21" s="35"/>
      <c r="C21" s="36"/>
      <c r="D21" s="36"/>
      <c r="E21" s="36"/>
      <c r="F21" s="36"/>
      <c r="G21" s="36"/>
      <c r="H21" s="37"/>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4"/>
      <c r="AJ21" s="4"/>
      <c r="AK21" s="4"/>
      <c r="AL21" s="4"/>
      <c r="AM21" s="4"/>
      <c r="AN21" s="4"/>
      <c r="AO21" s="4"/>
      <c r="AP21" s="4"/>
      <c r="AQ21" s="4"/>
      <c r="AR21" s="4"/>
      <c r="AS21" s="4"/>
      <c r="AT21" s="4"/>
      <c r="AU21" s="4"/>
      <c r="AV21" s="4"/>
      <c r="AW21" s="4"/>
      <c r="AX21" s="4"/>
      <c r="AY21" s="4"/>
      <c r="AZ21" s="4"/>
      <c r="BA21" s="4"/>
      <c r="BB21" s="4"/>
      <c r="BC21" s="4"/>
      <c r="BD21" s="4"/>
      <c r="BE21" s="4"/>
      <c r="BF21" s="4"/>
      <c r="BG21" s="4"/>
    </row>
    <row r="22" ht="15.0" customHeight="1">
      <c r="A22" s="23">
        <v>12.0</v>
      </c>
      <c r="B22" s="24" t="s">
        <v>33</v>
      </c>
      <c r="C22" s="25" t="s">
        <v>20</v>
      </c>
      <c r="D22" s="5" t="s">
        <v>25</v>
      </c>
      <c r="E22" s="26">
        <f t="shared" ref="E22:E23" si="5">12*8</f>
        <v>96</v>
      </c>
      <c r="F22" s="26">
        <v>112.0</v>
      </c>
      <c r="G22" s="27">
        <v>43896.0</v>
      </c>
      <c r="H22" s="27">
        <v>43909.0</v>
      </c>
      <c r="I22" s="28">
        <v>1.0</v>
      </c>
      <c r="J22" s="28">
        <v>1.0</v>
      </c>
      <c r="K22" s="28">
        <v>1.0</v>
      </c>
      <c r="L22" s="28">
        <v>1.0</v>
      </c>
      <c r="M22" s="28">
        <v>1.0</v>
      </c>
      <c r="N22" s="28">
        <v>1.0</v>
      </c>
      <c r="O22" s="28">
        <v>1.0</v>
      </c>
      <c r="P22" s="28">
        <v>1.0</v>
      </c>
      <c r="Q22" s="28">
        <v>1.0</v>
      </c>
      <c r="R22" s="28">
        <v>1.0</v>
      </c>
      <c r="S22" s="28">
        <v>1.0</v>
      </c>
      <c r="T22" s="28">
        <v>1.0</v>
      </c>
      <c r="U22" s="28">
        <v>1.0</v>
      </c>
      <c r="V22" s="28">
        <v>1.0</v>
      </c>
      <c r="W22" s="28">
        <v>1.0</v>
      </c>
      <c r="X22" s="28">
        <v>1.0</v>
      </c>
      <c r="Y22" s="28">
        <v>1.0</v>
      </c>
      <c r="Z22" s="28">
        <v>1.0</v>
      </c>
      <c r="AA22" s="28">
        <v>1.0</v>
      </c>
      <c r="AB22" s="28">
        <v>1.0</v>
      </c>
      <c r="AC22" s="28">
        <v>1.0</v>
      </c>
      <c r="AD22" s="28">
        <v>1.0</v>
      </c>
      <c r="AE22" s="28">
        <v>1.0</v>
      </c>
      <c r="AF22" s="28">
        <v>1.0</v>
      </c>
      <c r="AG22" s="28">
        <v>1.0</v>
      </c>
      <c r="AH22" s="28">
        <v>1.0</v>
      </c>
      <c r="AI22" s="28">
        <v>1.0</v>
      </c>
      <c r="AJ22" s="28">
        <v>1.0</v>
      </c>
      <c r="AK22" s="28">
        <v>1.0</v>
      </c>
      <c r="AL22" s="28">
        <v>1.0</v>
      </c>
      <c r="AM22" s="28">
        <v>1.0</v>
      </c>
      <c r="AN22" s="4"/>
      <c r="AO22" s="4"/>
      <c r="AP22" s="4"/>
      <c r="AQ22" s="4"/>
      <c r="AR22" s="4"/>
      <c r="AS22" s="4"/>
      <c r="AT22" s="4"/>
      <c r="AU22" s="4"/>
      <c r="AV22" s="4"/>
      <c r="AW22" s="4"/>
      <c r="AX22" s="4"/>
      <c r="AY22" s="4"/>
      <c r="AZ22" s="4"/>
      <c r="BA22" s="4"/>
      <c r="BB22" s="4"/>
      <c r="BC22" s="4"/>
      <c r="BD22" s="4"/>
      <c r="BE22" s="4"/>
      <c r="BF22" s="4"/>
      <c r="BG22" s="4"/>
    </row>
    <row r="23" ht="15.0" customHeight="1">
      <c r="A23" s="23">
        <v>13.0</v>
      </c>
      <c r="B23" s="24" t="s">
        <v>34</v>
      </c>
      <c r="C23" s="25" t="s">
        <v>20</v>
      </c>
      <c r="D23" s="5" t="s">
        <v>25</v>
      </c>
      <c r="E23" s="26">
        <f t="shared" si="5"/>
        <v>96</v>
      </c>
      <c r="F23" s="26">
        <v>96.0</v>
      </c>
      <c r="G23" s="27">
        <v>43896.0</v>
      </c>
      <c r="H23" s="27">
        <v>43909.0</v>
      </c>
      <c r="I23" s="28">
        <v>1.0</v>
      </c>
      <c r="J23" s="28">
        <v>1.0</v>
      </c>
      <c r="K23" s="28">
        <v>1.0</v>
      </c>
      <c r="L23" s="28">
        <v>1.0</v>
      </c>
      <c r="M23" s="28">
        <v>1.0</v>
      </c>
      <c r="N23" s="28">
        <v>1.0</v>
      </c>
      <c r="O23" s="28">
        <v>1.0</v>
      </c>
      <c r="P23" s="28">
        <v>1.0</v>
      </c>
      <c r="Q23" s="28">
        <v>1.0</v>
      </c>
      <c r="R23" s="28">
        <v>1.0</v>
      </c>
      <c r="S23" s="28">
        <v>1.0</v>
      </c>
      <c r="T23" s="28">
        <v>1.0</v>
      </c>
      <c r="U23" s="28">
        <v>1.0</v>
      </c>
      <c r="V23" s="28">
        <v>1.0</v>
      </c>
      <c r="W23" s="28">
        <v>1.0</v>
      </c>
      <c r="X23" s="28">
        <v>1.0</v>
      </c>
      <c r="Y23" s="28">
        <v>1.0</v>
      </c>
      <c r="Z23" s="28">
        <v>1.0</v>
      </c>
      <c r="AA23" s="28">
        <v>1.0</v>
      </c>
      <c r="AB23" s="28">
        <v>1.0</v>
      </c>
      <c r="AC23" s="28">
        <v>1.0</v>
      </c>
      <c r="AD23" s="28">
        <v>1.0</v>
      </c>
      <c r="AE23" s="28">
        <v>1.0</v>
      </c>
      <c r="AF23" s="28">
        <v>1.0</v>
      </c>
      <c r="AG23" s="28">
        <v>1.0</v>
      </c>
      <c r="AH23" s="28">
        <v>1.0</v>
      </c>
      <c r="AI23" s="28">
        <v>1.0</v>
      </c>
      <c r="AJ23" s="28">
        <v>1.0</v>
      </c>
      <c r="AK23" s="28">
        <v>1.0</v>
      </c>
      <c r="AL23" s="28">
        <v>1.0</v>
      </c>
      <c r="AM23" s="28">
        <v>1.0</v>
      </c>
      <c r="AN23" s="4"/>
      <c r="AO23" s="4"/>
      <c r="AP23" s="4"/>
      <c r="AQ23" s="4"/>
      <c r="AR23" s="4"/>
      <c r="AS23" s="4"/>
      <c r="AT23" s="4"/>
      <c r="AU23" s="4"/>
      <c r="AV23" s="4"/>
      <c r="AW23" s="4"/>
      <c r="AX23" s="4"/>
      <c r="AY23" s="4"/>
      <c r="AZ23" s="4"/>
      <c r="BA23" s="4"/>
      <c r="BB23" s="4"/>
      <c r="BC23" s="4"/>
      <c r="BD23" s="4"/>
      <c r="BE23" s="4"/>
      <c r="BF23" s="4"/>
      <c r="BG23" s="4"/>
    </row>
    <row r="24" ht="15.0" customHeight="1">
      <c r="A24" s="23">
        <v>14.0</v>
      </c>
      <c r="B24" s="24" t="s">
        <v>35</v>
      </c>
      <c r="C24" s="25" t="s">
        <v>20</v>
      </c>
      <c r="D24" s="5" t="s">
        <v>25</v>
      </c>
      <c r="E24" s="26">
        <f>6*8</f>
        <v>48</v>
      </c>
      <c r="F24" s="26">
        <v>56.0</v>
      </c>
      <c r="G24" s="27">
        <v>43896.0</v>
      </c>
      <c r="H24" s="27">
        <v>43909.0</v>
      </c>
      <c r="I24" s="28">
        <v>1.0</v>
      </c>
      <c r="J24" s="28">
        <v>1.0</v>
      </c>
      <c r="K24" s="28">
        <v>1.0</v>
      </c>
      <c r="L24" s="28">
        <v>1.0</v>
      </c>
      <c r="M24" s="28">
        <v>1.0</v>
      </c>
      <c r="N24" s="28">
        <v>1.0</v>
      </c>
      <c r="O24" s="28">
        <v>1.0</v>
      </c>
      <c r="P24" s="28">
        <v>1.0</v>
      </c>
      <c r="Q24" s="28">
        <v>1.0</v>
      </c>
      <c r="R24" s="28">
        <v>1.0</v>
      </c>
      <c r="S24" s="28">
        <v>1.0</v>
      </c>
      <c r="T24" s="28">
        <v>1.0</v>
      </c>
      <c r="U24" s="28">
        <v>1.0</v>
      </c>
      <c r="V24" s="28">
        <v>1.0</v>
      </c>
      <c r="W24" s="28">
        <v>1.0</v>
      </c>
      <c r="X24" s="28">
        <v>1.0</v>
      </c>
      <c r="Y24" s="28">
        <v>1.0</v>
      </c>
      <c r="Z24" s="28">
        <v>1.0</v>
      </c>
      <c r="AA24" s="28">
        <v>1.0</v>
      </c>
      <c r="AB24" s="28">
        <v>1.0</v>
      </c>
      <c r="AC24" s="28">
        <v>1.0</v>
      </c>
      <c r="AD24" s="28">
        <v>1.0</v>
      </c>
      <c r="AE24" s="28">
        <v>1.0</v>
      </c>
      <c r="AF24" s="28">
        <v>1.0</v>
      </c>
      <c r="AG24" s="28">
        <v>1.0</v>
      </c>
      <c r="AH24" s="28">
        <v>1.0</v>
      </c>
      <c r="AI24" s="28">
        <v>1.0</v>
      </c>
      <c r="AJ24" s="28">
        <v>1.0</v>
      </c>
      <c r="AK24" s="28">
        <v>1.0</v>
      </c>
      <c r="AL24" s="28">
        <v>1.0</v>
      </c>
      <c r="AM24" s="28">
        <v>1.0</v>
      </c>
      <c r="AN24" s="4"/>
      <c r="AO24" s="4"/>
      <c r="AP24" s="4"/>
      <c r="AQ24" s="4"/>
      <c r="AR24" s="4"/>
      <c r="AS24" s="4"/>
      <c r="AT24" s="4"/>
      <c r="AU24" s="4"/>
      <c r="AV24" s="4"/>
      <c r="AW24" s="4"/>
      <c r="AX24" s="4"/>
      <c r="AY24" s="4"/>
      <c r="AZ24" s="4"/>
      <c r="BA24" s="4"/>
      <c r="BB24" s="4"/>
      <c r="BC24" s="4"/>
      <c r="BD24" s="4"/>
      <c r="BE24" s="4"/>
      <c r="BF24" s="4"/>
      <c r="BG24" s="4"/>
    </row>
    <row r="25" ht="15.0" customHeight="1">
      <c r="A25" s="13" t="s">
        <v>36</v>
      </c>
      <c r="B25" s="35"/>
      <c r="C25" s="36"/>
      <c r="D25" s="36"/>
      <c r="E25" s="36"/>
      <c r="F25" s="36"/>
      <c r="G25" s="36"/>
      <c r="H25" s="37"/>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4"/>
      <c r="AJ25" s="4"/>
      <c r="AK25" s="4"/>
      <c r="AL25" s="4"/>
      <c r="AM25" s="4"/>
      <c r="AN25" s="4"/>
      <c r="AO25" s="4"/>
      <c r="AP25" s="4"/>
      <c r="AQ25" s="4"/>
      <c r="AR25" s="4"/>
      <c r="AS25" s="4"/>
      <c r="AT25" s="4"/>
      <c r="AU25" s="4"/>
      <c r="AV25" s="4"/>
      <c r="AW25" s="4"/>
      <c r="AX25" s="4"/>
      <c r="AY25" s="4"/>
      <c r="AZ25" s="4"/>
      <c r="BA25" s="4"/>
      <c r="BB25" s="4"/>
      <c r="BC25" s="4"/>
      <c r="BD25" s="4"/>
      <c r="BE25" s="4"/>
      <c r="BF25" s="4"/>
      <c r="BG25" s="4"/>
    </row>
    <row r="26" ht="15.0" customHeight="1">
      <c r="A26" s="38">
        <v>15.0</v>
      </c>
      <c r="B26" s="39" t="s">
        <v>37</v>
      </c>
      <c r="C26" s="40" t="s">
        <v>20</v>
      </c>
      <c r="D26" s="5" t="s">
        <v>25</v>
      </c>
      <c r="E26" s="41">
        <f t="shared" ref="E26:E27" si="6">10*8</f>
        <v>80</v>
      </c>
      <c r="F26" s="41">
        <v>96.0</v>
      </c>
      <c r="G26" s="42">
        <v>43893.0</v>
      </c>
      <c r="H26" s="42">
        <v>43953.0</v>
      </c>
      <c r="I26" s="43">
        <v>1.0</v>
      </c>
      <c r="J26" s="43">
        <v>0.9</v>
      </c>
      <c r="K26" s="43">
        <v>0.9</v>
      </c>
      <c r="L26" s="43">
        <v>0.9</v>
      </c>
      <c r="M26" s="43">
        <v>0.9</v>
      </c>
      <c r="N26" s="43">
        <v>0.9</v>
      </c>
      <c r="O26" s="43">
        <v>0.9</v>
      </c>
      <c r="P26" s="43">
        <v>0.9</v>
      </c>
      <c r="Q26" s="43">
        <v>0.9</v>
      </c>
      <c r="R26" s="43">
        <v>0.9</v>
      </c>
      <c r="S26" s="43">
        <v>0.9</v>
      </c>
      <c r="T26" s="43">
        <v>0.9</v>
      </c>
      <c r="U26" s="43">
        <v>0.9</v>
      </c>
      <c r="V26" s="43">
        <v>0.9</v>
      </c>
      <c r="W26" s="43">
        <v>0.9</v>
      </c>
      <c r="X26" s="43">
        <v>0.9</v>
      </c>
      <c r="Y26" s="43">
        <v>0.9</v>
      </c>
      <c r="Z26" s="43">
        <v>0.9</v>
      </c>
      <c r="AA26" s="43">
        <v>0.9</v>
      </c>
      <c r="AB26" s="43">
        <v>0.9</v>
      </c>
      <c r="AC26" s="43">
        <v>0.9</v>
      </c>
      <c r="AD26" s="43">
        <v>0.9</v>
      </c>
      <c r="AE26" s="43">
        <v>0.9</v>
      </c>
      <c r="AF26" s="43">
        <v>0.9</v>
      </c>
      <c r="AG26" s="43">
        <v>0.9</v>
      </c>
      <c r="AH26" s="43">
        <v>0.9</v>
      </c>
      <c r="AI26" s="43">
        <v>0.9</v>
      </c>
      <c r="AJ26" s="43">
        <v>0.9</v>
      </c>
      <c r="AK26" s="43">
        <v>0.9</v>
      </c>
      <c r="AL26" s="43">
        <v>0.9</v>
      </c>
      <c r="AM26" s="43">
        <v>0.9</v>
      </c>
      <c r="AN26" s="4"/>
      <c r="AO26" s="4"/>
      <c r="AP26" s="4"/>
      <c r="AQ26" s="4"/>
      <c r="AR26" s="4"/>
      <c r="AS26" s="4"/>
      <c r="AT26" s="4"/>
      <c r="AU26" s="4"/>
      <c r="AV26" s="4"/>
      <c r="AW26" s="4"/>
      <c r="AX26" s="4"/>
      <c r="AY26" s="4"/>
      <c r="AZ26" s="4"/>
      <c r="BA26" s="4"/>
      <c r="BB26" s="4"/>
      <c r="BC26" s="4"/>
      <c r="BD26" s="4"/>
      <c r="BE26" s="4"/>
      <c r="BF26" s="4"/>
      <c r="BG26" s="4"/>
    </row>
    <row r="27" ht="15.0" customHeight="1">
      <c r="A27" s="38">
        <v>16.0</v>
      </c>
      <c r="B27" s="39" t="s">
        <v>38</v>
      </c>
      <c r="C27" s="40" t="s">
        <v>20</v>
      </c>
      <c r="D27" s="5" t="s">
        <v>25</v>
      </c>
      <c r="E27" s="41">
        <f t="shared" si="6"/>
        <v>80</v>
      </c>
      <c r="F27" s="41">
        <v>80.0</v>
      </c>
      <c r="G27" s="42">
        <v>43893.0</v>
      </c>
      <c r="H27" s="42">
        <v>43953.0</v>
      </c>
      <c r="I27" s="43">
        <v>1.0</v>
      </c>
      <c r="J27" s="43">
        <v>0.9</v>
      </c>
      <c r="K27" s="43">
        <v>0.9</v>
      </c>
      <c r="L27" s="43">
        <v>0.9</v>
      </c>
      <c r="M27" s="43">
        <v>0.9</v>
      </c>
      <c r="N27" s="43">
        <v>0.9</v>
      </c>
      <c r="O27" s="43">
        <v>0.9</v>
      </c>
      <c r="P27" s="43">
        <v>0.9</v>
      </c>
      <c r="Q27" s="43">
        <v>0.9</v>
      </c>
      <c r="R27" s="43">
        <v>0.9</v>
      </c>
      <c r="S27" s="43">
        <v>0.9</v>
      </c>
      <c r="T27" s="43">
        <v>0.9</v>
      </c>
      <c r="U27" s="43">
        <v>0.9</v>
      </c>
      <c r="V27" s="43">
        <v>0.9</v>
      </c>
      <c r="W27" s="43">
        <v>0.9</v>
      </c>
      <c r="X27" s="43">
        <v>0.9</v>
      </c>
      <c r="Y27" s="43">
        <v>0.9</v>
      </c>
      <c r="Z27" s="43">
        <v>0.9</v>
      </c>
      <c r="AA27" s="43">
        <v>0.9</v>
      </c>
      <c r="AB27" s="43">
        <v>0.9</v>
      </c>
      <c r="AC27" s="43">
        <v>0.9</v>
      </c>
      <c r="AD27" s="43">
        <v>0.9</v>
      </c>
      <c r="AE27" s="43">
        <v>0.9</v>
      </c>
      <c r="AF27" s="43">
        <v>0.9</v>
      </c>
      <c r="AG27" s="43">
        <v>0.9</v>
      </c>
      <c r="AH27" s="43">
        <v>0.9</v>
      </c>
      <c r="AI27" s="43">
        <v>0.9</v>
      </c>
      <c r="AJ27" s="43">
        <v>0.9</v>
      </c>
      <c r="AK27" s="43">
        <v>0.9</v>
      </c>
      <c r="AL27" s="43">
        <v>0.9</v>
      </c>
      <c r="AM27" s="43">
        <v>0.9</v>
      </c>
      <c r="AN27" s="4"/>
      <c r="AO27" s="4"/>
      <c r="AP27" s="4"/>
      <c r="AQ27" s="4"/>
      <c r="AR27" s="4"/>
      <c r="AS27" s="4"/>
      <c r="AT27" s="4"/>
      <c r="AU27" s="4"/>
      <c r="AV27" s="4"/>
      <c r="AW27" s="4"/>
      <c r="AX27" s="4"/>
      <c r="AY27" s="4"/>
      <c r="AZ27" s="4"/>
      <c r="BA27" s="4"/>
      <c r="BB27" s="4"/>
      <c r="BC27" s="4"/>
      <c r="BD27" s="4"/>
      <c r="BE27" s="4"/>
      <c r="BF27" s="4"/>
      <c r="BG27" s="4"/>
    </row>
    <row r="28" ht="15.0" customHeight="1">
      <c r="A28" s="38">
        <v>17.0</v>
      </c>
      <c r="B28" s="39" t="s">
        <v>39</v>
      </c>
      <c r="C28" s="40" t="s">
        <v>20</v>
      </c>
      <c r="D28" s="5" t="s">
        <v>25</v>
      </c>
      <c r="E28" s="41">
        <f>3*8</f>
        <v>24</v>
      </c>
      <c r="F28" s="41">
        <v>32.0</v>
      </c>
      <c r="G28" s="42">
        <v>43893.0</v>
      </c>
      <c r="H28" s="42">
        <v>43953.0</v>
      </c>
      <c r="I28" s="43">
        <v>1.0</v>
      </c>
      <c r="J28" s="43">
        <v>0.9</v>
      </c>
      <c r="K28" s="43">
        <v>0.9</v>
      </c>
      <c r="L28" s="43">
        <v>0.9</v>
      </c>
      <c r="M28" s="43">
        <v>0.9</v>
      </c>
      <c r="N28" s="43">
        <v>0.9</v>
      </c>
      <c r="O28" s="43">
        <v>0.9</v>
      </c>
      <c r="P28" s="43">
        <v>0.9</v>
      </c>
      <c r="Q28" s="43">
        <v>0.9</v>
      </c>
      <c r="R28" s="43">
        <v>0.9</v>
      </c>
      <c r="S28" s="43">
        <v>0.9</v>
      </c>
      <c r="T28" s="43">
        <v>0.9</v>
      </c>
      <c r="U28" s="43">
        <v>0.9</v>
      </c>
      <c r="V28" s="43">
        <v>0.9</v>
      </c>
      <c r="W28" s="43">
        <v>0.9</v>
      </c>
      <c r="X28" s="43">
        <v>0.9</v>
      </c>
      <c r="Y28" s="43">
        <v>0.9</v>
      </c>
      <c r="Z28" s="43">
        <v>0.9</v>
      </c>
      <c r="AA28" s="43">
        <v>0.9</v>
      </c>
      <c r="AB28" s="43">
        <v>0.9</v>
      </c>
      <c r="AC28" s="43">
        <v>0.9</v>
      </c>
      <c r="AD28" s="43">
        <v>0.9</v>
      </c>
      <c r="AE28" s="43">
        <v>0.9</v>
      </c>
      <c r="AF28" s="43">
        <v>0.9</v>
      </c>
      <c r="AG28" s="43">
        <v>0.9</v>
      </c>
      <c r="AH28" s="43">
        <v>0.9</v>
      </c>
      <c r="AI28" s="43">
        <v>0.9</v>
      </c>
      <c r="AJ28" s="43">
        <v>0.9</v>
      </c>
      <c r="AK28" s="43">
        <v>0.9</v>
      </c>
      <c r="AL28" s="43">
        <v>0.9</v>
      </c>
      <c r="AM28" s="43">
        <v>0.9</v>
      </c>
      <c r="AN28" s="4"/>
      <c r="AO28" s="4"/>
      <c r="AP28" s="4"/>
      <c r="AQ28" s="4"/>
      <c r="AR28" s="4"/>
      <c r="AS28" s="4"/>
      <c r="AT28" s="4"/>
      <c r="AU28" s="4"/>
      <c r="AV28" s="4"/>
      <c r="AW28" s="4"/>
      <c r="AX28" s="4"/>
      <c r="AY28" s="4"/>
      <c r="AZ28" s="4"/>
      <c r="BA28" s="4"/>
      <c r="BB28" s="4"/>
      <c r="BC28" s="4"/>
      <c r="BD28" s="4"/>
      <c r="BE28" s="4"/>
      <c r="BF28" s="4"/>
      <c r="BG28" s="4"/>
    </row>
    <row r="29" ht="15.0" customHeight="1">
      <c r="A29" s="13" t="s">
        <v>40</v>
      </c>
      <c r="B29" s="35"/>
      <c r="C29" s="36"/>
      <c r="D29" s="36"/>
      <c r="E29" s="36"/>
      <c r="F29" s="36"/>
      <c r="G29" s="36"/>
      <c r="H29" s="37"/>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4"/>
      <c r="AJ29" s="4"/>
      <c r="AK29" s="4"/>
      <c r="AL29" s="4"/>
      <c r="AM29" s="4"/>
      <c r="AN29" s="4"/>
      <c r="AO29" s="4"/>
      <c r="AP29" s="4"/>
      <c r="AQ29" s="4"/>
      <c r="AR29" s="4"/>
      <c r="AS29" s="4"/>
      <c r="AT29" s="4"/>
      <c r="AU29" s="4"/>
      <c r="AV29" s="4"/>
      <c r="AW29" s="4"/>
      <c r="AX29" s="4"/>
      <c r="AY29" s="4"/>
      <c r="AZ29" s="4"/>
      <c r="BA29" s="4"/>
      <c r="BB29" s="4"/>
      <c r="BC29" s="4"/>
      <c r="BD29" s="4"/>
      <c r="BE29" s="4"/>
      <c r="BF29" s="4"/>
      <c r="BG29" s="4"/>
    </row>
    <row r="30" ht="15.0" customHeight="1">
      <c r="A30" s="23">
        <v>18.0</v>
      </c>
      <c r="B30" s="24" t="s">
        <v>41</v>
      </c>
      <c r="C30" s="25" t="s">
        <v>20</v>
      </c>
      <c r="D30" s="5" t="s">
        <v>42</v>
      </c>
      <c r="E30" s="26">
        <v>24.0</v>
      </c>
      <c r="F30" s="26">
        <v>40.0</v>
      </c>
      <c r="G30" s="44">
        <v>43895.0</v>
      </c>
      <c r="H30" s="44">
        <v>43953.0</v>
      </c>
      <c r="I30" s="28">
        <v>1.0</v>
      </c>
      <c r="J30" s="28">
        <v>0.8</v>
      </c>
      <c r="K30" s="28">
        <v>0.8</v>
      </c>
      <c r="L30" s="28">
        <v>0.8</v>
      </c>
      <c r="M30" s="28">
        <v>0.8</v>
      </c>
      <c r="N30" s="28">
        <v>0.8</v>
      </c>
      <c r="O30" s="28">
        <v>0.8</v>
      </c>
      <c r="P30" s="28">
        <v>0.8</v>
      </c>
      <c r="Q30" s="28">
        <v>0.8</v>
      </c>
      <c r="R30" s="28">
        <v>0.8</v>
      </c>
      <c r="S30" s="28">
        <v>0.8</v>
      </c>
      <c r="T30" s="28">
        <v>0.8</v>
      </c>
      <c r="U30" s="28">
        <v>0.8</v>
      </c>
      <c r="V30" s="28">
        <v>0.8</v>
      </c>
      <c r="W30" s="28">
        <v>0.8</v>
      </c>
      <c r="X30" s="28">
        <v>0.8</v>
      </c>
      <c r="Y30" s="28">
        <v>0.8</v>
      </c>
      <c r="Z30" s="28">
        <v>0.8</v>
      </c>
      <c r="AA30" s="28">
        <v>0.8</v>
      </c>
      <c r="AB30" s="28">
        <v>0.8</v>
      </c>
      <c r="AC30" s="28">
        <v>0.8</v>
      </c>
      <c r="AD30" s="28">
        <v>0.8</v>
      </c>
      <c r="AE30" s="28">
        <v>0.8</v>
      </c>
      <c r="AF30" s="28">
        <v>0.8</v>
      </c>
      <c r="AG30" s="28">
        <v>0.8</v>
      </c>
      <c r="AH30" s="28">
        <v>0.8</v>
      </c>
      <c r="AI30" s="28">
        <v>0.8</v>
      </c>
      <c r="AJ30" s="28">
        <v>0.8</v>
      </c>
      <c r="AK30" s="28">
        <v>0.8</v>
      </c>
      <c r="AL30" s="28">
        <v>0.8</v>
      </c>
      <c r="AM30" s="28">
        <v>0.8</v>
      </c>
      <c r="AN30" s="4"/>
      <c r="AO30" s="4"/>
      <c r="AP30" s="4"/>
      <c r="AQ30" s="4"/>
      <c r="AR30" s="4"/>
      <c r="AS30" s="4"/>
      <c r="AT30" s="4"/>
      <c r="AU30" s="4"/>
      <c r="AV30" s="4"/>
      <c r="AW30" s="4"/>
      <c r="AX30" s="4"/>
      <c r="AY30" s="4"/>
      <c r="AZ30" s="4"/>
      <c r="BA30" s="4"/>
      <c r="BB30" s="4"/>
      <c r="BC30" s="4"/>
      <c r="BD30" s="4"/>
      <c r="BE30" s="4"/>
      <c r="BF30" s="4"/>
      <c r="BG30" s="4"/>
    </row>
    <row r="31" ht="15.0" customHeight="1">
      <c r="A31" s="23">
        <v>19.0</v>
      </c>
      <c r="B31" s="24" t="s">
        <v>43</v>
      </c>
      <c r="C31" s="25" t="s">
        <v>20</v>
      </c>
      <c r="D31" s="5" t="s">
        <v>25</v>
      </c>
      <c r="E31" s="26">
        <v>16.0</v>
      </c>
      <c r="F31" s="26">
        <v>80.0</v>
      </c>
      <c r="G31" s="27">
        <v>43896.0</v>
      </c>
      <c r="H31" s="44">
        <v>43953.0</v>
      </c>
      <c r="I31" s="28">
        <v>1.0</v>
      </c>
      <c r="J31" s="28">
        <v>0.9</v>
      </c>
      <c r="K31" s="28">
        <v>0.9</v>
      </c>
      <c r="L31" s="28">
        <v>0.9</v>
      </c>
      <c r="M31" s="28">
        <v>0.9</v>
      </c>
      <c r="N31" s="28">
        <v>0.9</v>
      </c>
      <c r="O31" s="28">
        <v>0.9</v>
      </c>
      <c r="P31" s="28">
        <v>0.9</v>
      </c>
      <c r="Q31" s="28">
        <v>0.9</v>
      </c>
      <c r="R31" s="28">
        <v>0.9</v>
      </c>
      <c r="S31" s="28">
        <v>0.8</v>
      </c>
      <c r="T31" s="28">
        <v>0.8</v>
      </c>
      <c r="U31" s="28">
        <v>0.8</v>
      </c>
      <c r="V31" s="28">
        <v>0.7</v>
      </c>
      <c r="W31" s="28">
        <v>0.6</v>
      </c>
      <c r="X31" s="28">
        <v>0.5</v>
      </c>
      <c r="Y31" s="28">
        <v>0.4</v>
      </c>
      <c r="Z31" s="28">
        <v>0.3</v>
      </c>
      <c r="AA31" s="28">
        <v>0.2</v>
      </c>
      <c r="AB31" s="28">
        <v>0.1</v>
      </c>
      <c r="AC31" s="28"/>
      <c r="AD31" s="28"/>
      <c r="AE31" s="28"/>
      <c r="AF31" s="28"/>
      <c r="AG31" s="28"/>
      <c r="AH31" s="28"/>
      <c r="AI31" s="28"/>
      <c r="AJ31" s="28"/>
      <c r="AK31" s="28"/>
      <c r="AL31" s="28"/>
      <c r="AM31" s="28"/>
      <c r="AN31" s="4"/>
      <c r="AO31" s="4"/>
      <c r="AP31" s="4"/>
      <c r="AQ31" s="4"/>
      <c r="AR31" s="4"/>
      <c r="AS31" s="4"/>
      <c r="AT31" s="4"/>
      <c r="AU31" s="4"/>
      <c r="AV31" s="4"/>
      <c r="AW31" s="4"/>
      <c r="AX31" s="4"/>
      <c r="AY31" s="4"/>
      <c r="AZ31" s="4"/>
      <c r="BA31" s="4"/>
      <c r="BB31" s="4"/>
      <c r="BC31" s="4"/>
      <c r="BD31" s="4"/>
      <c r="BE31" s="4"/>
      <c r="BF31" s="4"/>
      <c r="BG31" s="4"/>
    </row>
    <row r="32" ht="15.0" customHeight="1">
      <c r="A32" s="23">
        <v>20.0</v>
      </c>
      <c r="B32" s="45" t="s">
        <v>44</v>
      </c>
      <c r="C32" s="46" t="s">
        <v>20</v>
      </c>
      <c r="D32" s="5" t="s">
        <v>17</v>
      </c>
      <c r="E32" s="47">
        <v>8.0</v>
      </c>
      <c r="F32" s="47">
        <v>24.0</v>
      </c>
      <c r="G32" s="48">
        <v>43920.0</v>
      </c>
      <c r="H32" s="44">
        <v>43953.0</v>
      </c>
      <c r="I32" s="28">
        <v>1.0</v>
      </c>
      <c r="J32" s="28">
        <v>0.8</v>
      </c>
      <c r="K32" s="28">
        <v>0.8</v>
      </c>
      <c r="L32" s="28">
        <v>0.8</v>
      </c>
      <c r="M32" s="28">
        <v>0.8</v>
      </c>
      <c r="N32" s="28">
        <v>0.8</v>
      </c>
      <c r="O32" s="28">
        <v>0.8</v>
      </c>
      <c r="P32" s="28">
        <v>0.8</v>
      </c>
      <c r="Q32" s="28">
        <v>0.8</v>
      </c>
      <c r="R32" s="28">
        <v>0.8</v>
      </c>
      <c r="S32" s="28">
        <v>0.8</v>
      </c>
      <c r="T32" s="28">
        <v>0.8</v>
      </c>
      <c r="U32" s="28">
        <v>0.8</v>
      </c>
      <c r="V32" s="28">
        <v>0.8</v>
      </c>
      <c r="W32" s="28">
        <v>0.8</v>
      </c>
      <c r="X32" s="28">
        <v>0.8</v>
      </c>
      <c r="Y32" s="28">
        <v>0.8</v>
      </c>
      <c r="Z32" s="28">
        <v>0.8</v>
      </c>
      <c r="AA32" s="28">
        <v>0.8</v>
      </c>
      <c r="AB32" s="28">
        <v>0.8</v>
      </c>
      <c r="AC32" s="28">
        <v>0.8</v>
      </c>
      <c r="AD32" s="28">
        <v>0.8</v>
      </c>
      <c r="AE32" s="28">
        <v>0.8</v>
      </c>
      <c r="AF32" s="28">
        <v>0.8</v>
      </c>
      <c r="AG32" s="28">
        <v>0.8</v>
      </c>
      <c r="AH32" s="28">
        <v>0.8</v>
      </c>
      <c r="AI32" s="28">
        <v>0.8</v>
      </c>
      <c r="AJ32" s="28">
        <v>0.8</v>
      </c>
      <c r="AK32" s="28">
        <v>0.8</v>
      </c>
      <c r="AL32" s="28">
        <v>0.8</v>
      </c>
      <c r="AM32" s="28">
        <v>0.8</v>
      </c>
      <c r="AN32" s="4"/>
      <c r="AO32" s="4"/>
      <c r="AP32" s="4"/>
      <c r="AQ32" s="4"/>
      <c r="AR32" s="4"/>
      <c r="AS32" s="4"/>
      <c r="AT32" s="4"/>
      <c r="AU32" s="4"/>
      <c r="AV32" s="4"/>
      <c r="AW32" s="4"/>
      <c r="AX32" s="4"/>
      <c r="AY32" s="4"/>
      <c r="AZ32" s="4"/>
      <c r="BA32" s="4"/>
      <c r="BB32" s="4"/>
      <c r="BC32" s="4"/>
      <c r="BD32" s="4"/>
      <c r="BE32" s="4"/>
      <c r="BF32" s="4"/>
      <c r="BG32" s="4"/>
    </row>
    <row r="33" ht="15.0" customHeight="1">
      <c r="A33" s="23"/>
      <c r="B33" s="49" t="s">
        <v>45</v>
      </c>
      <c r="C33" s="50"/>
      <c r="D33" s="51"/>
      <c r="E33" s="25">
        <f t="shared" ref="E33:F33" si="7">SUM(E8:E32)</f>
        <v>1328</v>
      </c>
      <c r="F33" s="25">
        <f t="shared" si="7"/>
        <v>1568</v>
      </c>
      <c r="G33" s="52"/>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53"/>
      <c r="AO33" s="53"/>
      <c r="AP33" s="53"/>
      <c r="AQ33" s="53"/>
      <c r="AR33" s="53"/>
      <c r="AS33" s="53"/>
      <c r="AT33" s="53"/>
      <c r="AU33" s="53"/>
      <c r="AV33" s="53"/>
      <c r="AW33" s="53"/>
      <c r="AX33" s="53"/>
      <c r="AY33" s="53"/>
      <c r="AZ33" s="53"/>
      <c r="BA33" s="53"/>
      <c r="BB33" s="53"/>
      <c r="BC33" s="53"/>
      <c r="BD33" s="53"/>
      <c r="BE33" s="53"/>
      <c r="BF33" s="53"/>
      <c r="BG33" s="53"/>
    </row>
    <row r="34" ht="19.5" hidden="1" customHeight="1">
      <c r="A34" s="17"/>
      <c r="B34" s="54"/>
      <c r="C34" s="54"/>
      <c r="D34" s="54"/>
      <c r="E34" s="54"/>
      <c r="F34" s="54"/>
      <c r="G34" s="54"/>
      <c r="H34" s="54"/>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row>
    <row r="35" ht="15.0" hidden="1" customHeight="1">
      <c r="A35" s="17">
        <v>1.0</v>
      </c>
      <c r="B35" s="18" t="s">
        <v>46</v>
      </c>
      <c r="C35" s="19" t="s">
        <v>20</v>
      </c>
      <c r="D35" s="20" t="s">
        <v>17</v>
      </c>
      <c r="E35" s="20">
        <v>40.0</v>
      </c>
      <c r="F35" s="20">
        <v>21.0</v>
      </c>
      <c r="G35" s="21">
        <v>43913.0</v>
      </c>
      <c r="H35" s="21">
        <v>43931.0</v>
      </c>
      <c r="I35" s="22">
        <v>0.0</v>
      </c>
      <c r="J35" s="22">
        <v>0.0</v>
      </c>
      <c r="K35" s="22">
        <v>0.0</v>
      </c>
      <c r="L35" s="22">
        <v>0.0</v>
      </c>
      <c r="M35" s="22">
        <v>0.0</v>
      </c>
      <c r="N35" s="22">
        <v>0.0</v>
      </c>
      <c r="O35" s="22">
        <v>0.0</v>
      </c>
      <c r="P35" s="22">
        <v>0.0</v>
      </c>
      <c r="Q35" s="22">
        <v>0.0</v>
      </c>
      <c r="R35" s="22">
        <v>0.0</v>
      </c>
      <c r="S35" s="22">
        <v>0.0</v>
      </c>
      <c r="T35" s="22">
        <v>0.0</v>
      </c>
      <c r="U35" s="22">
        <v>0.0</v>
      </c>
      <c r="V35" s="22">
        <v>0.0</v>
      </c>
      <c r="W35" s="22">
        <v>0.0</v>
      </c>
      <c r="X35" s="22">
        <v>0.0</v>
      </c>
      <c r="Y35" s="22">
        <v>0.0</v>
      </c>
      <c r="Z35" s="22">
        <v>0.0</v>
      </c>
      <c r="AA35" s="22">
        <v>0.0</v>
      </c>
      <c r="AB35" s="22">
        <v>0.0</v>
      </c>
      <c r="AC35" s="22">
        <v>0.0</v>
      </c>
      <c r="AD35" s="22">
        <v>0.0</v>
      </c>
      <c r="AE35" s="22">
        <v>0.0</v>
      </c>
      <c r="AF35" s="22">
        <v>0.0</v>
      </c>
      <c r="AG35" s="22">
        <v>0.0</v>
      </c>
      <c r="AH35" s="22">
        <v>0.0</v>
      </c>
      <c r="AI35" s="22">
        <v>0.0</v>
      </c>
      <c r="AJ35" s="22">
        <v>0.0</v>
      </c>
      <c r="AK35" s="22">
        <v>0.0</v>
      </c>
      <c r="AL35" s="22">
        <v>0.0</v>
      </c>
      <c r="AM35" s="22">
        <v>0.0</v>
      </c>
      <c r="AO35" s="4"/>
      <c r="AP35" s="4"/>
      <c r="AQ35" s="4"/>
      <c r="AR35" s="4"/>
      <c r="AS35" s="4"/>
      <c r="AT35" s="4"/>
      <c r="AU35" s="4"/>
      <c r="AV35" s="4"/>
      <c r="AW35" s="4"/>
      <c r="AX35" s="4"/>
      <c r="AY35" s="4"/>
      <c r="AZ35" s="4"/>
      <c r="BA35" s="4"/>
      <c r="BB35" s="4"/>
      <c r="BC35" s="4"/>
      <c r="BD35" s="4"/>
      <c r="BE35" s="4"/>
      <c r="BF35" s="4"/>
      <c r="BG35" s="4"/>
    </row>
    <row r="36" hidden="1">
      <c r="A36" s="56"/>
      <c r="B36" s="57" t="s">
        <v>47</v>
      </c>
      <c r="C36" s="58"/>
      <c r="D36" s="59"/>
      <c r="E36" s="59"/>
      <c r="F36" s="59"/>
      <c r="G36" s="60"/>
      <c r="H36" s="61"/>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4"/>
      <c r="AO36" s="4"/>
      <c r="AP36" s="4"/>
      <c r="AQ36" s="4"/>
      <c r="AR36" s="4"/>
      <c r="AS36" s="4"/>
      <c r="AT36" s="4"/>
      <c r="AU36" s="4"/>
      <c r="AV36" s="4"/>
      <c r="AW36" s="4"/>
      <c r="AX36" s="4"/>
      <c r="AY36" s="4"/>
      <c r="AZ36" s="4"/>
      <c r="BA36" s="4"/>
      <c r="BB36" s="4"/>
      <c r="BC36" s="4"/>
      <c r="BD36" s="4"/>
      <c r="BE36" s="4"/>
      <c r="BF36" s="4"/>
      <c r="BG36" s="4"/>
    </row>
    <row r="37" ht="15.0" hidden="1" customHeight="1">
      <c r="A37" s="23">
        <v>2.0</v>
      </c>
      <c r="B37" s="24" t="s">
        <v>48</v>
      </c>
      <c r="C37" s="25" t="s">
        <v>20</v>
      </c>
      <c r="D37" s="26" t="s">
        <v>42</v>
      </c>
      <c r="E37" s="26">
        <v>28.0</v>
      </c>
      <c r="F37" s="26">
        <v>33.0</v>
      </c>
      <c r="G37" s="27">
        <v>43914.0</v>
      </c>
      <c r="H37" s="27">
        <v>43917.0</v>
      </c>
      <c r="I37" s="28">
        <v>0.9</v>
      </c>
      <c r="J37" s="28">
        <v>0.9</v>
      </c>
      <c r="K37" s="28">
        <v>0.9</v>
      </c>
      <c r="L37" s="28">
        <v>0.9</v>
      </c>
      <c r="M37" s="28">
        <v>0.9</v>
      </c>
      <c r="N37" s="28">
        <v>0.9</v>
      </c>
      <c r="O37" s="28">
        <v>0.9</v>
      </c>
      <c r="P37" s="28">
        <v>0.9</v>
      </c>
      <c r="Q37" s="28">
        <v>0.9</v>
      </c>
      <c r="R37" s="28">
        <v>0.9</v>
      </c>
      <c r="S37" s="28">
        <v>0.9</v>
      </c>
      <c r="T37" s="28">
        <v>0.9</v>
      </c>
      <c r="U37" s="28">
        <v>0.9</v>
      </c>
      <c r="V37" s="28">
        <v>0.9</v>
      </c>
      <c r="W37" s="28">
        <v>0.9</v>
      </c>
      <c r="X37" s="28">
        <v>0.9</v>
      </c>
      <c r="Y37" s="28">
        <v>0.9</v>
      </c>
      <c r="Z37" s="28">
        <v>0.9</v>
      </c>
      <c r="AA37" s="28">
        <v>0.9</v>
      </c>
      <c r="AB37" s="28">
        <v>0.9</v>
      </c>
      <c r="AC37" s="28">
        <v>0.9</v>
      </c>
      <c r="AD37" s="28">
        <v>0.9</v>
      </c>
      <c r="AE37" s="28">
        <v>0.9</v>
      </c>
      <c r="AF37" s="28">
        <v>0.9</v>
      </c>
      <c r="AG37" s="28">
        <v>0.9</v>
      </c>
      <c r="AH37" s="28">
        <v>0.9</v>
      </c>
      <c r="AI37" s="28">
        <v>0.9</v>
      </c>
      <c r="AJ37" s="28">
        <v>0.9</v>
      </c>
      <c r="AK37" s="28">
        <v>0.8</v>
      </c>
      <c r="AL37" s="28">
        <v>0.7</v>
      </c>
      <c r="AM37" s="28">
        <v>0.4</v>
      </c>
      <c r="AN37" s="4"/>
      <c r="AO37" s="4"/>
      <c r="AP37" s="4"/>
      <c r="AQ37" s="4"/>
      <c r="AR37" s="4"/>
      <c r="AS37" s="4"/>
      <c r="AT37" s="4"/>
      <c r="AU37" s="4"/>
      <c r="AV37" s="4"/>
      <c r="AW37" s="4"/>
      <c r="AX37" s="4"/>
      <c r="AY37" s="4"/>
      <c r="AZ37" s="4"/>
      <c r="BA37" s="4"/>
      <c r="BB37" s="4"/>
      <c r="BC37" s="4"/>
      <c r="BD37" s="4"/>
      <c r="BE37" s="4"/>
      <c r="BF37" s="4"/>
      <c r="BG37" s="4"/>
    </row>
    <row r="38" hidden="1">
      <c r="A38" s="56"/>
      <c r="B38" s="57" t="s">
        <v>49</v>
      </c>
      <c r="C38" s="58"/>
      <c r="D38" s="59"/>
      <c r="E38" s="59"/>
      <c r="F38" s="59"/>
      <c r="G38" s="60"/>
      <c r="H38" s="61"/>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4"/>
      <c r="AO38" s="4"/>
      <c r="AP38" s="4"/>
      <c r="AQ38" s="4"/>
      <c r="AR38" s="4"/>
      <c r="AS38" s="4"/>
      <c r="AT38" s="4"/>
      <c r="AU38" s="4"/>
      <c r="AV38" s="4"/>
      <c r="AW38" s="4"/>
      <c r="AX38" s="4"/>
      <c r="AY38" s="4"/>
      <c r="AZ38" s="4"/>
      <c r="BA38" s="4"/>
      <c r="BB38" s="4"/>
      <c r="BC38" s="4"/>
      <c r="BD38" s="4"/>
      <c r="BE38" s="4"/>
      <c r="BF38" s="4"/>
      <c r="BG38" s="4"/>
    </row>
    <row r="39" hidden="1">
      <c r="A39" s="23">
        <v>3.0</v>
      </c>
      <c r="B39" s="24" t="s">
        <v>50</v>
      </c>
      <c r="C39" s="25" t="s">
        <v>20</v>
      </c>
      <c r="D39" s="26" t="s">
        <v>51</v>
      </c>
      <c r="E39" s="26">
        <v>32.0</v>
      </c>
      <c r="F39" s="26">
        <v>27.0</v>
      </c>
      <c r="G39" s="27">
        <v>43915.0</v>
      </c>
      <c r="H39" s="27"/>
      <c r="I39" s="28">
        <v>0.8</v>
      </c>
      <c r="J39" s="28">
        <v>0.8</v>
      </c>
      <c r="K39" s="28">
        <v>0.8</v>
      </c>
      <c r="L39" s="28">
        <v>0.8</v>
      </c>
      <c r="M39" s="28">
        <v>0.8</v>
      </c>
      <c r="N39" s="28">
        <v>0.8</v>
      </c>
      <c r="O39" s="28">
        <v>0.8</v>
      </c>
      <c r="P39" s="28">
        <v>0.8</v>
      </c>
      <c r="Q39" s="28">
        <v>0.8</v>
      </c>
      <c r="R39" s="28">
        <v>0.8</v>
      </c>
      <c r="S39" s="28">
        <v>0.8</v>
      </c>
      <c r="T39" s="28">
        <v>0.8</v>
      </c>
      <c r="U39" s="28">
        <v>0.8</v>
      </c>
      <c r="V39" s="28">
        <v>0.8</v>
      </c>
      <c r="W39" s="28">
        <v>0.8</v>
      </c>
      <c r="X39" s="28">
        <v>0.8</v>
      </c>
      <c r="Y39" s="28">
        <v>0.8</v>
      </c>
      <c r="Z39" s="28">
        <v>0.8</v>
      </c>
      <c r="AA39" s="28">
        <v>0.8</v>
      </c>
      <c r="AB39" s="28">
        <v>0.8</v>
      </c>
      <c r="AC39" s="28">
        <v>0.8</v>
      </c>
      <c r="AD39" s="28">
        <v>0.8</v>
      </c>
      <c r="AE39" s="28">
        <v>0.8</v>
      </c>
      <c r="AF39" s="28">
        <v>0.8</v>
      </c>
      <c r="AG39" s="28">
        <v>0.8</v>
      </c>
      <c r="AH39" s="28">
        <v>0.8</v>
      </c>
      <c r="AI39" s="28">
        <v>0.7</v>
      </c>
      <c r="AJ39" s="28">
        <v>0.6</v>
      </c>
      <c r="AK39" s="28">
        <v>0.3</v>
      </c>
      <c r="AL39" s="28">
        <v>0.1</v>
      </c>
      <c r="AM39" s="28">
        <v>0.0</v>
      </c>
      <c r="AO39" s="4"/>
      <c r="AP39" s="4"/>
      <c r="AQ39" s="4"/>
      <c r="AR39" s="4"/>
      <c r="AS39" s="4"/>
      <c r="AT39" s="4"/>
      <c r="AU39" s="4"/>
      <c r="AV39" s="4"/>
      <c r="AW39" s="4"/>
      <c r="AX39" s="4"/>
      <c r="AY39" s="4"/>
      <c r="AZ39" s="4"/>
      <c r="BA39" s="4"/>
      <c r="BB39" s="4"/>
      <c r="BC39" s="4"/>
      <c r="BD39" s="4"/>
      <c r="BE39" s="4"/>
      <c r="BF39" s="4"/>
      <c r="BG39" s="4"/>
    </row>
    <row r="40" hidden="1">
      <c r="A40" s="23">
        <f t="shared" ref="A40:A48" si="8">+A39+1</f>
        <v>4</v>
      </c>
      <c r="B40" s="24" t="s">
        <v>52</v>
      </c>
      <c r="C40" s="25" t="s">
        <v>20</v>
      </c>
      <c r="D40" s="26" t="s">
        <v>42</v>
      </c>
      <c r="E40" s="26">
        <v>40.0</v>
      </c>
      <c r="F40" s="26">
        <v>6.0</v>
      </c>
      <c r="G40" s="27">
        <v>43915.0</v>
      </c>
      <c r="H40" s="63"/>
      <c r="I40" s="28">
        <v>0.3</v>
      </c>
      <c r="J40" s="28">
        <v>0.3</v>
      </c>
      <c r="K40" s="28">
        <v>0.3</v>
      </c>
      <c r="L40" s="28">
        <v>0.3</v>
      </c>
      <c r="M40" s="28">
        <v>0.3</v>
      </c>
      <c r="N40" s="28">
        <v>0.3</v>
      </c>
      <c r="O40" s="28">
        <v>0.3</v>
      </c>
      <c r="P40" s="28">
        <v>0.3</v>
      </c>
      <c r="Q40" s="28">
        <v>0.3</v>
      </c>
      <c r="R40" s="28">
        <v>0.3</v>
      </c>
      <c r="S40" s="28">
        <v>0.3</v>
      </c>
      <c r="T40" s="28">
        <v>0.3</v>
      </c>
      <c r="U40" s="28">
        <v>0.3</v>
      </c>
      <c r="V40" s="28">
        <v>0.3</v>
      </c>
      <c r="W40" s="28">
        <v>0.3</v>
      </c>
      <c r="X40" s="28">
        <v>0.3</v>
      </c>
      <c r="Y40" s="28">
        <v>0.3</v>
      </c>
      <c r="Z40" s="28">
        <v>0.3</v>
      </c>
      <c r="AA40" s="28">
        <v>0.3</v>
      </c>
      <c r="AB40" s="28">
        <v>0.3</v>
      </c>
      <c r="AC40" s="28">
        <v>0.3</v>
      </c>
      <c r="AD40" s="28">
        <v>0.3</v>
      </c>
      <c r="AE40" s="28">
        <v>0.3</v>
      </c>
      <c r="AF40" s="28">
        <v>0.3</v>
      </c>
      <c r="AG40" s="28">
        <v>0.3</v>
      </c>
      <c r="AH40" s="28">
        <v>0.3</v>
      </c>
      <c r="AI40" s="28">
        <v>0.2</v>
      </c>
      <c r="AJ40" s="28">
        <v>0.1</v>
      </c>
      <c r="AK40" s="28">
        <v>0.1</v>
      </c>
      <c r="AL40" s="28">
        <v>0.1</v>
      </c>
      <c r="AM40" s="28">
        <v>0.0</v>
      </c>
      <c r="AO40" s="4"/>
      <c r="AP40" s="4"/>
      <c r="AQ40" s="4"/>
      <c r="AR40" s="4"/>
      <c r="AS40" s="4"/>
      <c r="AT40" s="4"/>
      <c r="AU40" s="4"/>
      <c r="AV40" s="4"/>
      <c r="AW40" s="4"/>
      <c r="AX40" s="4"/>
      <c r="AY40" s="4"/>
      <c r="AZ40" s="4"/>
      <c r="BA40" s="4"/>
      <c r="BB40" s="4"/>
      <c r="BC40" s="4"/>
      <c r="BD40" s="4"/>
      <c r="BE40" s="4"/>
      <c r="BF40" s="4"/>
      <c r="BG40" s="4"/>
    </row>
    <row r="41" hidden="1">
      <c r="A41" s="23">
        <f t="shared" si="8"/>
        <v>5</v>
      </c>
      <c r="B41" s="24" t="s">
        <v>53</v>
      </c>
      <c r="C41" s="25" t="s">
        <v>54</v>
      </c>
      <c r="D41" s="26" t="s">
        <v>55</v>
      </c>
      <c r="E41" s="26">
        <v>24.0</v>
      </c>
      <c r="F41" s="26"/>
      <c r="G41" s="27"/>
      <c r="H41" s="63"/>
      <c r="I41" s="28">
        <v>0.1</v>
      </c>
      <c r="J41" s="28">
        <v>0.1</v>
      </c>
      <c r="K41" s="28">
        <v>0.1</v>
      </c>
      <c r="L41" s="28">
        <v>0.1</v>
      </c>
      <c r="M41" s="28">
        <v>0.1</v>
      </c>
      <c r="N41" s="28">
        <v>0.1</v>
      </c>
      <c r="O41" s="28">
        <v>0.1</v>
      </c>
      <c r="P41" s="28">
        <v>0.1</v>
      </c>
      <c r="Q41" s="28">
        <v>0.1</v>
      </c>
      <c r="R41" s="28">
        <v>0.1</v>
      </c>
      <c r="S41" s="28">
        <v>0.1</v>
      </c>
      <c r="T41" s="28">
        <v>0.1</v>
      </c>
      <c r="U41" s="28">
        <v>0.1</v>
      </c>
      <c r="V41" s="28">
        <v>0.1</v>
      </c>
      <c r="W41" s="28">
        <v>0.1</v>
      </c>
      <c r="X41" s="28">
        <v>0.1</v>
      </c>
      <c r="Y41" s="28">
        <v>0.1</v>
      </c>
      <c r="Z41" s="28">
        <v>0.1</v>
      </c>
      <c r="AA41" s="28">
        <v>0.1</v>
      </c>
      <c r="AB41" s="28">
        <v>0.1</v>
      </c>
      <c r="AC41" s="28">
        <v>0.1</v>
      </c>
      <c r="AD41" s="28">
        <v>0.1</v>
      </c>
      <c r="AE41" s="28">
        <v>0.1</v>
      </c>
      <c r="AF41" s="28">
        <v>0.1</v>
      </c>
      <c r="AG41" s="28">
        <v>0.1</v>
      </c>
      <c r="AH41" s="28">
        <v>0.1</v>
      </c>
      <c r="AI41" s="28">
        <v>0.1</v>
      </c>
      <c r="AJ41" s="28">
        <v>0.1</v>
      </c>
      <c r="AK41" s="28">
        <v>0.1</v>
      </c>
      <c r="AL41" s="28">
        <v>0.1</v>
      </c>
      <c r="AM41" s="28">
        <v>0.0</v>
      </c>
      <c r="AN41" s="4"/>
      <c r="AO41" s="4"/>
      <c r="AP41" s="4"/>
      <c r="AQ41" s="4"/>
      <c r="AR41" s="4"/>
      <c r="AS41" s="4"/>
      <c r="AT41" s="4"/>
      <c r="AU41" s="4"/>
      <c r="AV41" s="4"/>
      <c r="AW41" s="4"/>
      <c r="AX41" s="4"/>
      <c r="AY41" s="4"/>
      <c r="AZ41" s="4"/>
      <c r="BA41" s="4"/>
      <c r="BB41" s="4"/>
      <c r="BC41" s="4"/>
      <c r="BD41" s="4"/>
      <c r="BE41" s="4"/>
      <c r="BF41" s="4"/>
      <c r="BG41" s="4"/>
    </row>
    <row r="42" hidden="1">
      <c r="A42" s="23">
        <f t="shared" si="8"/>
        <v>6</v>
      </c>
      <c r="B42" s="24" t="s">
        <v>56</v>
      </c>
      <c r="C42" s="25" t="s">
        <v>54</v>
      </c>
      <c r="D42" s="26" t="s">
        <v>51</v>
      </c>
      <c r="E42" s="26">
        <v>40.0</v>
      </c>
      <c r="F42" s="26"/>
      <c r="G42" s="27"/>
      <c r="H42" s="63"/>
      <c r="I42" s="28">
        <v>0.0</v>
      </c>
      <c r="J42" s="28">
        <v>0.0</v>
      </c>
      <c r="K42" s="28">
        <v>0.0</v>
      </c>
      <c r="L42" s="28">
        <v>0.0</v>
      </c>
      <c r="M42" s="28">
        <v>0.0</v>
      </c>
      <c r="N42" s="28">
        <v>0.0</v>
      </c>
      <c r="O42" s="28">
        <v>0.0</v>
      </c>
      <c r="P42" s="28">
        <v>0.0</v>
      </c>
      <c r="Q42" s="28">
        <v>0.0</v>
      </c>
      <c r="R42" s="28">
        <v>0.0</v>
      </c>
      <c r="S42" s="28">
        <v>0.0</v>
      </c>
      <c r="T42" s="28">
        <v>0.0</v>
      </c>
      <c r="U42" s="28">
        <v>0.0</v>
      </c>
      <c r="V42" s="28">
        <v>0.0</v>
      </c>
      <c r="W42" s="28">
        <v>0.0</v>
      </c>
      <c r="X42" s="28">
        <v>0.0</v>
      </c>
      <c r="Y42" s="28">
        <v>0.0</v>
      </c>
      <c r="Z42" s="28">
        <v>0.0</v>
      </c>
      <c r="AA42" s="28">
        <v>0.0</v>
      </c>
      <c r="AB42" s="28">
        <v>0.0</v>
      </c>
      <c r="AC42" s="28">
        <v>0.0</v>
      </c>
      <c r="AD42" s="28">
        <v>0.0</v>
      </c>
      <c r="AE42" s="28">
        <v>0.0</v>
      </c>
      <c r="AF42" s="28">
        <v>0.0</v>
      </c>
      <c r="AG42" s="28">
        <v>0.0</v>
      </c>
      <c r="AH42" s="28">
        <v>0.0</v>
      </c>
      <c r="AI42" s="28">
        <v>0.0</v>
      </c>
      <c r="AJ42" s="28">
        <v>0.0</v>
      </c>
      <c r="AK42" s="28">
        <v>0.0</v>
      </c>
      <c r="AL42" s="28">
        <v>0.0</v>
      </c>
      <c r="AM42" s="28">
        <v>0.0</v>
      </c>
      <c r="AN42" s="4"/>
      <c r="AO42" s="4"/>
      <c r="AP42" s="4"/>
      <c r="AQ42" s="4"/>
      <c r="AR42" s="4"/>
      <c r="AS42" s="4"/>
      <c r="AT42" s="4"/>
      <c r="AU42" s="4"/>
      <c r="AV42" s="4"/>
      <c r="AW42" s="4"/>
      <c r="AX42" s="4"/>
      <c r="AY42" s="4"/>
      <c r="AZ42" s="4"/>
      <c r="BA42" s="4"/>
      <c r="BB42" s="4"/>
      <c r="BC42" s="4"/>
      <c r="BD42" s="4"/>
      <c r="BE42" s="4"/>
      <c r="BF42" s="4"/>
      <c r="BG42" s="4"/>
    </row>
    <row r="43" hidden="1">
      <c r="A43" s="23">
        <f t="shared" si="8"/>
        <v>7</v>
      </c>
      <c r="B43" s="24" t="s">
        <v>57</v>
      </c>
      <c r="C43" s="25" t="s">
        <v>54</v>
      </c>
      <c r="D43" s="26" t="s">
        <v>42</v>
      </c>
      <c r="E43" s="26">
        <v>40.0</v>
      </c>
      <c r="F43" s="26"/>
      <c r="G43" s="27"/>
      <c r="H43" s="63"/>
      <c r="I43" s="28">
        <v>0.0</v>
      </c>
      <c r="J43" s="28">
        <v>0.0</v>
      </c>
      <c r="K43" s="28">
        <v>0.0</v>
      </c>
      <c r="L43" s="28">
        <v>0.0</v>
      </c>
      <c r="M43" s="28">
        <v>0.0</v>
      </c>
      <c r="N43" s="28">
        <v>0.0</v>
      </c>
      <c r="O43" s="28">
        <v>0.0</v>
      </c>
      <c r="P43" s="28">
        <v>0.0</v>
      </c>
      <c r="Q43" s="28">
        <v>0.0</v>
      </c>
      <c r="R43" s="28">
        <v>0.0</v>
      </c>
      <c r="S43" s="28">
        <v>0.0</v>
      </c>
      <c r="T43" s="28">
        <v>0.0</v>
      </c>
      <c r="U43" s="28">
        <v>0.0</v>
      </c>
      <c r="V43" s="28">
        <v>0.0</v>
      </c>
      <c r="W43" s="28">
        <v>0.0</v>
      </c>
      <c r="X43" s="28">
        <v>0.0</v>
      </c>
      <c r="Y43" s="28">
        <v>0.0</v>
      </c>
      <c r="Z43" s="28">
        <v>0.0</v>
      </c>
      <c r="AA43" s="28">
        <v>0.0</v>
      </c>
      <c r="AB43" s="28">
        <v>0.0</v>
      </c>
      <c r="AC43" s="28">
        <v>0.0</v>
      </c>
      <c r="AD43" s="28">
        <v>0.0</v>
      </c>
      <c r="AE43" s="28">
        <v>0.0</v>
      </c>
      <c r="AF43" s="28">
        <v>0.0</v>
      </c>
      <c r="AG43" s="28">
        <v>0.0</v>
      </c>
      <c r="AH43" s="28">
        <v>0.0</v>
      </c>
      <c r="AI43" s="28">
        <v>0.0</v>
      </c>
      <c r="AJ43" s="28">
        <v>0.0</v>
      </c>
      <c r="AK43" s="28">
        <v>0.0</v>
      </c>
      <c r="AL43" s="28">
        <v>0.0</v>
      </c>
      <c r="AM43" s="28">
        <v>0.0</v>
      </c>
      <c r="AN43" s="4"/>
      <c r="AO43" s="4"/>
      <c r="AP43" s="4"/>
      <c r="AQ43" s="4"/>
      <c r="AR43" s="4"/>
      <c r="AS43" s="4"/>
      <c r="AT43" s="4"/>
      <c r="AU43" s="4"/>
      <c r="AV43" s="4"/>
      <c r="AW43" s="4"/>
      <c r="AX43" s="4"/>
      <c r="AY43" s="4"/>
      <c r="AZ43" s="4"/>
      <c r="BA43" s="4"/>
      <c r="BB43" s="4"/>
      <c r="BC43" s="4"/>
      <c r="BD43" s="4"/>
      <c r="BE43" s="4"/>
      <c r="BF43" s="4"/>
      <c r="BG43" s="4"/>
    </row>
    <row r="44" hidden="1">
      <c r="A44" s="23">
        <f t="shared" si="8"/>
        <v>8</v>
      </c>
      <c r="B44" s="24" t="s">
        <v>58</v>
      </c>
      <c r="C44" s="25" t="s">
        <v>54</v>
      </c>
      <c r="D44" s="26" t="s">
        <v>55</v>
      </c>
      <c r="E44" s="26">
        <v>40.0</v>
      </c>
      <c r="F44" s="26"/>
      <c r="G44" s="27"/>
      <c r="H44" s="63"/>
      <c r="I44" s="28">
        <v>0.0</v>
      </c>
      <c r="J44" s="28">
        <v>0.0</v>
      </c>
      <c r="K44" s="28">
        <v>0.0</v>
      </c>
      <c r="L44" s="28">
        <v>0.0</v>
      </c>
      <c r="M44" s="28">
        <v>0.0</v>
      </c>
      <c r="N44" s="28">
        <v>0.0</v>
      </c>
      <c r="O44" s="28">
        <v>0.0</v>
      </c>
      <c r="P44" s="28">
        <v>0.0</v>
      </c>
      <c r="Q44" s="28">
        <v>0.0</v>
      </c>
      <c r="R44" s="28">
        <v>0.0</v>
      </c>
      <c r="S44" s="28">
        <v>0.0</v>
      </c>
      <c r="T44" s="28">
        <v>0.0</v>
      </c>
      <c r="U44" s="28">
        <v>0.0</v>
      </c>
      <c r="V44" s="28">
        <v>0.0</v>
      </c>
      <c r="W44" s="28">
        <v>0.0</v>
      </c>
      <c r="X44" s="28">
        <v>0.0</v>
      </c>
      <c r="Y44" s="28">
        <v>0.0</v>
      </c>
      <c r="Z44" s="28">
        <v>0.0</v>
      </c>
      <c r="AA44" s="28">
        <v>0.0</v>
      </c>
      <c r="AB44" s="28">
        <v>0.0</v>
      </c>
      <c r="AC44" s="28">
        <v>0.0</v>
      </c>
      <c r="AD44" s="28">
        <v>0.0</v>
      </c>
      <c r="AE44" s="28">
        <v>0.0</v>
      </c>
      <c r="AF44" s="28">
        <v>0.0</v>
      </c>
      <c r="AG44" s="28">
        <v>0.0</v>
      </c>
      <c r="AH44" s="28">
        <v>0.0</v>
      </c>
      <c r="AI44" s="28">
        <v>0.0</v>
      </c>
      <c r="AJ44" s="28">
        <v>0.0</v>
      </c>
      <c r="AK44" s="28">
        <v>0.0</v>
      </c>
      <c r="AL44" s="28">
        <v>0.0</v>
      </c>
      <c r="AM44" s="28">
        <v>0.0</v>
      </c>
      <c r="AN44" s="4"/>
      <c r="AO44" s="4"/>
      <c r="AP44" s="4"/>
      <c r="AQ44" s="4"/>
      <c r="AR44" s="4"/>
      <c r="AS44" s="4"/>
      <c r="AT44" s="4"/>
      <c r="AU44" s="4"/>
      <c r="AV44" s="4"/>
      <c r="AW44" s="4"/>
      <c r="AX44" s="4"/>
      <c r="AY44" s="4"/>
      <c r="AZ44" s="4"/>
      <c r="BA44" s="4"/>
      <c r="BB44" s="4"/>
      <c r="BC44" s="4"/>
      <c r="BD44" s="4"/>
      <c r="BE44" s="4"/>
      <c r="BF44" s="4"/>
      <c r="BG44" s="4"/>
    </row>
    <row r="45" hidden="1">
      <c r="A45" s="23">
        <f t="shared" si="8"/>
        <v>9</v>
      </c>
      <c r="B45" s="24" t="s">
        <v>59</v>
      </c>
      <c r="C45" s="25" t="s">
        <v>54</v>
      </c>
      <c r="D45" s="26" t="s">
        <v>51</v>
      </c>
      <c r="E45" s="26">
        <v>16.0</v>
      </c>
      <c r="F45" s="26"/>
      <c r="G45" s="27"/>
      <c r="H45" s="63"/>
      <c r="I45" s="28">
        <v>0.0</v>
      </c>
      <c r="J45" s="28">
        <v>0.0</v>
      </c>
      <c r="K45" s="28">
        <v>0.0</v>
      </c>
      <c r="L45" s="28">
        <v>0.0</v>
      </c>
      <c r="M45" s="28">
        <v>0.0</v>
      </c>
      <c r="N45" s="28">
        <v>0.0</v>
      </c>
      <c r="O45" s="28">
        <v>0.0</v>
      </c>
      <c r="P45" s="28">
        <v>0.0</v>
      </c>
      <c r="Q45" s="28">
        <v>0.0</v>
      </c>
      <c r="R45" s="28">
        <v>0.0</v>
      </c>
      <c r="S45" s="28">
        <v>0.0</v>
      </c>
      <c r="T45" s="28">
        <v>0.0</v>
      </c>
      <c r="U45" s="28">
        <v>0.0</v>
      </c>
      <c r="V45" s="28">
        <v>0.0</v>
      </c>
      <c r="W45" s="28">
        <v>0.0</v>
      </c>
      <c r="X45" s="28">
        <v>0.0</v>
      </c>
      <c r="Y45" s="28">
        <v>0.0</v>
      </c>
      <c r="Z45" s="28">
        <v>0.0</v>
      </c>
      <c r="AA45" s="28">
        <v>0.0</v>
      </c>
      <c r="AB45" s="28">
        <v>0.0</v>
      </c>
      <c r="AC45" s="28">
        <v>0.0</v>
      </c>
      <c r="AD45" s="28">
        <v>0.0</v>
      </c>
      <c r="AE45" s="28">
        <v>0.0</v>
      </c>
      <c r="AF45" s="28">
        <v>0.0</v>
      </c>
      <c r="AG45" s="28">
        <v>0.0</v>
      </c>
      <c r="AH45" s="28">
        <v>0.0</v>
      </c>
      <c r="AI45" s="28">
        <v>0.0</v>
      </c>
      <c r="AJ45" s="28">
        <v>0.0</v>
      </c>
      <c r="AK45" s="28">
        <v>0.0</v>
      </c>
      <c r="AL45" s="28">
        <v>0.0</v>
      </c>
      <c r="AM45" s="28">
        <v>0.0</v>
      </c>
      <c r="AN45" s="4"/>
      <c r="AO45" s="4"/>
      <c r="AP45" s="4"/>
      <c r="AQ45" s="4"/>
      <c r="AR45" s="4"/>
      <c r="AS45" s="4"/>
      <c r="AT45" s="4"/>
      <c r="AU45" s="4"/>
      <c r="AV45" s="4"/>
      <c r="AW45" s="4"/>
      <c r="AX45" s="4"/>
      <c r="AY45" s="4"/>
      <c r="AZ45" s="4"/>
      <c r="BA45" s="4"/>
      <c r="BB45" s="4"/>
      <c r="BC45" s="4"/>
      <c r="BD45" s="4"/>
      <c r="BE45" s="4"/>
      <c r="BF45" s="4"/>
      <c r="BG45" s="4"/>
    </row>
    <row r="46" hidden="1">
      <c r="A46" s="23">
        <f t="shared" si="8"/>
        <v>10</v>
      </c>
      <c r="B46" s="24" t="s">
        <v>59</v>
      </c>
      <c r="C46" s="25" t="s">
        <v>54</v>
      </c>
      <c r="D46" s="26" t="s">
        <v>42</v>
      </c>
      <c r="E46" s="26">
        <v>16.0</v>
      </c>
      <c r="F46" s="26"/>
      <c r="G46" s="27"/>
      <c r="H46" s="63"/>
      <c r="I46" s="28">
        <v>0.0</v>
      </c>
      <c r="J46" s="28">
        <v>0.0</v>
      </c>
      <c r="K46" s="28">
        <v>0.0</v>
      </c>
      <c r="L46" s="28">
        <v>0.0</v>
      </c>
      <c r="M46" s="28">
        <v>0.0</v>
      </c>
      <c r="N46" s="28">
        <v>0.0</v>
      </c>
      <c r="O46" s="28">
        <v>0.0</v>
      </c>
      <c r="P46" s="28">
        <v>0.0</v>
      </c>
      <c r="Q46" s="28">
        <v>0.0</v>
      </c>
      <c r="R46" s="28">
        <v>0.0</v>
      </c>
      <c r="S46" s="28">
        <v>0.0</v>
      </c>
      <c r="T46" s="28">
        <v>0.0</v>
      </c>
      <c r="U46" s="28">
        <v>0.0</v>
      </c>
      <c r="V46" s="28">
        <v>0.0</v>
      </c>
      <c r="W46" s="28">
        <v>0.0</v>
      </c>
      <c r="X46" s="28">
        <v>0.0</v>
      </c>
      <c r="Y46" s="28">
        <v>0.0</v>
      </c>
      <c r="Z46" s="28">
        <v>0.0</v>
      </c>
      <c r="AA46" s="28">
        <v>0.0</v>
      </c>
      <c r="AB46" s="28">
        <v>0.0</v>
      </c>
      <c r="AC46" s="28">
        <v>0.0</v>
      </c>
      <c r="AD46" s="28">
        <v>0.0</v>
      </c>
      <c r="AE46" s="28">
        <v>0.0</v>
      </c>
      <c r="AF46" s="28">
        <v>0.0</v>
      </c>
      <c r="AG46" s="28">
        <v>0.0</v>
      </c>
      <c r="AH46" s="28">
        <v>0.0</v>
      </c>
      <c r="AI46" s="28">
        <v>0.0</v>
      </c>
      <c r="AJ46" s="28">
        <v>0.0</v>
      </c>
      <c r="AK46" s="28">
        <v>0.0</v>
      </c>
      <c r="AL46" s="28">
        <v>0.0</v>
      </c>
      <c r="AM46" s="28">
        <v>0.0</v>
      </c>
      <c r="AN46" s="4"/>
      <c r="AO46" s="4"/>
      <c r="AP46" s="4"/>
      <c r="AQ46" s="4"/>
      <c r="AR46" s="4"/>
      <c r="AS46" s="4"/>
      <c r="AT46" s="4"/>
      <c r="AU46" s="4"/>
      <c r="AV46" s="4"/>
      <c r="AW46" s="4"/>
      <c r="AX46" s="4"/>
      <c r="AY46" s="4"/>
      <c r="AZ46" s="4"/>
      <c r="BA46" s="4"/>
      <c r="BB46" s="4"/>
      <c r="BC46" s="4"/>
      <c r="BD46" s="4"/>
      <c r="BE46" s="4"/>
      <c r="BF46" s="4"/>
      <c r="BG46" s="4"/>
    </row>
    <row r="47" hidden="1">
      <c r="A47" s="23">
        <f t="shared" si="8"/>
        <v>11</v>
      </c>
      <c r="B47" s="24" t="s">
        <v>59</v>
      </c>
      <c r="C47" s="25" t="s">
        <v>54</v>
      </c>
      <c r="D47" s="26" t="s">
        <v>55</v>
      </c>
      <c r="E47" s="26">
        <v>16.0</v>
      </c>
      <c r="F47" s="26"/>
      <c r="G47" s="27"/>
      <c r="H47" s="63"/>
      <c r="I47" s="28">
        <v>0.0</v>
      </c>
      <c r="J47" s="28">
        <v>0.0</v>
      </c>
      <c r="K47" s="28">
        <v>0.0</v>
      </c>
      <c r="L47" s="28">
        <v>0.0</v>
      </c>
      <c r="M47" s="28">
        <v>0.0</v>
      </c>
      <c r="N47" s="28">
        <v>0.0</v>
      </c>
      <c r="O47" s="28">
        <v>0.0</v>
      </c>
      <c r="P47" s="28">
        <v>0.0</v>
      </c>
      <c r="Q47" s="28">
        <v>0.0</v>
      </c>
      <c r="R47" s="28">
        <v>0.0</v>
      </c>
      <c r="S47" s="28">
        <v>0.0</v>
      </c>
      <c r="T47" s="28">
        <v>0.0</v>
      </c>
      <c r="U47" s="28">
        <v>0.0</v>
      </c>
      <c r="V47" s="28">
        <v>0.0</v>
      </c>
      <c r="W47" s="28">
        <v>0.0</v>
      </c>
      <c r="X47" s="28">
        <v>0.0</v>
      </c>
      <c r="Y47" s="28">
        <v>0.0</v>
      </c>
      <c r="Z47" s="28">
        <v>0.0</v>
      </c>
      <c r="AA47" s="28">
        <v>0.0</v>
      </c>
      <c r="AB47" s="28">
        <v>0.0</v>
      </c>
      <c r="AC47" s="28">
        <v>0.0</v>
      </c>
      <c r="AD47" s="28">
        <v>0.0</v>
      </c>
      <c r="AE47" s="28">
        <v>0.0</v>
      </c>
      <c r="AF47" s="28">
        <v>0.0</v>
      </c>
      <c r="AG47" s="28">
        <v>0.0</v>
      </c>
      <c r="AH47" s="28">
        <v>0.0</v>
      </c>
      <c r="AI47" s="28">
        <v>0.0</v>
      </c>
      <c r="AJ47" s="28">
        <v>0.0</v>
      </c>
      <c r="AK47" s="28">
        <v>0.0</v>
      </c>
      <c r="AL47" s="28">
        <v>0.0</v>
      </c>
      <c r="AM47" s="28">
        <v>0.0</v>
      </c>
      <c r="AN47" s="4"/>
      <c r="AO47" s="4"/>
      <c r="AP47" s="4"/>
      <c r="AQ47" s="4"/>
      <c r="AR47" s="4"/>
      <c r="AS47" s="4"/>
      <c r="AT47" s="4"/>
      <c r="AU47" s="4"/>
      <c r="AV47" s="4"/>
      <c r="AW47" s="4"/>
      <c r="AX47" s="4"/>
      <c r="AY47" s="4"/>
      <c r="AZ47" s="4"/>
      <c r="BA47" s="4"/>
      <c r="BB47" s="4"/>
      <c r="BC47" s="4"/>
      <c r="BD47" s="4"/>
      <c r="BE47" s="4"/>
      <c r="BF47" s="4"/>
      <c r="BG47" s="4"/>
    </row>
    <row r="48" hidden="1">
      <c r="A48" s="23">
        <f t="shared" si="8"/>
        <v>12</v>
      </c>
      <c r="B48" s="24" t="s">
        <v>60</v>
      </c>
      <c r="C48" s="25" t="s">
        <v>54</v>
      </c>
      <c r="D48" s="26" t="s">
        <v>17</v>
      </c>
      <c r="E48" s="26">
        <v>8.0</v>
      </c>
      <c r="F48" s="26"/>
      <c r="G48" s="27"/>
      <c r="H48" s="63"/>
      <c r="I48" s="28">
        <v>0.0</v>
      </c>
      <c r="J48" s="28">
        <v>0.0</v>
      </c>
      <c r="K48" s="28">
        <v>0.0</v>
      </c>
      <c r="L48" s="28">
        <v>0.0</v>
      </c>
      <c r="M48" s="28">
        <v>0.0</v>
      </c>
      <c r="N48" s="28">
        <v>0.0</v>
      </c>
      <c r="O48" s="28">
        <v>0.0</v>
      </c>
      <c r="P48" s="28">
        <v>0.0</v>
      </c>
      <c r="Q48" s="28">
        <v>0.0</v>
      </c>
      <c r="R48" s="28">
        <v>0.0</v>
      </c>
      <c r="S48" s="28">
        <v>0.0</v>
      </c>
      <c r="T48" s="28">
        <v>0.0</v>
      </c>
      <c r="U48" s="28">
        <v>0.0</v>
      </c>
      <c r="V48" s="28">
        <v>0.0</v>
      </c>
      <c r="W48" s="28">
        <v>0.0</v>
      </c>
      <c r="X48" s="28">
        <v>0.0</v>
      </c>
      <c r="Y48" s="28">
        <v>0.0</v>
      </c>
      <c r="Z48" s="28">
        <v>0.0</v>
      </c>
      <c r="AA48" s="28">
        <v>0.0</v>
      </c>
      <c r="AB48" s="28">
        <v>0.0</v>
      </c>
      <c r="AC48" s="28">
        <v>0.0</v>
      </c>
      <c r="AD48" s="28">
        <v>0.0</v>
      </c>
      <c r="AE48" s="28">
        <v>0.0</v>
      </c>
      <c r="AF48" s="28">
        <v>0.0</v>
      </c>
      <c r="AG48" s="28">
        <v>0.0</v>
      </c>
      <c r="AH48" s="28">
        <v>0.0</v>
      </c>
      <c r="AI48" s="28">
        <v>0.0</v>
      </c>
      <c r="AJ48" s="28">
        <v>0.0</v>
      </c>
      <c r="AK48" s="28">
        <v>0.0</v>
      </c>
      <c r="AL48" s="28">
        <v>0.0</v>
      </c>
      <c r="AM48" s="28">
        <v>0.0</v>
      </c>
      <c r="AN48" s="4"/>
      <c r="AO48" s="4"/>
      <c r="AP48" s="4"/>
      <c r="AQ48" s="4"/>
      <c r="AR48" s="4"/>
      <c r="AS48" s="4"/>
      <c r="AT48" s="4"/>
      <c r="AU48" s="4"/>
      <c r="AV48" s="4"/>
      <c r="AW48" s="4"/>
      <c r="AX48" s="4"/>
      <c r="AY48" s="4"/>
      <c r="AZ48" s="4"/>
      <c r="BA48" s="4"/>
      <c r="BB48" s="4"/>
      <c r="BC48" s="4"/>
      <c r="BD48" s="4"/>
      <c r="BE48" s="4"/>
      <c r="BF48" s="4"/>
      <c r="BG48" s="4"/>
    </row>
    <row r="49" hidden="1">
      <c r="A49" s="56"/>
      <c r="B49" s="57" t="s">
        <v>49</v>
      </c>
      <c r="C49" s="58"/>
      <c r="D49" s="59"/>
      <c r="E49" s="59"/>
      <c r="F49" s="59"/>
      <c r="G49" s="60"/>
      <c r="H49" s="61"/>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4"/>
      <c r="AO49" s="4"/>
      <c r="AP49" s="4"/>
      <c r="AQ49" s="4"/>
      <c r="AR49" s="4"/>
      <c r="AS49" s="4"/>
      <c r="AT49" s="4"/>
      <c r="AU49" s="4"/>
      <c r="AV49" s="4"/>
      <c r="AW49" s="4"/>
      <c r="AX49" s="4"/>
      <c r="AY49" s="4"/>
      <c r="AZ49" s="4"/>
      <c r="BA49" s="4"/>
      <c r="BB49" s="4"/>
      <c r="BC49" s="4"/>
      <c r="BD49" s="4"/>
      <c r="BE49" s="4"/>
      <c r="BF49" s="4"/>
      <c r="BG49" s="4"/>
    </row>
    <row r="50" hidden="1">
      <c r="A50" s="23">
        <v>13.0</v>
      </c>
      <c r="B50" s="24" t="s">
        <v>61</v>
      </c>
      <c r="C50" s="25" t="s">
        <v>54</v>
      </c>
      <c r="D50" s="26" t="s">
        <v>51</v>
      </c>
      <c r="E50" s="26">
        <v>16.0</v>
      </c>
      <c r="F50" s="26"/>
      <c r="G50" s="27"/>
      <c r="H50" s="27"/>
      <c r="I50" s="28">
        <v>0.0</v>
      </c>
      <c r="J50" s="28">
        <v>0.0</v>
      </c>
      <c r="K50" s="28">
        <v>0.0</v>
      </c>
      <c r="L50" s="28">
        <v>0.0</v>
      </c>
      <c r="M50" s="28">
        <v>0.0</v>
      </c>
      <c r="N50" s="28">
        <v>0.0</v>
      </c>
      <c r="O50" s="28">
        <v>0.0</v>
      </c>
      <c r="P50" s="28">
        <v>0.0</v>
      </c>
      <c r="Q50" s="28">
        <v>0.0</v>
      </c>
      <c r="R50" s="28">
        <v>0.0</v>
      </c>
      <c r="S50" s="28">
        <v>0.0</v>
      </c>
      <c r="T50" s="28">
        <v>0.0</v>
      </c>
      <c r="U50" s="28">
        <v>0.0</v>
      </c>
      <c r="V50" s="28">
        <v>0.0</v>
      </c>
      <c r="W50" s="28">
        <v>0.0</v>
      </c>
      <c r="X50" s="28">
        <v>0.0</v>
      </c>
      <c r="Y50" s="28">
        <v>0.0</v>
      </c>
      <c r="Z50" s="28">
        <v>0.0</v>
      </c>
      <c r="AA50" s="28">
        <v>0.0</v>
      </c>
      <c r="AB50" s="28">
        <v>0.0</v>
      </c>
      <c r="AC50" s="28">
        <v>0.0</v>
      </c>
      <c r="AD50" s="28">
        <v>0.0</v>
      </c>
      <c r="AE50" s="28">
        <v>0.0</v>
      </c>
      <c r="AF50" s="28">
        <v>0.0</v>
      </c>
      <c r="AG50" s="28">
        <v>0.0</v>
      </c>
      <c r="AH50" s="28">
        <v>0.0</v>
      </c>
      <c r="AI50" s="28">
        <v>0.0</v>
      </c>
      <c r="AJ50" s="28">
        <v>0.0</v>
      </c>
      <c r="AK50" s="28">
        <v>0.0</v>
      </c>
      <c r="AL50" s="28">
        <v>0.0</v>
      </c>
      <c r="AM50" s="28">
        <v>0.0</v>
      </c>
      <c r="AO50" s="4"/>
      <c r="AP50" s="4"/>
      <c r="AQ50" s="4"/>
      <c r="AR50" s="4"/>
      <c r="AS50" s="4"/>
      <c r="AT50" s="4"/>
      <c r="AU50" s="4"/>
      <c r="AV50" s="4"/>
      <c r="AW50" s="4"/>
      <c r="AX50" s="4"/>
      <c r="AY50" s="4"/>
      <c r="AZ50" s="4"/>
      <c r="BA50" s="4"/>
      <c r="BB50" s="4"/>
      <c r="BC50" s="4"/>
      <c r="BD50" s="4"/>
      <c r="BE50" s="4"/>
      <c r="BF50" s="4"/>
      <c r="BG50" s="4"/>
    </row>
    <row r="51" hidden="1">
      <c r="A51" s="23">
        <f t="shared" ref="A51:A59" si="9">A50+1</f>
        <v>14</v>
      </c>
      <c r="B51" s="24" t="s">
        <v>62</v>
      </c>
      <c r="C51" s="25" t="s">
        <v>54</v>
      </c>
      <c r="D51" s="26" t="s">
        <v>42</v>
      </c>
      <c r="E51" s="26">
        <v>16.0</v>
      </c>
      <c r="F51" s="26"/>
      <c r="G51" s="27"/>
      <c r="H51" s="26"/>
      <c r="I51" s="28">
        <v>0.0</v>
      </c>
      <c r="J51" s="28">
        <v>0.0</v>
      </c>
      <c r="K51" s="28">
        <v>0.0</v>
      </c>
      <c r="L51" s="28">
        <v>0.0</v>
      </c>
      <c r="M51" s="28">
        <v>0.0</v>
      </c>
      <c r="N51" s="28">
        <v>0.0</v>
      </c>
      <c r="O51" s="28">
        <v>0.0</v>
      </c>
      <c r="P51" s="28">
        <v>0.0</v>
      </c>
      <c r="Q51" s="28">
        <v>0.0</v>
      </c>
      <c r="R51" s="28">
        <v>0.0</v>
      </c>
      <c r="S51" s="28">
        <v>0.0</v>
      </c>
      <c r="T51" s="28">
        <v>0.0</v>
      </c>
      <c r="U51" s="28">
        <v>0.0</v>
      </c>
      <c r="V51" s="28">
        <v>0.0</v>
      </c>
      <c r="W51" s="28">
        <v>0.0</v>
      </c>
      <c r="X51" s="28">
        <v>0.0</v>
      </c>
      <c r="Y51" s="28">
        <v>0.0</v>
      </c>
      <c r="Z51" s="28">
        <v>0.0</v>
      </c>
      <c r="AA51" s="28">
        <v>0.0</v>
      </c>
      <c r="AB51" s="28">
        <v>0.0</v>
      </c>
      <c r="AC51" s="28">
        <v>0.0</v>
      </c>
      <c r="AD51" s="28">
        <v>0.0</v>
      </c>
      <c r="AE51" s="28">
        <v>0.0</v>
      </c>
      <c r="AF51" s="28">
        <v>0.0</v>
      </c>
      <c r="AG51" s="28">
        <v>0.0</v>
      </c>
      <c r="AH51" s="28">
        <v>0.0</v>
      </c>
      <c r="AI51" s="28">
        <v>0.0</v>
      </c>
      <c r="AJ51" s="28">
        <v>0.0</v>
      </c>
      <c r="AK51" s="28">
        <v>0.0</v>
      </c>
      <c r="AL51" s="28">
        <v>0.0</v>
      </c>
      <c r="AM51" s="28">
        <v>0.0</v>
      </c>
      <c r="AO51" s="4"/>
      <c r="AP51" s="4"/>
      <c r="AQ51" s="4"/>
      <c r="AR51" s="4"/>
      <c r="AS51" s="4"/>
      <c r="AT51" s="4"/>
      <c r="AU51" s="4"/>
      <c r="AV51" s="4"/>
      <c r="AW51" s="4"/>
      <c r="AX51" s="4"/>
      <c r="AY51" s="4"/>
      <c r="AZ51" s="4"/>
      <c r="BA51" s="4"/>
      <c r="BB51" s="4"/>
      <c r="BC51" s="4"/>
      <c r="BD51" s="4"/>
      <c r="BE51" s="4"/>
      <c r="BF51" s="4"/>
      <c r="BG51" s="4"/>
    </row>
    <row r="52" hidden="1">
      <c r="A52" s="23">
        <f t="shared" si="9"/>
        <v>15</v>
      </c>
      <c r="B52" s="24" t="s">
        <v>63</v>
      </c>
      <c r="C52" s="25" t="s">
        <v>54</v>
      </c>
      <c r="D52" s="26" t="s">
        <v>42</v>
      </c>
      <c r="E52" s="26">
        <v>16.0</v>
      </c>
      <c r="F52" s="26"/>
      <c r="G52" s="27"/>
      <c r="H52" s="26"/>
      <c r="I52" s="28">
        <v>0.0</v>
      </c>
      <c r="J52" s="28">
        <v>0.0</v>
      </c>
      <c r="K52" s="28">
        <v>0.0</v>
      </c>
      <c r="L52" s="28">
        <v>0.0</v>
      </c>
      <c r="M52" s="28">
        <v>0.0</v>
      </c>
      <c r="N52" s="28">
        <v>0.0</v>
      </c>
      <c r="O52" s="28">
        <v>0.0</v>
      </c>
      <c r="P52" s="28">
        <v>0.0</v>
      </c>
      <c r="Q52" s="28">
        <v>0.0</v>
      </c>
      <c r="R52" s="28">
        <v>0.0</v>
      </c>
      <c r="S52" s="28">
        <v>0.0</v>
      </c>
      <c r="T52" s="28">
        <v>0.0</v>
      </c>
      <c r="U52" s="28">
        <v>0.0</v>
      </c>
      <c r="V52" s="28">
        <v>0.0</v>
      </c>
      <c r="W52" s="28">
        <v>0.0</v>
      </c>
      <c r="X52" s="28">
        <v>0.0</v>
      </c>
      <c r="Y52" s="28">
        <v>0.0</v>
      </c>
      <c r="Z52" s="28">
        <v>0.0</v>
      </c>
      <c r="AA52" s="28">
        <v>0.0</v>
      </c>
      <c r="AB52" s="28">
        <v>0.0</v>
      </c>
      <c r="AC52" s="28">
        <v>0.0</v>
      </c>
      <c r="AD52" s="28">
        <v>0.0</v>
      </c>
      <c r="AE52" s="28">
        <v>0.0</v>
      </c>
      <c r="AF52" s="28">
        <v>0.0</v>
      </c>
      <c r="AG52" s="28">
        <v>0.0</v>
      </c>
      <c r="AH52" s="28">
        <v>0.0</v>
      </c>
      <c r="AI52" s="28">
        <v>0.0</v>
      </c>
      <c r="AJ52" s="28">
        <v>0.0</v>
      </c>
      <c r="AK52" s="28">
        <v>0.0</v>
      </c>
      <c r="AL52" s="28">
        <v>0.0</v>
      </c>
      <c r="AM52" s="28">
        <v>0.0</v>
      </c>
      <c r="AN52" s="4"/>
      <c r="AO52" s="4"/>
      <c r="AP52" s="4"/>
      <c r="AQ52" s="4"/>
      <c r="AR52" s="4"/>
      <c r="AS52" s="4"/>
      <c r="AT52" s="4"/>
      <c r="AU52" s="4"/>
      <c r="AV52" s="4"/>
      <c r="AW52" s="4"/>
      <c r="AX52" s="4"/>
      <c r="AY52" s="4"/>
      <c r="AZ52" s="4"/>
      <c r="BA52" s="4"/>
      <c r="BB52" s="4"/>
      <c r="BC52" s="4"/>
      <c r="BD52" s="4"/>
      <c r="BE52" s="4"/>
      <c r="BF52" s="4"/>
      <c r="BG52" s="4"/>
    </row>
    <row r="53" hidden="1">
      <c r="A53" s="23">
        <f t="shared" si="9"/>
        <v>16</v>
      </c>
      <c r="B53" s="24" t="s">
        <v>64</v>
      </c>
      <c r="C53" s="25" t="s">
        <v>54</v>
      </c>
      <c r="D53" s="26" t="s">
        <v>51</v>
      </c>
      <c r="E53" s="26">
        <v>12.0</v>
      </c>
      <c r="F53" s="26"/>
      <c r="G53" s="27"/>
      <c r="H53" s="26"/>
      <c r="I53" s="64">
        <v>0.0</v>
      </c>
      <c r="J53" s="64">
        <v>0.0</v>
      </c>
      <c r="K53" s="64">
        <v>0.0</v>
      </c>
      <c r="L53" s="64">
        <v>0.0</v>
      </c>
      <c r="M53" s="64">
        <v>0.0</v>
      </c>
      <c r="N53" s="64">
        <v>0.0</v>
      </c>
      <c r="O53" s="64">
        <v>0.0</v>
      </c>
      <c r="P53" s="64">
        <v>0.0</v>
      </c>
      <c r="Q53" s="64">
        <v>0.0</v>
      </c>
      <c r="R53" s="64">
        <v>0.0</v>
      </c>
      <c r="S53" s="64">
        <v>0.0</v>
      </c>
      <c r="T53" s="64">
        <v>0.0</v>
      </c>
      <c r="U53" s="64">
        <v>0.0</v>
      </c>
      <c r="V53" s="64">
        <v>0.0</v>
      </c>
      <c r="W53" s="64">
        <v>0.0</v>
      </c>
      <c r="X53" s="64">
        <v>0.0</v>
      </c>
      <c r="Y53" s="64">
        <v>0.0</v>
      </c>
      <c r="Z53" s="64">
        <v>0.0</v>
      </c>
      <c r="AA53" s="64">
        <v>0.0</v>
      </c>
      <c r="AB53" s="64">
        <v>0.0</v>
      </c>
      <c r="AC53" s="64">
        <v>0.0</v>
      </c>
      <c r="AD53" s="64">
        <v>0.0</v>
      </c>
      <c r="AE53" s="64">
        <v>0.0</v>
      </c>
      <c r="AF53" s="64">
        <v>0.0</v>
      </c>
      <c r="AG53" s="64">
        <v>0.0</v>
      </c>
      <c r="AH53" s="64">
        <v>0.0</v>
      </c>
      <c r="AI53" s="64">
        <v>0.0</v>
      </c>
      <c r="AJ53" s="64">
        <v>0.0</v>
      </c>
      <c r="AK53" s="64">
        <v>0.0</v>
      </c>
      <c r="AL53" s="64">
        <v>0.0</v>
      </c>
      <c r="AM53" s="64">
        <v>0.0</v>
      </c>
      <c r="AO53" s="4"/>
      <c r="AP53" s="4"/>
      <c r="AQ53" s="4"/>
      <c r="AR53" s="4"/>
      <c r="AS53" s="4"/>
      <c r="AT53" s="4"/>
      <c r="AU53" s="4"/>
      <c r="AV53" s="4"/>
      <c r="AW53" s="4"/>
      <c r="AX53" s="4"/>
      <c r="AY53" s="4"/>
      <c r="AZ53" s="4"/>
      <c r="BA53" s="4"/>
      <c r="BB53" s="4"/>
      <c r="BC53" s="4"/>
      <c r="BD53" s="4"/>
      <c r="BE53" s="4"/>
      <c r="BF53" s="4"/>
      <c r="BG53" s="4"/>
    </row>
    <row r="54" hidden="1">
      <c r="A54" s="23">
        <f t="shared" si="9"/>
        <v>17</v>
      </c>
      <c r="B54" s="24" t="s">
        <v>65</v>
      </c>
      <c r="C54" s="25" t="s">
        <v>54</v>
      </c>
      <c r="D54" s="26" t="s">
        <v>42</v>
      </c>
      <c r="E54" s="26">
        <v>12.0</v>
      </c>
      <c r="F54" s="26"/>
      <c r="G54" s="41"/>
      <c r="H54" s="27"/>
      <c r="I54" s="65">
        <v>0.0</v>
      </c>
      <c r="J54" s="65">
        <v>0.0</v>
      </c>
      <c r="K54" s="65">
        <v>0.0</v>
      </c>
      <c r="L54" s="65">
        <v>0.0</v>
      </c>
      <c r="M54" s="65">
        <v>0.0</v>
      </c>
      <c r="N54" s="65">
        <v>0.0</v>
      </c>
      <c r="O54" s="65">
        <v>0.0</v>
      </c>
      <c r="P54" s="65">
        <v>0.0</v>
      </c>
      <c r="Q54" s="65">
        <v>0.0</v>
      </c>
      <c r="R54" s="65">
        <v>0.0</v>
      </c>
      <c r="S54" s="65">
        <v>0.0</v>
      </c>
      <c r="T54" s="65">
        <v>0.0</v>
      </c>
      <c r="U54" s="65">
        <v>0.0</v>
      </c>
      <c r="V54" s="65">
        <v>0.0</v>
      </c>
      <c r="W54" s="65">
        <v>0.0</v>
      </c>
      <c r="X54" s="65">
        <v>0.0</v>
      </c>
      <c r="Y54" s="65">
        <v>0.0</v>
      </c>
      <c r="Z54" s="65">
        <v>0.0</v>
      </c>
      <c r="AA54" s="65">
        <v>0.0</v>
      </c>
      <c r="AB54" s="65">
        <v>0.0</v>
      </c>
      <c r="AC54" s="65">
        <v>0.0</v>
      </c>
      <c r="AD54" s="65">
        <v>0.0</v>
      </c>
      <c r="AE54" s="65">
        <v>0.0</v>
      </c>
      <c r="AF54" s="65">
        <v>0.0</v>
      </c>
      <c r="AG54" s="65">
        <v>0.0</v>
      </c>
      <c r="AH54" s="65">
        <v>0.0</v>
      </c>
      <c r="AI54" s="65">
        <v>0.0</v>
      </c>
      <c r="AJ54" s="65">
        <v>0.0</v>
      </c>
      <c r="AK54" s="65">
        <v>0.0</v>
      </c>
      <c r="AL54" s="65">
        <v>0.0</v>
      </c>
      <c r="AM54" s="65">
        <v>0.0</v>
      </c>
      <c r="AO54" s="4"/>
      <c r="AP54" s="4"/>
      <c r="AQ54" s="4"/>
      <c r="AR54" s="4"/>
      <c r="AS54" s="4"/>
      <c r="AT54" s="4"/>
      <c r="AU54" s="4"/>
      <c r="AV54" s="4"/>
      <c r="AW54" s="4"/>
      <c r="AX54" s="4"/>
      <c r="AY54" s="4"/>
      <c r="AZ54" s="4"/>
      <c r="BA54" s="4"/>
      <c r="BB54" s="4"/>
      <c r="BC54" s="4"/>
      <c r="BD54" s="4"/>
      <c r="BE54" s="4"/>
      <c r="BF54" s="4"/>
      <c r="BG54" s="4"/>
    </row>
    <row r="55" hidden="1">
      <c r="A55" s="23">
        <f t="shared" si="9"/>
        <v>18</v>
      </c>
      <c r="B55" s="24" t="s">
        <v>66</v>
      </c>
      <c r="C55" s="25" t="s">
        <v>54</v>
      </c>
      <c r="D55" s="26" t="s">
        <v>42</v>
      </c>
      <c r="E55" s="26">
        <v>8.0</v>
      </c>
      <c r="F55" s="26"/>
      <c r="G55" s="41"/>
      <c r="H55" s="27"/>
      <c r="I55" s="65">
        <v>0.0</v>
      </c>
      <c r="J55" s="65">
        <v>0.0</v>
      </c>
      <c r="K55" s="65">
        <v>0.0</v>
      </c>
      <c r="L55" s="65">
        <v>0.0</v>
      </c>
      <c r="M55" s="65">
        <v>0.0</v>
      </c>
      <c r="N55" s="65">
        <v>0.0</v>
      </c>
      <c r="O55" s="65">
        <v>0.0</v>
      </c>
      <c r="P55" s="65">
        <v>0.0</v>
      </c>
      <c r="Q55" s="65">
        <v>0.0</v>
      </c>
      <c r="R55" s="65">
        <v>0.0</v>
      </c>
      <c r="S55" s="65">
        <v>0.0</v>
      </c>
      <c r="T55" s="65">
        <v>0.0</v>
      </c>
      <c r="U55" s="65">
        <v>0.0</v>
      </c>
      <c r="V55" s="65">
        <v>0.0</v>
      </c>
      <c r="W55" s="65">
        <v>0.0</v>
      </c>
      <c r="X55" s="65">
        <v>0.0</v>
      </c>
      <c r="Y55" s="65">
        <v>0.0</v>
      </c>
      <c r="Z55" s="65">
        <v>0.0</v>
      </c>
      <c r="AA55" s="65">
        <v>0.0</v>
      </c>
      <c r="AB55" s="65">
        <v>0.0</v>
      </c>
      <c r="AC55" s="65">
        <v>0.0</v>
      </c>
      <c r="AD55" s="65">
        <v>0.0</v>
      </c>
      <c r="AE55" s="65">
        <v>0.0</v>
      </c>
      <c r="AF55" s="65">
        <v>0.0</v>
      </c>
      <c r="AG55" s="65">
        <v>0.0</v>
      </c>
      <c r="AH55" s="65">
        <v>0.0</v>
      </c>
      <c r="AI55" s="65">
        <v>0.0</v>
      </c>
      <c r="AJ55" s="65">
        <v>0.0</v>
      </c>
      <c r="AK55" s="65">
        <v>0.0</v>
      </c>
      <c r="AL55" s="65">
        <v>0.0</v>
      </c>
      <c r="AM55" s="65">
        <v>0.0</v>
      </c>
      <c r="AN55" s="4"/>
      <c r="AO55" s="4"/>
      <c r="AP55" s="4"/>
      <c r="AQ55" s="4"/>
      <c r="AR55" s="4"/>
      <c r="AS55" s="4"/>
      <c r="AT55" s="4"/>
      <c r="AU55" s="4"/>
      <c r="AV55" s="4"/>
      <c r="AW55" s="4"/>
      <c r="AX55" s="4"/>
      <c r="AY55" s="4"/>
      <c r="AZ55" s="4"/>
      <c r="BA55" s="4"/>
      <c r="BB55" s="4"/>
      <c r="BC55" s="4"/>
      <c r="BD55" s="4"/>
      <c r="BE55" s="4"/>
      <c r="BF55" s="4"/>
      <c r="BG55" s="4"/>
    </row>
    <row r="56" ht="15.75" hidden="1" customHeight="1">
      <c r="A56" s="23">
        <f t="shared" si="9"/>
        <v>19</v>
      </c>
      <c r="B56" s="24" t="s">
        <v>67</v>
      </c>
      <c r="C56" s="25" t="s">
        <v>54</v>
      </c>
      <c r="D56" s="26" t="s">
        <v>51</v>
      </c>
      <c r="E56" s="26">
        <v>8.0</v>
      </c>
      <c r="F56" s="26"/>
      <c r="G56" s="42"/>
      <c r="H56" s="42"/>
      <c r="I56" s="28">
        <v>0.0</v>
      </c>
      <c r="J56" s="28">
        <v>0.0</v>
      </c>
      <c r="K56" s="28">
        <v>0.0</v>
      </c>
      <c r="L56" s="28">
        <v>0.0</v>
      </c>
      <c r="M56" s="28">
        <v>0.0</v>
      </c>
      <c r="N56" s="28">
        <v>0.0</v>
      </c>
      <c r="O56" s="28">
        <v>0.0</v>
      </c>
      <c r="P56" s="28">
        <v>0.0</v>
      </c>
      <c r="Q56" s="28">
        <v>0.0</v>
      </c>
      <c r="R56" s="28">
        <v>0.0</v>
      </c>
      <c r="S56" s="28">
        <v>0.0</v>
      </c>
      <c r="T56" s="28">
        <v>0.0</v>
      </c>
      <c r="U56" s="28">
        <v>0.0</v>
      </c>
      <c r="V56" s="28">
        <v>0.0</v>
      </c>
      <c r="W56" s="28">
        <v>0.0</v>
      </c>
      <c r="X56" s="28">
        <v>0.0</v>
      </c>
      <c r="Y56" s="28">
        <v>0.0</v>
      </c>
      <c r="Z56" s="28">
        <v>0.0</v>
      </c>
      <c r="AA56" s="28">
        <v>0.0</v>
      </c>
      <c r="AB56" s="28">
        <v>0.0</v>
      </c>
      <c r="AC56" s="28">
        <v>0.0</v>
      </c>
      <c r="AD56" s="28">
        <v>0.0</v>
      </c>
      <c r="AE56" s="28">
        <v>0.0</v>
      </c>
      <c r="AF56" s="28">
        <v>0.0</v>
      </c>
      <c r="AG56" s="28">
        <v>0.0</v>
      </c>
      <c r="AH56" s="28">
        <v>0.0</v>
      </c>
      <c r="AI56" s="28">
        <v>0.0</v>
      </c>
      <c r="AJ56" s="28">
        <v>0.0</v>
      </c>
      <c r="AK56" s="28">
        <v>0.0</v>
      </c>
      <c r="AL56" s="28">
        <v>0.0</v>
      </c>
      <c r="AM56" s="28">
        <v>0.0</v>
      </c>
      <c r="AO56" s="4"/>
      <c r="AP56" s="4"/>
      <c r="AQ56" s="4"/>
      <c r="AR56" s="4"/>
      <c r="AS56" s="4"/>
      <c r="AT56" s="4"/>
      <c r="AU56" s="4"/>
      <c r="AV56" s="4"/>
      <c r="AW56" s="4"/>
      <c r="AX56" s="4"/>
      <c r="AY56" s="4"/>
      <c r="AZ56" s="4"/>
      <c r="BA56" s="4"/>
      <c r="BB56" s="4"/>
      <c r="BC56" s="4"/>
      <c r="BD56" s="4"/>
      <c r="BE56" s="4"/>
      <c r="BF56" s="4"/>
      <c r="BG56" s="4"/>
    </row>
    <row r="57" ht="15.75" hidden="1" customHeight="1">
      <c r="A57" s="23">
        <f t="shared" si="9"/>
        <v>20</v>
      </c>
      <c r="B57" s="24" t="s">
        <v>68</v>
      </c>
      <c r="C57" s="25" t="s">
        <v>54</v>
      </c>
      <c r="D57" s="26" t="s">
        <v>51</v>
      </c>
      <c r="E57" s="26">
        <v>16.0</v>
      </c>
      <c r="F57" s="26"/>
      <c r="G57" s="41"/>
      <c r="H57" s="26"/>
      <c r="I57" s="28">
        <v>0.0</v>
      </c>
      <c r="J57" s="28">
        <v>0.0</v>
      </c>
      <c r="K57" s="28">
        <v>0.0</v>
      </c>
      <c r="L57" s="28">
        <v>0.0</v>
      </c>
      <c r="M57" s="28">
        <v>0.0</v>
      </c>
      <c r="N57" s="28">
        <v>0.0</v>
      </c>
      <c r="O57" s="28">
        <v>0.0</v>
      </c>
      <c r="P57" s="28">
        <v>0.0</v>
      </c>
      <c r="Q57" s="28">
        <v>0.0</v>
      </c>
      <c r="R57" s="28">
        <v>0.0</v>
      </c>
      <c r="S57" s="28">
        <v>0.0</v>
      </c>
      <c r="T57" s="28">
        <v>0.0</v>
      </c>
      <c r="U57" s="28">
        <v>0.0</v>
      </c>
      <c r="V57" s="28">
        <v>0.0</v>
      </c>
      <c r="W57" s="28">
        <v>0.0</v>
      </c>
      <c r="X57" s="28">
        <v>0.0</v>
      </c>
      <c r="Y57" s="28">
        <v>0.0</v>
      </c>
      <c r="Z57" s="28">
        <v>0.0</v>
      </c>
      <c r="AA57" s="28">
        <v>0.0</v>
      </c>
      <c r="AB57" s="28">
        <v>0.0</v>
      </c>
      <c r="AC57" s="28">
        <v>0.0</v>
      </c>
      <c r="AD57" s="28">
        <v>0.0</v>
      </c>
      <c r="AE57" s="28">
        <v>0.0</v>
      </c>
      <c r="AF57" s="28">
        <v>0.0</v>
      </c>
      <c r="AG57" s="28">
        <v>0.0</v>
      </c>
      <c r="AH57" s="28">
        <v>0.0</v>
      </c>
      <c r="AI57" s="28">
        <v>0.0</v>
      </c>
      <c r="AJ57" s="28">
        <v>0.0</v>
      </c>
      <c r="AK57" s="28">
        <v>0.0</v>
      </c>
      <c r="AL57" s="28">
        <v>0.0</v>
      </c>
      <c r="AM57" s="28">
        <v>0.0</v>
      </c>
      <c r="AO57" s="4"/>
      <c r="AP57" s="4"/>
      <c r="AQ57" s="4"/>
      <c r="AR57" s="4"/>
      <c r="AS57" s="4"/>
      <c r="AT57" s="4"/>
      <c r="AU57" s="4"/>
      <c r="AV57" s="4"/>
      <c r="AW57" s="4"/>
      <c r="AX57" s="4"/>
      <c r="AY57" s="4"/>
      <c r="AZ57" s="4"/>
      <c r="BA57" s="4"/>
      <c r="BB57" s="4"/>
      <c r="BC57" s="4"/>
      <c r="BD57" s="4"/>
      <c r="BE57" s="4"/>
      <c r="BF57" s="4"/>
      <c r="BG57" s="4"/>
    </row>
    <row r="58" ht="15.75" hidden="1" customHeight="1">
      <c r="A58" s="23">
        <f t="shared" si="9"/>
        <v>21</v>
      </c>
      <c r="B58" s="24" t="s">
        <v>69</v>
      </c>
      <c r="C58" s="25" t="s">
        <v>54</v>
      </c>
      <c r="D58" s="26" t="s">
        <v>51</v>
      </c>
      <c r="E58" s="26">
        <v>16.0</v>
      </c>
      <c r="F58" s="26"/>
      <c r="G58" s="41"/>
      <c r="H58" s="26"/>
      <c r="I58" s="28">
        <v>0.0</v>
      </c>
      <c r="J58" s="28">
        <v>0.0</v>
      </c>
      <c r="K58" s="28">
        <v>0.0</v>
      </c>
      <c r="L58" s="28">
        <v>0.0</v>
      </c>
      <c r="M58" s="28">
        <v>0.0</v>
      </c>
      <c r="N58" s="28">
        <v>0.0</v>
      </c>
      <c r="O58" s="28">
        <v>0.0</v>
      </c>
      <c r="P58" s="28">
        <v>0.0</v>
      </c>
      <c r="Q58" s="28">
        <v>0.0</v>
      </c>
      <c r="R58" s="28">
        <v>0.0</v>
      </c>
      <c r="S58" s="28">
        <v>0.0</v>
      </c>
      <c r="T58" s="28">
        <v>0.0</v>
      </c>
      <c r="U58" s="28">
        <v>0.0</v>
      </c>
      <c r="V58" s="28">
        <v>0.0</v>
      </c>
      <c r="W58" s="28">
        <v>0.0</v>
      </c>
      <c r="X58" s="28">
        <v>0.0</v>
      </c>
      <c r="Y58" s="28">
        <v>0.0</v>
      </c>
      <c r="Z58" s="28">
        <v>0.0</v>
      </c>
      <c r="AA58" s="28">
        <v>0.0</v>
      </c>
      <c r="AB58" s="28">
        <v>0.0</v>
      </c>
      <c r="AC58" s="28">
        <v>0.0</v>
      </c>
      <c r="AD58" s="28">
        <v>0.0</v>
      </c>
      <c r="AE58" s="28">
        <v>0.0</v>
      </c>
      <c r="AF58" s="28">
        <v>0.0</v>
      </c>
      <c r="AG58" s="28">
        <v>0.0</v>
      </c>
      <c r="AH58" s="28">
        <v>0.0</v>
      </c>
      <c r="AI58" s="28">
        <v>0.0</v>
      </c>
      <c r="AJ58" s="28">
        <v>0.0</v>
      </c>
      <c r="AK58" s="28">
        <v>0.0</v>
      </c>
      <c r="AL58" s="28">
        <v>0.0</v>
      </c>
      <c r="AM58" s="28">
        <v>0.0</v>
      </c>
      <c r="AN58" s="4"/>
      <c r="AO58" s="4"/>
      <c r="AP58" s="4"/>
      <c r="AQ58" s="4"/>
      <c r="AR58" s="4"/>
      <c r="AS58" s="4"/>
      <c r="AT58" s="4"/>
      <c r="AU58" s="4"/>
      <c r="AV58" s="4"/>
      <c r="AW58" s="4"/>
      <c r="AX58" s="4"/>
      <c r="AY58" s="4"/>
      <c r="AZ58" s="4"/>
      <c r="BA58" s="4"/>
      <c r="BB58" s="4"/>
      <c r="BC58" s="4"/>
      <c r="BD58" s="4"/>
      <c r="BE58" s="4"/>
      <c r="BF58" s="4"/>
      <c r="BG58" s="4"/>
    </row>
    <row r="59" hidden="1">
      <c r="A59" s="23">
        <f t="shared" si="9"/>
        <v>22</v>
      </c>
      <c r="B59" s="24" t="s">
        <v>59</v>
      </c>
      <c r="C59" s="25" t="s">
        <v>54</v>
      </c>
      <c r="D59" s="26" t="s">
        <v>51</v>
      </c>
      <c r="E59" s="26">
        <v>16.0</v>
      </c>
      <c r="F59" s="26"/>
      <c r="G59" s="27"/>
      <c r="H59" s="63"/>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4"/>
      <c r="AO59" s="4"/>
      <c r="AP59" s="4"/>
      <c r="AQ59" s="4"/>
      <c r="AR59" s="4"/>
      <c r="AS59" s="4"/>
      <c r="AT59" s="4"/>
      <c r="AU59" s="4"/>
      <c r="AV59" s="4"/>
      <c r="AW59" s="4"/>
      <c r="AX59" s="4"/>
      <c r="AY59" s="4"/>
      <c r="AZ59" s="4"/>
      <c r="BA59" s="4"/>
      <c r="BB59" s="4"/>
      <c r="BC59" s="4"/>
      <c r="BD59" s="4"/>
      <c r="BE59" s="4"/>
      <c r="BF59" s="4"/>
      <c r="BG59" s="4"/>
    </row>
    <row r="60" hidden="1">
      <c r="A60" s="23">
        <f t="shared" ref="A60:A62" si="10">+A59+1</f>
        <v>23</v>
      </c>
      <c r="B60" s="24" t="s">
        <v>59</v>
      </c>
      <c r="C60" s="25" t="s">
        <v>54</v>
      </c>
      <c r="D60" s="26" t="s">
        <v>42</v>
      </c>
      <c r="E60" s="26">
        <v>16.0</v>
      </c>
      <c r="F60" s="26"/>
      <c r="G60" s="27"/>
      <c r="H60" s="63"/>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4"/>
      <c r="AO60" s="4"/>
      <c r="AP60" s="4"/>
      <c r="AQ60" s="4"/>
      <c r="AR60" s="4"/>
      <c r="AS60" s="4"/>
      <c r="AT60" s="4"/>
      <c r="AU60" s="4"/>
      <c r="AV60" s="4"/>
      <c r="AW60" s="4"/>
      <c r="AX60" s="4"/>
      <c r="AY60" s="4"/>
      <c r="AZ60" s="4"/>
      <c r="BA60" s="4"/>
      <c r="BB60" s="4"/>
      <c r="BC60" s="4"/>
      <c r="BD60" s="4"/>
      <c r="BE60" s="4"/>
      <c r="BF60" s="4"/>
      <c r="BG60" s="4"/>
    </row>
    <row r="61" hidden="1">
      <c r="A61" s="23">
        <f t="shared" si="10"/>
        <v>24</v>
      </c>
      <c r="B61" s="24" t="s">
        <v>59</v>
      </c>
      <c r="C61" s="25" t="s">
        <v>54</v>
      </c>
      <c r="D61" s="26" t="s">
        <v>55</v>
      </c>
      <c r="E61" s="26">
        <v>16.0</v>
      </c>
      <c r="F61" s="26"/>
      <c r="G61" s="27"/>
      <c r="H61" s="63"/>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4"/>
      <c r="AO61" s="4"/>
      <c r="AP61" s="4"/>
      <c r="AQ61" s="4"/>
      <c r="AR61" s="4"/>
      <c r="AS61" s="4"/>
      <c r="AT61" s="4"/>
      <c r="AU61" s="4"/>
      <c r="AV61" s="4"/>
      <c r="AW61" s="4"/>
      <c r="AX61" s="4"/>
      <c r="AY61" s="4"/>
      <c r="AZ61" s="4"/>
      <c r="BA61" s="4"/>
      <c r="BB61" s="4"/>
      <c r="BC61" s="4"/>
      <c r="BD61" s="4"/>
      <c r="BE61" s="4"/>
      <c r="BF61" s="4"/>
      <c r="BG61" s="4"/>
    </row>
    <row r="62" hidden="1">
      <c r="A62" s="23">
        <f t="shared" si="10"/>
        <v>25</v>
      </c>
      <c r="B62" s="24" t="s">
        <v>70</v>
      </c>
      <c r="C62" s="25" t="s">
        <v>54</v>
      </c>
      <c r="D62" s="26" t="s">
        <v>17</v>
      </c>
      <c r="E62" s="26">
        <v>8.0</v>
      </c>
      <c r="F62" s="26"/>
      <c r="G62" s="27"/>
      <c r="H62" s="63"/>
      <c r="I62" s="28">
        <v>0.0</v>
      </c>
      <c r="J62" s="28">
        <v>0.0</v>
      </c>
      <c r="K62" s="28">
        <v>0.0</v>
      </c>
      <c r="L62" s="28">
        <v>0.0</v>
      </c>
      <c r="M62" s="28">
        <v>0.0</v>
      </c>
      <c r="N62" s="28">
        <v>0.0</v>
      </c>
      <c r="O62" s="28">
        <v>0.0</v>
      </c>
      <c r="P62" s="28">
        <v>0.0</v>
      </c>
      <c r="Q62" s="28">
        <v>0.0</v>
      </c>
      <c r="R62" s="28">
        <v>0.0</v>
      </c>
      <c r="S62" s="28">
        <v>0.0</v>
      </c>
      <c r="T62" s="28">
        <v>0.0</v>
      </c>
      <c r="U62" s="28">
        <v>0.0</v>
      </c>
      <c r="V62" s="28">
        <v>0.0</v>
      </c>
      <c r="W62" s="28">
        <v>0.0</v>
      </c>
      <c r="X62" s="28">
        <v>0.0</v>
      </c>
      <c r="Y62" s="28">
        <v>0.0</v>
      </c>
      <c r="Z62" s="28">
        <v>0.0</v>
      </c>
      <c r="AA62" s="28">
        <v>0.0</v>
      </c>
      <c r="AB62" s="28">
        <v>0.0</v>
      </c>
      <c r="AC62" s="28">
        <v>0.0</v>
      </c>
      <c r="AD62" s="28">
        <v>0.0</v>
      </c>
      <c r="AE62" s="28">
        <v>0.0</v>
      </c>
      <c r="AF62" s="28">
        <v>0.0</v>
      </c>
      <c r="AG62" s="28">
        <v>0.0</v>
      </c>
      <c r="AH62" s="28">
        <v>0.0</v>
      </c>
      <c r="AI62" s="28">
        <v>0.0</v>
      </c>
      <c r="AJ62" s="28">
        <v>0.0</v>
      </c>
      <c r="AK62" s="28">
        <v>0.0</v>
      </c>
      <c r="AL62" s="28">
        <v>0.0</v>
      </c>
      <c r="AM62" s="28">
        <v>0.0</v>
      </c>
      <c r="AN62" s="4"/>
      <c r="AO62" s="4"/>
      <c r="AP62" s="4"/>
      <c r="AQ62" s="4"/>
      <c r="AR62" s="4"/>
      <c r="AS62" s="4"/>
      <c r="AT62" s="4"/>
      <c r="AU62" s="4"/>
      <c r="AV62" s="4"/>
      <c r="AW62" s="4"/>
      <c r="AX62" s="4"/>
      <c r="AY62" s="4"/>
      <c r="AZ62" s="4"/>
      <c r="BA62" s="4"/>
      <c r="BB62" s="4"/>
      <c r="BC62" s="4"/>
      <c r="BD62" s="4"/>
      <c r="BE62" s="4"/>
      <c r="BF62" s="4"/>
      <c r="BG62" s="4"/>
    </row>
    <row r="63" ht="15.75" hidden="1" customHeight="1">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O63" s="4"/>
      <c r="AP63" s="4"/>
      <c r="AQ63" s="4"/>
      <c r="AR63" s="4"/>
      <c r="AS63" s="4"/>
      <c r="AT63" s="4"/>
      <c r="AU63" s="4"/>
      <c r="AV63" s="4"/>
      <c r="AW63" s="4"/>
      <c r="AX63" s="4"/>
      <c r="AY63" s="4"/>
      <c r="AZ63" s="4"/>
      <c r="BA63" s="4"/>
      <c r="BB63" s="4"/>
      <c r="BC63" s="4"/>
      <c r="BD63" s="4"/>
      <c r="BE63" s="4"/>
      <c r="BF63" s="4"/>
      <c r="BG63" s="4"/>
    </row>
    <row r="64" ht="15.75" hidden="1" customHeight="1">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O64" s="4"/>
      <c r="AP64" s="4"/>
      <c r="AQ64" s="4"/>
      <c r="AR64" s="4"/>
      <c r="AS64" s="4"/>
      <c r="AT64" s="4"/>
      <c r="AU64" s="4"/>
      <c r="AV64" s="4"/>
      <c r="AW64" s="4"/>
      <c r="AX64" s="4"/>
      <c r="AY64" s="4"/>
      <c r="AZ64" s="4"/>
      <c r="BA64" s="4"/>
      <c r="BB64" s="4"/>
      <c r="BC64" s="4"/>
      <c r="BD64" s="4"/>
      <c r="BE64" s="4"/>
      <c r="BF64" s="4"/>
      <c r="BG64" s="4"/>
    </row>
    <row r="65" ht="15.75" hidden="1" customHeight="1">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O65" s="4"/>
      <c r="AP65" s="4"/>
      <c r="AQ65" s="4"/>
      <c r="AR65" s="4"/>
      <c r="AS65" s="4"/>
      <c r="AT65" s="4"/>
      <c r="AU65" s="4"/>
      <c r="AV65" s="4"/>
      <c r="AW65" s="4"/>
      <c r="AX65" s="4"/>
      <c r="AY65" s="4"/>
      <c r="AZ65" s="4"/>
      <c r="BA65" s="4"/>
      <c r="BB65" s="4"/>
      <c r="BC65" s="4"/>
      <c r="BD65" s="4"/>
      <c r="BE65" s="4"/>
      <c r="BF65" s="4"/>
      <c r="BG65" s="4"/>
    </row>
    <row r="66" ht="15.75" customHeight="1">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O66" s="4"/>
      <c r="AP66" s="4"/>
      <c r="AQ66" s="4"/>
      <c r="AR66" s="4"/>
      <c r="AS66" s="4"/>
      <c r="AT66" s="4"/>
      <c r="AU66" s="4"/>
      <c r="AV66" s="4"/>
      <c r="AW66" s="4"/>
      <c r="AX66" s="4"/>
      <c r="AY66" s="4"/>
      <c r="AZ66" s="4"/>
      <c r="BA66" s="4"/>
      <c r="BB66" s="4"/>
      <c r="BC66" s="4"/>
      <c r="BD66" s="4"/>
      <c r="BE66" s="4"/>
      <c r="BF66" s="4"/>
      <c r="BG66" s="4"/>
    </row>
    <row r="67" ht="15.75" customHeight="1">
      <c r="A67" s="53" t="s">
        <v>71</v>
      </c>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row>
    <row r="68" ht="15.75" customHeight="1">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O68" s="4"/>
      <c r="AP68" s="4"/>
      <c r="AQ68" s="4"/>
      <c r="AR68" s="4"/>
      <c r="AS68" s="4"/>
      <c r="AT68" s="4"/>
      <c r="AU68" s="4"/>
      <c r="AV68" s="4"/>
      <c r="AW68" s="4"/>
      <c r="AX68" s="4"/>
      <c r="AY68" s="4"/>
      <c r="AZ68" s="4"/>
      <c r="BA68" s="4"/>
      <c r="BB68" s="4"/>
      <c r="BC68" s="4"/>
      <c r="BD68" s="4"/>
      <c r="BE68" s="4"/>
      <c r="BF68" s="4"/>
      <c r="BG68" s="4"/>
    </row>
    <row r="69" ht="15.75" customHeight="1">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O69" s="4"/>
      <c r="AP69" s="4"/>
      <c r="AQ69" s="4"/>
      <c r="AR69" s="4"/>
      <c r="AS69" s="4"/>
      <c r="AT69" s="4"/>
      <c r="AU69" s="4"/>
      <c r="AV69" s="4"/>
      <c r="AW69" s="4"/>
      <c r="AX69" s="4"/>
      <c r="AY69" s="4"/>
      <c r="AZ69" s="4"/>
      <c r="BA69" s="4"/>
      <c r="BB69" s="4"/>
      <c r="BC69" s="4"/>
      <c r="BD69" s="4"/>
      <c r="BE69" s="4"/>
      <c r="BF69" s="4"/>
      <c r="BG69" s="4"/>
    </row>
    <row r="70" ht="15.75" customHeight="1">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O70" s="4"/>
      <c r="AP70" s="4"/>
      <c r="AQ70" s="4"/>
      <c r="AR70" s="4"/>
      <c r="AS70" s="4"/>
      <c r="AT70" s="4"/>
      <c r="AU70" s="4"/>
      <c r="AV70" s="4"/>
      <c r="AW70" s="4"/>
      <c r="AX70" s="4"/>
      <c r="AY70" s="4"/>
      <c r="AZ70" s="4"/>
      <c r="BA70" s="4"/>
      <c r="BB70" s="4"/>
      <c r="BC70" s="4"/>
      <c r="BD70" s="4"/>
      <c r="BE70" s="4"/>
      <c r="BF70" s="4"/>
      <c r="BG70" s="4"/>
    </row>
    <row r="71" ht="15.75" customHeight="1">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O71" s="4"/>
      <c r="AP71" s="4"/>
      <c r="AQ71" s="4"/>
      <c r="AR71" s="4"/>
      <c r="AS71" s="4"/>
      <c r="AT71" s="4"/>
      <c r="AU71" s="4"/>
      <c r="AV71" s="4"/>
      <c r="AW71" s="4"/>
      <c r="AX71" s="4"/>
      <c r="AY71" s="4"/>
      <c r="AZ71" s="4"/>
      <c r="BA71" s="4"/>
      <c r="BB71" s="4"/>
      <c r="BC71" s="4"/>
      <c r="BD71" s="4"/>
      <c r="BE71" s="4"/>
      <c r="BF71" s="4"/>
      <c r="BG71" s="4"/>
    </row>
    <row r="72" ht="15.75" customHeight="1">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O72" s="4"/>
      <c r="AP72" s="4"/>
      <c r="AQ72" s="4"/>
      <c r="AR72" s="4"/>
      <c r="AS72" s="4"/>
      <c r="AT72" s="4"/>
      <c r="AU72" s="4"/>
      <c r="AV72" s="4"/>
      <c r="AW72" s="4"/>
      <c r="AX72" s="4"/>
      <c r="AY72" s="4"/>
      <c r="AZ72" s="4"/>
      <c r="BA72" s="4"/>
      <c r="BB72" s="4"/>
      <c r="BC72" s="4"/>
      <c r="BD72" s="4"/>
      <c r="BE72" s="4"/>
      <c r="BF72" s="4"/>
      <c r="BG72" s="4"/>
    </row>
    <row r="73" ht="15.75" customHeight="1">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O73" s="4"/>
      <c r="AP73" s="4"/>
      <c r="AQ73" s="4"/>
      <c r="AR73" s="4"/>
      <c r="AS73" s="4"/>
      <c r="AT73" s="4"/>
      <c r="AU73" s="4"/>
      <c r="AV73" s="4"/>
      <c r="AW73" s="4"/>
      <c r="AX73" s="4"/>
      <c r="AY73" s="4"/>
      <c r="AZ73" s="4"/>
      <c r="BA73" s="4"/>
      <c r="BB73" s="4"/>
      <c r="BC73" s="4"/>
      <c r="BD73" s="4"/>
      <c r="BE73" s="4"/>
      <c r="BF73" s="4"/>
      <c r="BG73" s="4"/>
    </row>
    <row r="74" ht="15.75" customHeight="1">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O74" s="4"/>
      <c r="AP74" s="4"/>
      <c r="AQ74" s="4"/>
      <c r="AR74" s="4"/>
      <c r="AS74" s="4"/>
      <c r="AT74" s="4"/>
      <c r="AU74" s="4"/>
      <c r="AV74" s="4"/>
      <c r="AW74" s="4"/>
      <c r="AX74" s="4"/>
      <c r="AY74" s="4"/>
      <c r="AZ74" s="4"/>
      <c r="BA74" s="4"/>
      <c r="BB74" s="4"/>
      <c r="BC74" s="4"/>
      <c r="BD74" s="4"/>
      <c r="BE74" s="4"/>
      <c r="BF74" s="4"/>
      <c r="BG74" s="4"/>
    </row>
    <row r="75" ht="15.75" customHeight="1">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O75" s="4"/>
      <c r="AP75" s="4"/>
      <c r="AQ75" s="4"/>
      <c r="AR75" s="4"/>
      <c r="AS75" s="4"/>
      <c r="AT75" s="4"/>
      <c r="AU75" s="4"/>
      <c r="AV75" s="4"/>
      <c r="AW75" s="4"/>
      <c r="AX75" s="4"/>
      <c r="AY75" s="4"/>
      <c r="AZ75" s="4"/>
      <c r="BA75" s="4"/>
      <c r="BB75" s="4"/>
      <c r="BC75" s="4"/>
      <c r="BD75" s="4"/>
      <c r="BE75" s="4"/>
      <c r="BF75" s="4"/>
      <c r="BG75" s="4"/>
    </row>
    <row r="76" ht="15.75" customHeight="1">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O76" s="4"/>
      <c r="AP76" s="4"/>
      <c r="AQ76" s="4"/>
      <c r="AR76" s="4"/>
      <c r="AS76" s="4"/>
      <c r="AT76" s="4"/>
      <c r="AU76" s="4"/>
      <c r="AV76" s="4"/>
      <c r="AW76" s="4"/>
      <c r="AX76" s="4"/>
      <c r="AY76" s="4"/>
      <c r="AZ76" s="4"/>
      <c r="BA76" s="4"/>
      <c r="BB76" s="4"/>
      <c r="BC76" s="4"/>
      <c r="BD76" s="4"/>
      <c r="BE76" s="4"/>
      <c r="BF76" s="4"/>
      <c r="BG76" s="4"/>
    </row>
    <row r="77" ht="15.75" customHeight="1">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O77" s="4"/>
      <c r="AP77" s="4"/>
      <c r="AQ77" s="4"/>
      <c r="AR77" s="4"/>
      <c r="AS77" s="4"/>
      <c r="AT77" s="4"/>
      <c r="AU77" s="4"/>
      <c r="AV77" s="4"/>
      <c r="AW77" s="4"/>
      <c r="AX77" s="4"/>
      <c r="AY77" s="4"/>
      <c r="AZ77" s="4"/>
      <c r="BA77" s="4"/>
      <c r="BB77" s="4"/>
      <c r="BC77" s="4"/>
      <c r="BD77" s="4"/>
      <c r="BE77" s="4"/>
      <c r="BF77" s="4"/>
      <c r="BG77" s="4"/>
    </row>
    <row r="78" ht="15.75" customHeight="1">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O78" s="4"/>
      <c r="AP78" s="4"/>
      <c r="AQ78" s="4"/>
      <c r="AR78" s="4"/>
      <c r="AS78" s="4"/>
      <c r="AT78" s="4"/>
      <c r="AU78" s="4"/>
      <c r="AV78" s="4"/>
      <c r="AW78" s="4"/>
      <c r="AX78" s="4"/>
      <c r="AY78" s="4"/>
      <c r="AZ78" s="4"/>
      <c r="BA78" s="4"/>
      <c r="BB78" s="4"/>
      <c r="BC78" s="4"/>
      <c r="BD78" s="4"/>
      <c r="BE78" s="4"/>
      <c r="BF78" s="4"/>
      <c r="BG78" s="4"/>
    </row>
    <row r="79" ht="15.75" customHeight="1">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O79" s="4"/>
      <c r="AP79" s="4"/>
      <c r="AQ79" s="4"/>
      <c r="AR79" s="4"/>
      <c r="AS79" s="4"/>
      <c r="AT79" s="4"/>
      <c r="AU79" s="4"/>
      <c r="AV79" s="4"/>
      <c r="AW79" s="4"/>
      <c r="AX79" s="4"/>
      <c r="AY79" s="4"/>
      <c r="AZ79" s="4"/>
      <c r="BA79" s="4"/>
      <c r="BB79" s="4"/>
      <c r="BC79" s="4"/>
      <c r="BD79" s="4"/>
      <c r="BE79" s="4"/>
      <c r="BF79" s="4"/>
      <c r="BG79" s="4"/>
    </row>
    <row r="80" ht="15.75" customHeight="1">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O80" s="4"/>
      <c r="AP80" s="4"/>
      <c r="AQ80" s="4"/>
      <c r="AR80" s="4"/>
      <c r="AS80" s="4"/>
      <c r="AT80" s="4"/>
      <c r="AU80" s="4"/>
      <c r="AV80" s="4"/>
      <c r="AW80" s="4"/>
      <c r="AX80" s="4"/>
      <c r="AY80" s="4"/>
      <c r="AZ80" s="4"/>
      <c r="BA80" s="4"/>
      <c r="BB80" s="4"/>
      <c r="BC80" s="4"/>
      <c r="BD80" s="4"/>
      <c r="BE80" s="4"/>
      <c r="BF80" s="4"/>
      <c r="BG80" s="4"/>
    </row>
    <row r="81" ht="15.75" customHeight="1">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O81" s="4"/>
      <c r="AP81" s="4"/>
      <c r="AQ81" s="4"/>
      <c r="AR81" s="4"/>
      <c r="AS81" s="4"/>
      <c r="AT81" s="4"/>
      <c r="AU81" s="4"/>
      <c r="AV81" s="4"/>
      <c r="AW81" s="4"/>
      <c r="AX81" s="4"/>
      <c r="AY81" s="4"/>
      <c r="AZ81" s="4"/>
      <c r="BA81" s="4"/>
      <c r="BB81" s="4"/>
      <c r="BC81" s="4"/>
      <c r="BD81" s="4"/>
      <c r="BE81" s="4"/>
      <c r="BF81" s="4"/>
      <c r="BG81" s="4"/>
    </row>
    <row r="82" ht="15.75" customHeight="1">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O82" s="4"/>
      <c r="AP82" s="4"/>
      <c r="AQ82" s="4"/>
      <c r="AR82" s="4"/>
      <c r="AS82" s="4"/>
      <c r="AT82" s="4"/>
      <c r="AU82" s="4"/>
      <c r="AV82" s="4"/>
      <c r="AW82" s="4"/>
      <c r="AX82" s="4"/>
      <c r="AY82" s="4"/>
      <c r="AZ82" s="4"/>
      <c r="BA82" s="4"/>
      <c r="BB82" s="4"/>
      <c r="BC82" s="4"/>
      <c r="BD82" s="4"/>
      <c r="BE82" s="4"/>
      <c r="BF82" s="4"/>
      <c r="BG82" s="4"/>
    </row>
    <row r="83" ht="15.75" customHeight="1">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O83" s="4"/>
      <c r="AP83" s="4"/>
      <c r="AQ83" s="4"/>
      <c r="AR83" s="4"/>
      <c r="AS83" s="4"/>
      <c r="AT83" s="4"/>
      <c r="AU83" s="4"/>
      <c r="AV83" s="4"/>
      <c r="AW83" s="4"/>
      <c r="AX83" s="4"/>
      <c r="AY83" s="4"/>
      <c r="AZ83" s="4"/>
      <c r="BA83" s="4"/>
      <c r="BB83" s="4"/>
      <c r="BC83" s="4"/>
      <c r="BD83" s="4"/>
      <c r="BE83" s="4"/>
      <c r="BF83" s="4"/>
      <c r="BG83" s="4"/>
    </row>
    <row r="84" ht="15.75" customHeight="1">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O84" s="4"/>
      <c r="AP84" s="4"/>
      <c r="AQ84" s="4"/>
      <c r="AR84" s="4"/>
      <c r="AS84" s="4"/>
      <c r="AT84" s="4"/>
      <c r="AU84" s="4"/>
      <c r="AV84" s="4"/>
      <c r="AW84" s="4"/>
      <c r="AX84" s="4"/>
      <c r="AY84" s="4"/>
      <c r="AZ84" s="4"/>
      <c r="BA84" s="4"/>
      <c r="BB84" s="4"/>
      <c r="BC84" s="4"/>
      <c r="BD84" s="4"/>
      <c r="BE84" s="4"/>
      <c r="BF84" s="4"/>
      <c r="BG84" s="4"/>
    </row>
    <row r="85" ht="15.75" customHeight="1">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O85" s="4"/>
      <c r="AP85" s="4"/>
      <c r="AQ85" s="4"/>
      <c r="AR85" s="4"/>
      <c r="AS85" s="4"/>
      <c r="AT85" s="4"/>
      <c r="AU85" s="4"/>
      <c r="AV85" s="4"/>
      <c r="AW85" s="4"/>
      <c r="AX85" s="4"/>
      <c r="AY85" s="4"/>
      <c r="AZ85" s="4"/>
      <c r="BA85" s="4"/>
      <c r="BB85" s="4"/>
      <c r="BC85" s="4"/>
      <c r="BD85" s="4"/>
      <c r="BE85" s="4"/>
      <c r="BF85" s="4"/>
      <c r="BG85" s="4"/>
    </row>
    <row r="86" ht="15.75" customHeight="1">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O86" s="4"/>
      <c r="AP86" s="4"/>
      <c r="AQ86" s="4"/>
      <c r="AR86" s="4"/>
      <c r="AS86" s="4"/>
      <c r="AT86" s="4"/>
      <c r="AU86" s="4"/>
      <c r="AV86" s="4"/>
      <c r="AW86" s="4"/>
      <c r="AX86" s="4"/>
      <c r="AY86" s="4"/>
      <c r="AZ86" s="4"/>
      <c r="BA86" s="4"/>
      <c r="BB86" s="4"/>
      <c r="BC86" s="4"/>
      <c r="BD86" s="4"/>
      <c r="BE86" s="4"/>
      <c r="BF86" s="4"/>
      <c r="BG86" s="4"/>
    </row>
    <row r="87" ht="15.75" customHeight="1">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O87" s="4"/>
      <c r="AP87" s="4"/>
      <c r="AQ87" s="4"/>
      <c r="AR87" s="4"/>
      <c r="AS87" s="4"/>
      <c r="AT87" s="4"/>
      <c r="AU87" s="4"/>
      <c r="AV87" s="4"/>
      <c r="AW87" s="4"/>
      <c r="AX87" s="4"/>
      <c r="AY87" s="4"/>
      <c r="AZ87" s="4"/>
      <c r="BA87" s="4"/>
      <c r="BB87" s="4"/>
      <c r="BC87" s="4"/>
      <c r="BD87" s="4"/>
      <c r="BE87" s="4"/>
      <c r="BF87" s="4"/>
      <c r="BG87" s="4"/>
    </row>
    <row r="88" ht="15.75" customHeight="1">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O88" s="4"/>
      <c r="AP88" s="4"/>
      <c r="AQ88" s="4"/>
      <c r="AR88" s="4"/>
      <c r="AS88" s="4"/>
      <c r="AT88" s="4"/>
      <c r="AU88" s="4"/>
      <c r="AV88" s="4"/>
      <c r="AW88" s="4"/>
      <c r="AX88" s="4"/>
      <c r="AY88" s="4"/>
      <c r="AZ88" s="4"/>
      <c r="BA88" s="4"/>
      <c r="BB88" s="4"/>
      <c r="BC88" s="4"/>
      <c r="BD88" s="4"/>
      <c r="BE88" s="4"/>
      <c r="BF88" s="4"/>
      <c r="BG88" s="4"/>
    </row>
    <row r="89" ht="15.75" customHeight="1">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O89" s="4"/>
      <c r="AP89" s="4"/>
      <c r="AQ89" s="4"/>
      <c r="AR89" s="4"/>
      <c r="AS89" s="4"/>
      <c r="AT89" s="4"/>
      <c r="AU89" s="4"/>
      <c r="AV89" s="4"/>
      <c r="AW89" s="4"/>
      <c r="AX89" s="4"/>
      <c r="AY89" s="4"/>
      <c r="AZ89" s="4"/>
      <c r="BA89" s="4"/>
      <c r="BB89" s="4"/>
      <c r="BC89" s="4"/>
      <c r="BD89" s="4"/>
      <c r="BE89" s="4"/>
      <c r="BF89" s="4"/>
      <c r="BG89" s="4"/>
    </row>
    <row r="90" ht="15.75" customHeight="1">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O90" s="4"/>
      <c r="AP90" s="4"/>
      <c r="AQ90" s="4"/>
      <c r="AR90" s="4"/>
      <c r="AS90" s="4"/>
      <c r="AT90" s="4"/>
      <c r="AU90" s="4"/>
      <c r="AV90" s="4"/>
      <c r="AW90" s="4"/>
      <c r="AX90" s="4"/>
      <c r="AY90" s="4"/>
      <c r="AZ90" s="4"/>
      <c r="BA90" s="4"/>
      <c r="BB90" s="4"/>
      <c r="BC90" s="4"/>
      <c r="BD90" s="4"/>
      <c r="BE90" s="4"/>
      <c r="BF90" s="4"/>
      <c r="BG90" s="4"/>
    </row>
    <row r="91" ht="15.75" customHeight="1">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O91" s="4"/>
      <c r="AP91" s="4"/>
      <c r="AQ91" s="4"/>
      <c r="AR91" s="4"/>
      <c r="AS91" s="4"/>
      <c r="AT91" s="4"/>
      <c r="AU91" s="4"/>
      <c r="AV91" s="4"/>
      <c r="AW91" s="4"/>
      <c r="AX91" s="4"/>
      <c r="AY91" s="4"/>
      <c r="AZ91" s="4"/>
      <c r="BA91" s="4"/>
      <c r="BB91" s="4"/>
      <c r="BC91" s="4"/>
      <c r="BD91" s="4"/>
      <c r="BE91" s="4"/>
      <c r="BF91" s="4"/>
      <c r="BG91" s="4"/>
    </row>
    <row r="92" ht="15.75" customHeight="1">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O92" s="4"/>
      <c r="AP92" s="4"/>
      <c r="AQ92" s="4"/>
      <c r="AR92" s="4"/>
      <c r="AS92" s="4"/>
      <c r="AT92" s="4"/>
      <c r="AU92" s="4"/>
      <c r="AV92" s="4"/>
      <c r="AW92" s="4"/>
      <c r="AX92" s="4"/>
      <c r="AY92" s="4"/>
      <c r="AZ92" s="4"/>
      <c r="BA92" s="4"/>
      <c r="BB92" s="4"/>
      <c r="BC92" s="4"/>
      <c r="BD92" s="4"/>
      <c r="BE92" s="4"/>
      <c r="BF92" s="4"/>
      <c r="BG92" s="4"/>
    </row>
    <row r="93" ht="15.75" customHeight="1">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O93" s="4"/>
      <c r="AP93" s="4"/>
      <c r="AQ93" s="4"/>
      <c r="AR93" s="4"/>
      <c r="AS93" s="4"/>
      <c r="AT93" s="4"/>
      <c r="AU93" s="4"/>
      <c r="AV93" s="4"/>
      <c r="AW93" s="4"/>
      <c r="AX93" s="4"/>
      <c r="AY93" s="4"/>
      <c r="AZ93" s="4"/>
      <c r="BA93" s="4"/>
      <c r="BB93" s="4"/>
      <c r="BC93" s="4"/>
      <c r="BD93" s="4"/>
      <c r="BE93" s="4"/>
      <c r="BF93" s="4"/>
      <c r="BG93" s="4"/>
    </row>
    <row r="94" ht="15.75" customHeight="1">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O94" s="4"/>
      <c r="AP94" s="4"/>
      <c r="AQ94" s="4"/>
      <c r="AR94" s="4"/>
      <c r="AS94" s="4"/>
      <c r="AT94" s="4"/>
      <c r="AU94" s="4"/>
      <c r="AV94" s="4"/>
      <c r="AW94" s="4"/>
      <c r="AX94" s="4"/>
      <c r="AY94" s="4"/>
      <c r="AZ94" s="4"/>
      <c r="BA94" s="4"/>
      <c r="BB94" s="4"/>
      <c r="BC94" s="4"/>
      <c r="BD94" s="4"/>
      <c r="BE94" s="4"/>
      <c r="BF94" s="4"/>
      <c r="BG94" s="4"/>
    </row>
    <row r="95" ht="15.75" customHeight="1">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O95" s="4"/>
      <c r="AP95" s="4"/>
      <c r="AQ95" s="4"/>
      <c r="AR95" s="4"/>
      <c r="AS95" s="4"/>
      <c r="AT95" s="4"/>
      <c r="AU95" s="4"/>
      <c r="AV95" s="4"/>
      <c r="AW95" s="4"/>
      <c r="AX95" s="4"/>
      <c r="AY95" s="4"/>
      <c r="AZ95" s="4"/>
      <c r="BA95" s="4"/>
      <c r="BB95" s="4"/>
      <c r="BC95" s="4"/>
      <c r="BD95" s="4"/>
      <c r="BE95" s="4"/>
      <c r="BF95" s="4"/>
      <c r="BG95" s="4"/>
    </row>
    <row r="96" ht="15.75" customHeight="1">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O96" s="4"/>
      <c r="AP96" s="4"/>
      <c r="AQ96" s="4"/>
      <c r="AR96" s="4"/>
      <c r="AS96" s="4"/>
      <c r="AT96" s="4"/>
      <c r="AU96" s="4"/>
      <c r="AV96" s="4"/>
      <c r="AW96" s="4"/>
      <c r="AX96" s="4"/>
      <c r="AY96" s="4"/>
      <c r="AZ96" s="4"/>
      <c r="BA96" s="4"/>
      <c r="BB96" s="4"/>
      <c r="BC96" s="4"/>
      <c r="BD96" s="4"/>
      <c r="BE96" s="4"/>
      <c r="BF96" s="4"/>
      <c r="BG96" s="4"/>
    </row>
    <row r="97" ht="15.75" customHeight="1">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O97" s="4"/>
      <c r="AP97" s="4"/>
      <c r="AQ97" s="4"/>
      <c r="AR97" s="4"/>
      <c r="AS97" s="4"/>
      <c r="AT97" s="4"/>
      <c r="AU97" s="4"/>
      <c r="AV97" s="4"/>
      <c r="AW97" s="4"/>
      <c r="AX97" s="4"/>
      <c r="AY97" s="4"/>
      <c r="AZ97" s="4"/>
      <c r="BA97" s="4"/>
      <c r="BB97" s="4"/>
      <c r="BC97" s="4"/>
      <c r="BD97" s="4"/>
      <c r="BE97" s="4"/>
      <c r="BF97" s="4"/>
      <c r="BG97" s="4"/>
    </row>
    <row r="98" ht="15.75" customHeight="1">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O98" s="4"/>
      <c r="AP98" s="4"/>
      <c r="AQ98" s="4"/>
      <c r="AR98" s="4"/>
      <c r="AS98" s="4"/>
      <c r="AT98" s="4"/>
      <c r="AU98" s="4"/>
      <c r="AV98" s="4"/>
      <c r="AW98" s="4"/>
      <c r="AX98" s="4"/>
      <c r="AY98" s="4"/>
      <c r="AZ98" s="4"/>
      <c r="BA98" s="4"/>
      <c r="BB98" s="4"/>
      <c r="BC98" s="4"/>
      <c r="BD98" s="4"/>
      <c r="BE98" s="4"/>
      <c r="BF98" s="4"/>
      <c r="BG98" s="4"/>
    </row>
    <row r="99" ht="15.75" customHeight="1">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O99" s="4"/>
      <c r="AP99" s="4"/>
      <c r="AQ99" s="4"/>
      <c r="AR99" s="4"/>
      <c r="AS99" s="4"/>
      <c r="AT99" s="4"/>
      <c r="AU99" s="4"/>
      <c r="AV99" s="4"/>
      <c r="AW99" s="4"/>
      <c r="AX99" s="4"/>
      <c r="AY99" s="4"/>
      <c r="AZ99" s="4"/>
      <c r="BA99" s="4"/>
      <c r="BB99" s="4"/>
      <c r="BC99" s="4"/>
      <c r="BD99" s="4"/>
      <c r="BE99" s="4"/>
      <c r="BF99" s="4"/>
      <c r="BG99" s="4"/>
    </row>
    <row r="100" ht="15.75" customHeight="1">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O100" s="4"/>
      <c r="AP100" s="4"/>
      <c r="AQ100" s="4"/>
      <c r="AR100" s="4"/>
      <c r="AS100" s="4"/>
      <c r="AT100" s="4"/>
      <c r="AU100" s="4"/>
      <c r="AV100" s="4"/>
      <c r="AW100" s="4"/>
      <c r="AX100" s="4"/>
      <c r="AY100" s="4"/>
      <c r="AZ100" s="4"/>
      <c r="BA100" s="4"/>
      <c r="BB100" s="4"/>
      <c r="BC100" s="4"/>
      <c r="BD100" s="4"/>
      <c r="BE100" s="4"/>
      <c r="BF100" s="4"/>
      <c r="BG100" s="4"/>
    </row>
    <row r="101" ht="15.75" customHeight="1">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O101" s="4"/>
      <c r="AP101" s="4"/>
      <c r="AQ101" s="4"/>
      <c r="AR101" s="4"/>
      <c r="AS101" s="4"/>
      <c r="AT101" s="4"/>
      <c r="AU101" s="4"/>
      <c r="AV101" s="4"/>
      <c r="AW101" s="4"/>
      <c r="AX101" s="4"/>
      <c r="AY101" s="4"/>
      <c r="AZ101" s="4"/>
      <c r="BA101" s="4"/>
      <c r="BB101" s="4"/>
      <c r="BC101" s="4"/>
      <c r="BD101" s="4"/>
      <c r="BE101" s="4"/>
      <c r="BF101" s="4"/>
      <c r="BG101" s="4"/>
    </row>
    <row r="102" ht="15.75" customHeight="1">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O102" s="4"/>
      <c r="AP102" s="4"/>
      <c r="AQ102" s="4"/>
      <c r="AR102" s="4"/>
      <c r="AS102" s="4"/>
      <c r="AT102" s="4"/>
      <c r="AU102" s="4"/>
      <c r="AV102" s="4"/>
      <c r="AW102" s="4"/>
      <c r="AX102" s="4"/>
      <c r="AY102" s="4"/>
      <c r="AZ102" s="4"/>
      <c r="BA102" s="4"/>
      <c r="BB102" s="4"/>
      <c r="BC102" s="4"/>
      <c r="BD102" s="4"/>
      <c r="BE102" s="4"/>
      <c r="BF102" s="4"/>
      <c r="BG102" s="4"/>
    </row>
    <row r="103" ht="15.75" customHeight="1">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O103" s="4"/>
      <c r="AP103" s="4"/>
      <c r="AQ103" s="4"/>
      <c r="AR103" s="4"/>
      <c r="AS103" s="4"/>
      <c r="AT103" s="4"/>
      <c r="AU103" s="4"/>
      <c r="AV103" s="4"/>
      <c r="AW103" s="4"/>
      <c r="AX103" s="4"/>
      <c r="AY103" s="4"/>
      <c r="AZ103" s="4"/>
      <c r="BA103" s="4"/>
      <c r="BB103" s="4"/>
      <c r="BC103" s="4"/>
      <c r="BD103" s="4"/>
      <c r="BE103" s="4"/>
      <c r="BF103" s="4"/>
      <c r="BG103" s="4"/>
    </row>
    <row r="104" ht="15.75" customHeight="1">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O104" s="4"/>
      <c r="AP104" s="4"/>
      <c r="AQ104" s="4"/>
      <c r="AR104" s="4"/>
      <c r="AS104" s="4"/>
      <c r="AT104" s="4"/>
      <c r="AU104" s="4"/>
      <c r="AV104" s="4"/>
      <c r="AW104" s="4"/>
      <c r="AX104" s="4"/>
      <c r="AY104" s="4"/>
      <c r="AZ104" s="4"/>
      <c r="BA104" s="4"/>
      <c r="BB104" s="4"/>
      <c r="BC104" s="4"/>
      <c r="BD104" s="4"/>
      <c r="BE104" s="4"/>
      <c r="BF104" s="4"/>
      <c r="BG104" s="4"/>
    </row>
    <row r="105" ht="15.75" customHeight="1">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O105" s="4"/>
      <c r="AP105" s="4"/>
      <c r="AQ105" s="4"/>
      <c r="AR105" s="4"/>
      <c r="AS105" s="4"/>
      <c r="AT105" s="4"/>
      <c r="AU105" s="4"/>
      <c r="AV105" s="4"/>
      <c r="AW105" s="4"/>
      <c r="AX105" s="4"/>
      <c r="AY105" s="4"/>
      <c r="AZ105" s="4"/>
      <c r="BA105" s="4"/>
      <c r="BB105" s="4"/>
      <c r="BC105" s="4"/>
      <c r="BD105" s="4"/>
      <c r="BE105" s="4"/>
      <c r="BF105" s="4"/>
      <c r="BG105" s="4"/>
    </row>
    <row r="106" ht="15.75" customHeight="1">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O106" s="4"/>
      <c r="AP106" s="4"/>
      <c r="AQ106" s="4"/>
      <c r="AR106" s="4"/>
      <c r="AS106" s="4"/>
      <c r="AT106" s="4"/>
      <c r="AU106" s="4"/>
      <c r="AV106" s="4"/>
      <c r="AW106" s="4"/>
      <c r="AX106" s="4"/>
      <c r="AY106" s="4"/>
      <c r="AZ106" s="4"/>
      <c r="BA106" s="4"/>
      <c r="BB106" s="4"/>
      <c r="BC106" s="4"/>
      <c r="BD106" s="4"/>
      <c r="BE106" s="4"/>
      <c r="BF106" s="4"/>
      <c r="BG106" s="4"/>
    </row>
    <row r="107" ht="15.75" customHeight="1">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O107" s="4"/>
      <c r="AP107" s="4"/>
      <c r="AQ107" s="4"/>
      <c r="AR107" s="4"/>
      <c r="AS107" s="4"/>
      <c r="AT107" s="4"/>
      <c r="AU107" s="4"/>
      <c r="AV107" s="4"/>
      <c r="AW107" s="4"/>
      <c r="AX107" s="4"/>
      <c r="AY107" s="4"/>
      <c r="AZ107" s="4"/>
      <c r="BA107" s="4"/>
      <c r="BB107" s="4"/>
      <c r="BC107" s="4"/>
      <c r="BD107" s="4"/>
      <c r="BE107" s="4"/>
      <c r="BF107" s="4"/>
      <c r="BG107" s="4"/>
    </row>
    <row r="108" ht="15.75" customHeight="1">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O108" s="4"/>
      <c r="AP108" s="4"/>
      <c r="AQ108" s="4"/>
      <c r="AR108" s="4"/>
      <c r="AS108" s="4"/>
      <c r="AT108" s="4"/>
      <c r="AU108" s="4"/>
      <c r="AV108" s="4"/>
      <c r="AW108" s="4"/>
      <c r="AX108" s="4"/>
      <c r="AY108" s="4"/>
      <c r="AZ108" s="4"/>
      <c r="BA108" s="4"/>
      <c r="BB108" s="4"/>
      <c r="BC108" s="4"/>
      <c r="BD108" s="4"/>
      <c r="BE108" s="4"/>
      <c r="BF108" s="4"/>
      <c r="BG108" s="4"/>
    </row>
    <row r="109" ht="15.75" customHeight="1">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O109" s="4"/>
      <c r="AP109" s="4"/>
      <c r="AQ109" s="4"/>
      <c r="AR109" s="4"/>
      <c r="AS109" s="4"/>
      <c r="AT109" s="4"/>
      <c r="AU109" s="4"/>
      <c r="AV109" s="4"/>
      <c r="AW109" s="4"/>
      <c r="AX109" s="4"/>
      <c r="AY109" s="4"/>
      <c r="AZ109" s="4"/>
      <c r="BA109" s="4"/>
      <c r="BB109" s="4"/>
      <c r="BC109" s="4"/>
      <c r="BD109" s="4"/>
      <c r="BE109" s="4"/>
      <c r="BF109" s="4"/>
      <c r="BG109" s="4"/>
    </row>
    <row r="110" ht="15.75" customHeight="1">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O110" s="4"/>
      <c r="AP110" s="4"/>
      <c r="AQ110" s="4"/>
      <c r="AR110" s="4"/>
      <c r="AS110" s="4"/>
      <c r="AT110" s="4"/>
      <c r="AU110" s="4"/>
      <c r="AV110" s="4"/>
      <c r="AW110" s="4"/>
      <c r="AX110" s="4"/>
      <c r="AY110" s="4"/>
      <c r="AZ110" s="4"/>
      <c r="BA110" s="4"/>
      <c r="BB110" s="4"/>
      <c r="BC110" s="4"/>
      <c r="BD110" s="4"/>
      <c r="BE110" s="4"/>
      <c r="BF110" s="4"/>
      <c r="BG110" s="4"/>
    </row>
    <row r="111" ht="15.75" customHeight="1">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O111" s="4"/>
      <c r="AP111" s="4"/>
      <c r="AQ111" s="4"/>
      <c r="AR111" s="4"/>
      <c r="AS111" s="4"/>
      <c r="AT111" s="4"/>
      <c r="AU111" s="4"/>
      <c r="AV111" s="4"/>
      <c r="AW111" s="4"/>
      <c r="AX111" s="4"/>
      <c r="AY111" s="4"/>
      <c r="AZ111" s="4"/>
      <c r="BA111" s="4"/>
      <c r="BB111" s="4"/>
      <c r="BC111" s="4"/>
      <c r="BD111" s="4"/>
      <c r="BE111" s="4"/>
      <c r="BF111" s="4"/>
      <c r="BG111" s="4"/>
    </row>
    <row r="112" ht="15.75" customHeight="1">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O112" s="4"/>
      <c r="AP112" s="4"/>
      <c r="AQ112" s="4"/>
      <c r="AR112" s="4"/>
      <c r="AS112" s="4"/>
      <c r="AT112" s="4"/>
      <c r="AU112" s="4"/>
      <c r="AV112" s="4"/>
      <c r="AW112" s="4"/>
      <c r="AX112" s="4"/>
      <c r="AY112" s="4"/>
      <c r="AZ112" s="4"/>
      <c r="BA112" s="4"/>
      <c r="BB112" s="4"/>
      <c r="BC112" s="4"/>
      <c r="BD112" s="4"/>
      <c r="BE112" s="4"/>
      <c r="BF112" s="4"/>
      <c r="BG112" s="4"/>
    </row>
    <row r="113" ht="15.75" customHeight="1">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O113" s="4"/>
      <c r="AP113" s="4"/>
      <c r="AQ113" s="4"/>
      <c r="AR113" s="4"/>
      <c r="AS113" s="4"/>
      <c r="AT113" s="4"/>
      <c r="AU113" s="4"/>
      <c r="AV113" s="4"/>
      <c r="AW113" s="4"/>
      <c r="AX113" s="4"/>
      <c r="AY113" s="4"/>
      <c r="AZ113" s="4"/>
      <c r="BA113" s="4"/>
      <c r="BB113" s="4"/>
      <c r="BC113" s="4"/>
      <c r="BD113" s="4"/>
      <c r="BE113" s="4"/>
      <c r="BF113" s="4"/>
      <c r="BG113" s="4"/>
    </row>
    <row r="114" ht="15.75" customHeight="1">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O114" s="4"/>
      <c r="AP114" s="4"/>
      <c r="AQ114" s="4"/>
      <c r="AR114" s="4"/>
      <c r="AS114" s="4"/>
      <c r="AT114" s="4"/>
      <c r="AU114" s="4"/>
      <c r="AV114" s="4"/>
      <c r="AW114" s="4"/>
      <c r="AX114" s="4"/>
      <c r="AY114" s="4"/>
      <c r="AZ114" s="4"/>
      <c r="BA114" s="4"/>
      <c r="BB114" s="4"/>
      <c r="BC114" s="4"/>
      <c r="BD114" s="4"/>
      <c r="BE114" s="4"/>
      <c r="BF114" s="4"/>
      <c r="BG114" s="4"/>
    </row>
    <row r="115" ht="15.75" customHeight="1">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O115" s="4"/>
      <c r="AP115" s="4"/>
      <c r="AQ115" s="4"/>
      <c r="AR115" s="4"/>
      <c r="AS115" s="4"/>
      <c r="AT115" s="4"/>
      <c r="AU115" s="4"/>
      <c r="AV115" s="4"/>
      <c r="AW115" s="4"/>
      <c r="AX115" s="4"/>
      <c r="AY115" s="4"/>
      <c r="AZ115" s="4"/>
      <c r="BA115" s="4"/>
      <c r="BB115" s="4"/>
      <c r="BC115" s="4"/>
      <c r="BD115" s="4"/>
      <c r="BE115" s="4"/>
      <c r="BF115" s="4"/>
      <c r="BG115" s="4"/>
    </row>
    <row r="116" ht="15.75" customHeight="1">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O116" s="4"/>
      <c r="AP116" s="4"/>
      <c r="AQ116" s="4"/>
      <c r="AR116" s="4"/>
      <c r="AS116" s="4"/>
      <c r="AT116" s="4"/>
      <c r="AU116" s="4"/>
      <c r="AV116" s="4"/>
      <c r="AW116" s="4"/>
      <c r="AX116" s="4"/>
      <c r="AY116" s="4"/>
      <c r="AZ116" s="4"/>
      <c r="BA116" s="4"/>
      <c r="BB116" s="4"/>
      <c r="BC116" s="4"/>
      <c r="BD116" s="4"/>
      <c r="BE116" s="4"/>
      <c r="BF116" s="4"/>
      <c r="BG116" s="4"/>
    </row>
    <row r="117" ht="15.75" customHeight="1">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O117" s="4"/>
      <c r="AP117" s="4"/>
      <c r="AQ117" s="4"/>
      <c r="AR117" s="4"/>
      <c r="AS117" s="4"/>
      <c r="AT117" s="4"/>
      <c r="AU117" s="4"/>
      <c r="AV117" s="4"/>
      <c r="AW117" s="4"/>
      <c r="AX117" s="4"/>
      <c r="AY117" s="4"/>
      <c r="AZ117" s="4"/>
      <c r="BA117" s="4"/>
      <c r="BB117" s="4"/>
      <c r="BC117" s="4"/>
      <c r="BD117" s="4"/>
      <c r="BE117" s="4"/>
      <c r="BF117" s="4"/>
      <c r="BG117" s="4"/>
    </row>
    <row r="118" ht="15.75" customHeight="1">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O118" s="4"/>
      <c r="AP118" s="4"/>
      <c r="AQ118" s="4"/>
      <c r="AR118" s="4"/>
      <c r="AS118" s="4"/>
      <c r="AT118" s="4"/>
      <c r="AU118" s="4"/>
      <c r="AV118" s="4"/>
      <c r="AW118" s="4"/>
      <c r="AX118" s="4"/>
      <c r="AY118" s="4"/>
      <c r="AZ118" s="4"/>
      <c r="BA118" s="4"/>
      <c r="BB118" s="4"/>
      <c r="BC118" s="4"/>
      <c r="BD118" s="4"/>
      <c r="BE118" s="4"/>
      <c r="BF118" s="4"/>
      <c r="BG118" s="4"/>
    </row>
    <row r="119" ht="15.75" customHeight="1">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O119" s="4"/>
      <c r="AP119" s="4"/>
      <c r="AQ119" s="4"/>
      <c r="AR119" s="4"/>
      <c r="AS119" s="4"/>
      <c r="AT119" s="4"/>
      <c r="AU119" s="4"/>
      <c r="AV119" s="4"/>
      <c r="AW119" s="4"/>
      <c r="AX119" s="4"/>
      <c r="AY119" s="4"/>
      <c r="AZ119" s="4"/>
      <c r="BA119" s="4"/>
      <c r="BB119" s="4"/>
      <c r="BC119" s="4"/>
      <c r="BD119" s="4"/>
      <c r="BE119" s="4"/>
      <c r="BF119" s="4"/>
      <c r="BG119" s="4"/>
    </row>
    <row r="120" ht="15.75" customHeight="1">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O120" s="4"/>
      <c r="AP120" s="4"/>
      <c r="AQ120" s="4"/>
      <c r="AR120" s="4"/>
      <c r="AS120" s="4"/>
      <c r="AT120" s="4"/>
      <c r="AU120" s="4"/>
      <c r="AV120" s="4"/>
      <c r="AW120" s="4"/>
      <c r="AX120" s="4"/>
      <c r="AY120" s="4"/>
      <c r="AZ120" s="4"/>
      <c r="BA120" s="4"/>
      <c r="BB120" s="4"/>
      <c r="BC120" s="4"/>
      <c r="BD120" s="4"/>
      <c r="BE120" s="4"/>
      <c r="BF120" s="4"/>
      <c r="BG120" s="4"/>
    </row>
    <row r="121" ht="15.75" customHeight="1">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O121" s="4"/>
      <c r="AP121" s="4"/>
      <c r="AQ121" s="4"/>
      <c r="AR121" s="4"/>
      <c r="AS121" s="4"/>
      <c r="AT121" s="4"/>
      <c r="AU121" s="4"/>
      <c r="AV121" s="4"/>
      <c r="AW121" s="4"/>
      <c r="AX121" s="4"/>
      <c r="AY121" s="4"/>
      <c r="AZ121" s="4"/>
      <c r="BA121" s="4"/>
      <c r="BB121" s="4"/>
      <c r="BC121" s="4"/>
      <c r="BD121" s="4"/>
      <c r="BE121" s="4"/>
      <c r="BF121" s="4"/>
      <c r="BG121" s="4"/>
    </row>
    <row r="122" ht="15.75" customHeight="1">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O122" s="4"/>
      <c r="AP122" s="4"/>
      <c r="AQ122" s="4"/>
      <c r="AR122" s="4"/>
      <c r="AS122" s="4"/>
      <c r="AT122" s="4"/>
      <c r="AU122" s="4"/>
      <c r="AV122" s="4"/>
      <c r="AW122" s="4"/>
      <c r="AX122" s="4"/>
      <c r="AY122" s="4"/>
      <c r="AZ122" s="4"/>
      <c r="BA122" s="4"/>
      <c r="BB122" s="4"/>
      <c r="BC122" s="4"/>
      <c r="BD122" s="4"/>
      <c r="BE122" s="4"/>
      <c r="BF122" s="4"/>
      <c r="BG122" s="4"/>
    </row>
    <row r="123" ht="15.75" customHeight="1">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O123" s="4"/>
      <c r="AP123" s="4"/>
      <c r="AQ123" s="4"/>
      <c r="AR123" s="4"/>
      <c r="AS123" s="4"/>
      <c r="AT123" s="4"/>
      <c r="AU123" s="4"/>
      <c r="AV123" s="4"/>
      <c r="AW123" s="4"/>
      <c r="AX123" s="4"/>
      <c r="AY123" s="4"/>
      <c r="AZ123" s="4"/>
      <c r="BA123" s="4"/>
      <c r="BB123" s="4"/>
      <c r="BC123" s="4"/>
      <c r="BD123" s="4"/>
      <c r="BE123" s="4"/>
      <c r="BF123" s="4"/>
      <c r="BG123" s="4"/>
    </row>
    <row r="124" ht="15.75" customHeight="1">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O124" s="4"/>
      <c r="AP124" s="4"/>
      <c r="AQ124" s="4"/>
      <c r="AR124" s="4"/>
      <c r="AS124" s="4"/>
      <c r="AT124" s="4"/>
      <c r="AU124" s="4"/>
      <c r="AV124" s="4"/>
      <c r="AW124" s="4"/>
      <c r="AX124" s="4"/>
      <c r="AY124" s="4"/>
      <c r="AZ124" s="4"/>
      <c r="BA124" s="4"/>
      <c r="BB124" s="4"/>
      <c r="BC124" s="4"/>
      <c r="BD124" s="4"/>
      <c r="BE124" s="4"/>
      <c r="BF124" s="4"/>
      <c r="BG124" s="4"/>
    </row>
    <row r="125" ht="15.75" customHeight="1">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O125" s="4"/>
      <c r="AP125" s="4"/>
      <c r="AQ125" s="4"/>
      <c r="AR125" s="4"/>
      <c r="AS125" s="4"/>
      <c r="AT125" s="4"/>
      <c r="AU125" s="4"/>
      <c r="AV125" s="4"/>
      <c r="AW125" s="4"/>
      <c r="AX125" s="4"/>
      <c r="AY125" s="4"/>
      <c r="AZ125" s="4"/>
      <c r="BA125" s="4"/>
      <c r="BB125" s="4"/>
      <c r="BC125" s="4"/>
      <c r="BD125" s="4"/>
      <c r="BE125" s="4"/>
      <c r="BF125" s="4"/>
      <c r="BG125" s="4"/>
    </row>
    <row r="126" ht="15.75" customHeight="1">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O126" s="4"/>
      <c r="AP126" s="4"/>
      <c r="AQ126" s="4"/>
      <c r="AR126" s="4"/>
      <c r="AS126" s="4"/>
      <c r="AT126" s="4"/>
      <c r="AU126" s="4"/>
      <c r="AV126" s="4"/>
      <c r="AW126" s="4"/>
      <c r="AX126" s="4"/>
      <c r="AY126" s="4"/>
      <c r="AZ126" s="4"/>
      <c r="BA126" s="4"/>
      <c r="BB126" s="4"/>
      <c r="BC126" s="4"/>
      <c r="BD126" s="4"/>
      <c r="BE126" s="4"/>
      <c r="BF126" s="4"/>
      <c r="BG126" s="4"/>
    </row>
    <row r="127" ht="15.75" customHeight="1">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O127" s="4"/>
      <c r="AP127" s="4"/>
      <c r="AQ127" s="4"/>
      <c r="AR127" s="4"/>
      <c r="AS127" s="4"/>
      <c r="AT127" s="4"/>
      <c r="AU127" s="4"/>
      <c r="AV127" s="4"/>
      <c r="AW127" s="4"/>
      <c r="AX127" s="4"/>
      <c r="AY127" s="4"/>
      <c r="AZ127" s="4"/>
      <c r="BA127" s="4"/>
      <c r="BB127" s="4"/>
      <c r="BC127" s="4"/>
      <c r="BD127" s="4"/>
      <c r="BE127" s="4"/>
      <c r="BF127" s="4"/>
      <c r="BG127" s="4"/>
    </row>
    <row r="128" ht="15.75" customHeight="1">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O128" s="4"/>
      <c r="AP128" s="4"/>
      <c r="AQ128" s="4"/>
      <c r="AR128" s="4"/>
      <c r="AS128" s="4"/>
      <c r="AT128" s="4"/>
      <c r="AU128" s="4"/>
      <c r="AV128" s="4"/>
      <c r="AW128" s="4"/>
      <c r="AX128" s="4"/>
      <c r="AY128" s="4"/>
      <c r="AZ128" s="4"/>
      <c r="BA128" s="4"/>
      <c r="BB128" s="4"/>
      <c r="BC128" s="4"/>
      <c r="BD128" s="4"/>
      <c r="BE128" s="4"/>
      <c r="BF128" s="4"/>
      <c r="BG128" s="4"/>
    </row>
    <row r="129" ht="15.75" customHeight="1">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O129" s="4"/>
      <c r="AP129" s="4"/>
      <c r="AQ129" s="4"/>
      <c r="AR129" s="4"/>
      <c r="AS129" s="4"/>
      <c r="AT129" s="4"/>
      <c r="AU129" s="4"/>
      <c r="AV129" s="4"/>
      <c r="AW129" s="4"/>
      <c r="AX129" s="4"/>
      <c r="AY129" s="4"/>
      <c r="AZ129" s="4"/>
      <c r="BA129" s="4"/>
      <c r="BB129" s="4"/>
      <c r="BC129" s="4"/>
      <c r="BD129" s="4"/>
      <c r="BE129" s="4"/>
      <c r="BF129" s="4"/>
      <c r="BG129" s="4"/>
    </row>
    <row r="130" ht="15.75" customHeight="1">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O130" s="4"/>
      <c r="AP130" s="4"/>
      <c r="AQ130" s="4"/>
      <c r="AR130" s="4"/>
      <c r="AS130" s="4"/>
      <c r="AT130" s="4"/>
      <c r="AU130" s="4"/>
      <c r="AV130" s="4"/>
      <c r="AW130" s="4"/>
      <c r="AX130" s="4"/>
      <c r="AY130" s="4"/>
      <c r="AZ130" s="4"/>
      <c r="BA130" s="4"/>
      <c r="BB130" s="4"/>
      <c r="BC130" s="4"/>
      <c r="BD130" s="4"/>
      <c r="BE130" s="4"/>
      <c r="BF130" s="4"/>
      <c r="BG130" s="4"/>
    </row>
    <row r="131" ht="15.75" customHeight="1">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O131" s="4"/>
      <c r="AP131" s="4"/>
      <c r="AQ131" s="4"/>
      <c r="AR131" s="4"/>
      <c r="AS131" s="4"/>
      <c r="AT131" s="4"/>
      <c r="AU131" s="4"/>
      <c r="AV131" s="4"/>
      <c r="AW131" s="4"/>
      <c r="AX131" s="4"/>
      <c r="AY131" s="4"/>
      <c r="AZ131" s="4"/>
      <c r="BA131" s="4"/>
      <c r="BB131" s="4"/>
      <c r="BC131" s="4"/>
      <c r="BD131" s="4"/>
      <c r="BE131" s="4"/>
      <c r="BF131" s="4"/>
      <c r="BG131" s="4"/>
    </row>
    <row r="132" ht="15.75" customHeight="1">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O132" s="4"/>
      <c r="AP132" s="4"/>
      <c r="AQ132" s="4"/>
      <c r="AR132" s="4"/>
      <c r="AS132" s="4"/>
      <c r="AT132" s="4"/>
      <c r="AU132" s="4"/>
      <c r="AV132" s="4"/>
      <c r="AW132" s="4"/>
      <c r="AX132" s="4"/>
      <c r="AY132" s="4"/>
      <c r="AZ132" s="4"/>
      <c r="BA132" s="4"/>
      <c r="BB132" s="4"/>
      <c r="BC132" s="4"/>
      <c r="BD132" s="4"/>
      <c r="BE132" s="4"/>
      <c r="BF132" s="4"/>
      <c r="BG132" s="4"/>
    </row>
    <row r="133" ht="15.75" customHeight="1">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O133" s="4"/>
      <c r="AP133" s="4"/>
      <c r="AQ133" s="4"/>
      <c r="AR133" s="4"/>
      <c r="AS133" s="4"/>
      <c r="AT133" s="4"/>
      <c r="AU133" s="4"/>
      <c r="AV133" s="4"/>
      <c r="AW133" s="4"/>
      <c r="AX133" s="4"/>
      <c r="AY133" s="4"/>
      <c r="AZ133" s="4"/>
      <c r="BA133" s="4"/>
      <c r="BB133" s="4"/>
      <c r="BC133" s="4"/>
      <c r="BD133" s="4"/>
      <c r="BE133" s="4"/>
      <c r="BF133" s="4"/>
      <c r="BG133" s="4"/>
    </row>
    <row r="134" ht="15.75" customHeight="1">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O134" s="4"/>
      <c r="AP134" s="4"/>
      <c r="AQ134" s="4"/>
      <c r="AR134" s="4"/>
      <c r="AS134" s="4"/>
      <c r="AT134" s="4"/>
      <c r="AU134" s="4"/>
      <c r="AV134" s="4"/>
      <c r="AW134" s="4"/>
      <c r="AX134" s="4"/>
      <c r="AY134" s="4"/>
      <c r="AZ134" s="4"/>
      <c r="BA134" s="4"/>
      <c r="BB134" s="4"/>
      <c r="BC134" s="4"/>
      <c r="BD134" s="4"/>
      <c r="BE134" s="4"/>
      <c r="BF134" s="4"/>
      <c r="BG134" s="4"/>
    </row>
    <row r="135" ht="15.75" customHeight="1">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O135" s="4"/>
      <c r="AP135" s="4"/>
      <c r="AQ135" s="4"/>
      <c r="AR135" s="4"/>
      <c r="AS135" s="4"/>
      <c r="AT135" s="4"/>
      <c r="AU135" s="4"/>
      <c r="AV135" s="4"/>
      <c r="AW135" s="4"/>
      <c r="AX135" s="4"/>
      <c r="AY135" s="4"/>
      <c r="AZ135" s="4"/>
      <c r="BA135" s="4"/>
      <c r="BB135" s="4"/>
      <c r="BC135" s="4"/>
      <c r="BD135" s="4"/>
      <c r="BE135" s="4"/>
      <c r="BF135" s="4"/>
      <c r="BG135" s="4"/>
    </row>
    <row r="136" ht="15.75" customHeight="1">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O136" s="4"/>
      <c r="AP136" s="4"/>
      <c r="AQ136" s="4"/>
      <c r="AR136" s="4"/>
      <c r="AS136" s="4"/>
      <c r="AT136" s="4"/>
      <c r="AU136" s="4"/>
      <c r="AV136" s="4"/>
      <c r="AW136" s="4"/>
      <c r="AX136" s="4"/>
      <c r="AY136" s="4"/>
      <c r="AZ136" s="4"/>
      <c r="BA136" s="4"/>
      <c r="BB136" s="4"/>
      <c r="BC136" s="4"/>
      <c r="BD136" s="4"/>
      <c r="BE136" s="4"/>
      <c r="BF136" s="4"/>
      <c r="BG136" s="4"/>
    </row>
    <row r="137" ht="15.75" customHeight="1">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O137" s="4"/>
      <c r="AP137" s="4"/>
      <c r="AQ137" s="4"/>
      <c r="AR137" s="4"/>
      <c r="AS137" s="4"/>
      <c r="AT137" s="4"/>
      <c r="AU137" s="4"/>
      <c r="AV137" s="4"/>
      <c r="AW137" s="4"/>
      <c r="AX137" s="4"/>
      <c r="AY137" s="4"/>
      <c r="AZ137" s="4"/>
      <c r="BA137" s="4"/>
      <c r="BB137" s="4"/>
      <c r="BC137" s="4"/>
      <c r="BD137" s="4"/>
      <c r="BE137" s="4"/>
      <c r="BF137" s="4"/>
      <c r="BG137" s="4"/>
    </row>
    <row r="138" ht="15.75" customHeight="1">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O138" s="4"/>
      <c r="AP138" s="4"/>
      <c r="AQ138" s="4"/>
      <c r="AR138" s="4"/>
      <c r="AS138" s="4"/>
      <c r="AT138" s="4"/>
      <c r="AU138" s="4"/>
      <c r="AV138" s="4"/>
      <c r="AW138" s="4"/>
      <c r="AX138" s="4"/>
      <c r="AY138" s="4"/>
      <c r="AZ138" s="4"/>
      <c r="BA138" s="4"/>
      <c r="BB138" s="4"/>
      <c r="BC138" s="4"/>
      <c r="BD138" s="4"/>
      <c r="BE138" s="4"/>
      <c r="BF138" s="4"/>
      <c r="BG138" s="4"/>
    </row>
    <row r="139" ht="15.75" customHeight="1">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O139" s="4"/>
      <c r="AP139" s="4"/>
      <c r="AQ139" s="4"/>
      <c r="AR139" s="4"/>
      <c r="AS139" s="4"/>
      <c r="AT139" s="4"/>
      <c r="AU139" s="4"/>
      <c r="AV139" s="4"/>
      <c r="AW139" s="4"/>
      <c r="AX139" s="4"/>
      <c r="AY139" s="4"/>
      <c r="AZ139" s="4"/>
      <c r="BA139" s="4"/>
      <c r="BB139" s="4"/>
      <c r="BC139" s="4"/>
      <c r="BD139" s="4"/>
      <c r="BE139" s="4"/>
      <c r="BF139" s="4"/>
      <c r="BG139" s="4"/>
    </row>
    <row r="140" ht="15.75" customHeight="1">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O140" s="4"/>
      <c r="AP140" s="4"/>
      <c r="AQ140" s="4"/>
      <c r="AR140" s="4"/>
      <c r="AS140" s="4"/>
      <c r="AT140" s="4"/>
      <c r="AU140" s="4"/>
      <c r="AV140" s="4"/>
      <c r="AW140" s="4"/>
      <c r="AX140" s="4"/>
      <c r="AY140" s="4"/>
      <c r="AZ140" s="4"/>
      <c r="BA140" s="4"/>
      <c r="BB140" s="4"/>
      <c r="BC140" s="4"/>
      <c r="BD140" s="4"/>
      <c r="BE140" s="4"/>
      <c r="BF140" s="4"/>
      <c r="BG140" s="4"/>
    </row>
    <row r="141" ht="15.75" customHeight="1">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O141" s="4"/>
      <c r="AP141" s="4"/>
      <c r="AQ141" s="4"/>
      <c r="AR141" s="4"/>
      <c r="AS141" s="4"/>
      <c r="AT141" s="4"/>
      <c r="AU141" s="4"/>
      <c r="AV141" s="4"/>
      <c r="AW141" s="4"/>
      <c r="AX141" s="4"/>
      <c r="AY141" s="4"/>
      <c r="AZ141" s="4"/>
      <c r="BA141" s="4"/>
      <c r="BB141" s="4"/>
      <c r="BC141" s="4"/>
      <c r="BD141" s="4"/>
      <c r="BE141" s="4"/>
      <c r="BF141" s="4"/>
      <c r="BG141" s="4"/>
    </row>
    <row r="142" ht="15.75" customHeight="1">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O142" s="4"/>
      <c r="AP142" s="4"/>
      <c r="AQ142" s="4"/>
      <c r="AR142" s="4"/>
      <c r="AS142" s="4"/>
      <c r="AT142" s="4"/>
      <c r="AU142" s="4"/>
      <c r="AV142" s="4"/>
      <c r="AW142" s="4"/>
      <c r="AX142" s="4"/>
      <c r="AY142" s="4"/>
      <c r="AZ142" s="4"/>
      <c r="BA142" s="4"/>
      <c r="BB142" s="4"/>
      <c r="BC142" s="4"/>
      <c r="BD142" s="4"/>
      <c r="BE142" s="4"/>
      <c r="BF142" s="4"/>
      <c r="BG142" s="4"/>
    </row>
    <row r="143" ht="15.75" customHeight="1">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O143" s="4"/>
      <c r="AP143" s="4"/>
      <c r="AQ143" s="4"/>
      <c r="AR143" s="4"/>
      <c r="AS143" s="4"/>
      <c r="AT143" s="4"/>
      <c r="AU143" s="4"/>
      <c r="AV143" s="4"/>
      <c r="AW143" s="4"/>
      <c r="AX143" s="4"/>
      <c r="AY143" s="4"/>
      <c r="AZ143" s="4"/>
      <c r="BA143" s="4"/>
      <c r="BB143" s="4"/>
      <c r="BC143" s="4"/>
      <c r="BD143" s="4"/>
      <c r="BE143" s="4"/>
      <c r="BF143" s="4"/>
      <c r="BG143" s="4"/>
    </row>
    <row r="144" ht="15.75" customHeight="1">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O144" s="4"/>
      <c r="AP144" s="4"/>
      <c r="AQ144" s="4"/>
      <c r="AR144" s="4"/>
      <c r="AS144" s="4"/>
      <c r="AT144" s="4"/>
      <c r="AU144" s="4"/>
      <c r="AV144" s="4"/>
      <c r="AW144" s="4"/>
      <c r="AX144" s="4"/>
      <c r="AY144" s="4"/>
      <c r="AZ144" s="4"/>
      <c r="BA144" s="4"/>
      <c r="BB144" s="4"/>
      <c r="BC144" s="4"/>
      <c r="BD144" s="4"/>
      <c r="BE144" s="4"/>
      <c r="BF144" s="4"/>
      <c r="BG144" s="4"/>
    </row>
    <row r="145" ht="15.75" customHeight="1">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O145" s="4"/>
      <c r="AP145" s="4"/>
      <c r="AQ145" s="4"/>
      <c r="AR145" s="4"/>
      <c r="AS145" s="4"/>
      <c r="AT145" s="4"/>
      <c r="AU145" s="4"/>
      <c r="AV145" s="4"/>
      <c r="AW145" s="4"/>
      <c r="AX145" s="4"/>
      <c r="AY145" s="4"/>
      <c r="AZ145" s="4"/>
      <c r="BA145" s="4"/>
      <c r="BB145" s="4"/>
      <c r="BC145" s="4"/>
      <c r="BD145" s="4"/>
      <c r="BE145" s="4"/>
      <c r="BF145" s="4"/>
      <c r="BG145" s="4"/>
    </row>
    <row r="146" ht="15.75" customHeight="1">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O146" s="4"/>
      <c r="AP146" s="4"/>
      <c r="AQ146" s="4"/>
      <c r="AR146" s="4"/>
      <c r="AS146" s="4"/>
      <c r="AT146" s="4"/>
      <c r="AU146" s="4"/>
      <c r="AV146" s="4"/>
      <c r="AW146" s="4"/>
      <c r="AX146" s="4"/>
      <c r="AY146" s="4"/>
      <c r="AZ146" s="4"/>
      <c r="BA146" s="4"/>
      <c r="BB146" s="4"/>
      <c r="BC146" s="4"/>
      <c r="BD146" s="4"/>
      <c r="BE146" s="4"/>
      <c r="BF146" s="4"/>
      <c r="BG146" s="4"/>
    </row>
    <row r="147" ht="15.75" customHeight="1">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O147" s="4"/>
      <c r="AP147" s="4"/>
      <c r="AQ147" s="4"/>
      <c r="AR147" s="4"/>
      <c r="AS147" s="4"/>
      <c r="AT147" s="4"/>
      <c r="AU147" s="4"/>
      <c r="AV147" s="4"/>
      <c r="AW147" s="4"/>
      <c r="AX147" s="4"/>
      <c r="AY147" s="4"/>
      <c r="AZ147" s="4"/>
      <c r="BA147" s="4"/>
      <c r="BB147" s="4"/>
      <c r="BC147" s="4"/>
      <c r="BD147" s="4"/>
      <c r="BE147" s="4"/>
      <c r="BF147" s="4"/>
      <c r="BG147" s="4"/>
    </row>
    <row r="148" ht="15.75" customHeight="1">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O148" s="4"/>
      <c r="AP148" s="4"/>
      <c r="AQ148" s="4"/>
      <c r="AR148" s="4"/>
      <c r="AS148" s="4"/>
      <c r="AT148" s="4"/>
      <c r="AU148" s="4"/>
      <c r="AV148" s="4"/>
      <c r="AW148" s="4"/>
      <c r="AX148" s="4"/>
      <c r="AY148" s="4"/>
      <c r="AZ148" s="4"/>
      <c r="BA148" s="4"/>
      <c r="BB148" s="4"/>
      <c r="BC148" s="4"/>
      <c r="BD148" s="4"/>
      <c r="BE148" s="4"/>
      <c r="BF148" s="4"/>
      <c r="BG148" s="4"/>
    </row>
    <row r="149" ht="15.75" customHeight="1">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O149" s="4"/>
      <c r="AP149" s="4"/>
      <c r="AQ149" s="4"/>
      <c r="AR149" s="4"/>
      <c r="AS149" s="4"/>
      <c r="AT149" s="4"/>
      <c r="AU149" s="4"/>
      <c r="AV149" s="4"/>
      <c r="AW149" s="4"/>
      <c r="AX149" s="4"/>
      <c r="AY149" s="4"/>
      <c r="AZ149" s="4"/>
      <c r="BA149" s="4"/>
      <c r="BB149" s="4"/>
      <c r="BC149" s="4"/>
      <c r="BD149" s="4"/>
      <c r="BE149" s="4"/>
      <c r="BF149" s="4"/>
      <c r="BG149" s="4"/>
    </row>
    <row r="150" ht="15.75" customHeight="1">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O150" s="4"/>
      <c r="AP150" s="4"/>
      <c r="AQ150" s="4"/>
      <c r="AR150" s="4"/>
      <c r="AS150" s="4"/>
      <c r="AT150" s="4"/>
      <c r="AU150" s="4"/>
      <c r="AV150" s="4"/>
      <c r="AW150" s="4"/>
      <c r="AX150" s="4"/>
      <c r="AY150" s="4"/>
      <c r="AZ150" s="4"/>
      <c r="BA150" s="4"/>
      <c r="BB150" s="4"/>
      <c r="BC150" s="4"/>
      <c r="BD150" s="4"/>
      <c r="BE150" s="4"/>
      <c r="BF150" s="4"/>
      <c r="BG150" s="4"/>
    </row>
    <row r="151" ht="15.75" customHeight="1">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O151" s="4"/>
      <c r="AP151" s="4"/>
      <c r="AQ151" s="4"/>
      <c r="AR151" s="4"/>
      <c r="AS151" s="4"/>
      <c r="AT151" s="4"/>
      <c r="AU151" s="4"/>
      <c r="AV151" s="4"/>
      <c r="AW151" s="4"/>
      <c r="AX151" s="4"/>
      <c r="AY151" s="4"/>
      <c r="AZ151" s="4"/>
      <c r="BA151" s="4"/>
      <c r="BB151" s="4"/>
      <c r="BC151" s="4"/>
      <c r="BD151" s="4"/>
      <c r="BE151" s="4"/>
      <c r="BF151" s="4"/>
      <c r="BG151" s="4"/>
    </row>
    <row r="152" ht="15.75" customHeight="1">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O152" s="4"/>
      <c r="AP152" s="4"/>
      <c r="AQ152" s="4"/>
      <c r="AR152" s="4"/>
      <c r="AS152" s="4"/>
      <c r="AT152" s="4"/>
      <c r="AU152" s="4"/>
      <c r="AV152" s="4"/>
      <c r="AW152" s="4"/>
      <c r="AX152" s="4"/>
      <c r="AY152" s="4"/>
      <c r="AZ152" s="4"/>
      <c r="BA152" s="4"/>
      <c r="BB152" s="4"/>
      <c r="BC152" s="4"/>
      <c r="BD152" s="4"/>
      <c r="BE152" s="4"/>
      <c r="BF152" s="4"/>
      <c r="BG152" s="4"/>
    </row>
    <row r="153" ht="15.75" customHeight="1">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O153" s="4"/>
      <c r="AP153" s="4"/>
      <c r="AQ153" s="4"/>
      <c r="AR153" s="4"/>
      <c r="AS153" s="4"/>
      <c r="AT153" s="4"/>
      <c r="AU153" s="4"/>
      <c r="AV153" s="4"/>
      <c r="AW153" s="4"/>
      <c r="AX153" s="4"/>
      <c r="AY153" s="4"/>
      <c r="AZ153" s="4"/>
      <c r="BA153" s="4"/>
      <c r="BB153" s="4"/>
      <c r="BC153" s="4"/>
      <c r="BD153" s="4"/>
      <c r="BE153" s="4"/>
      <c r="BF153" s="4"/>
      <c r="BG153" s="4"/>
    </row>
    <row r="154" ht="15.75" customHeight="1">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O154" s="4"/>
      <c r="AP154" s="4"/>
      <c r="AQ154" s="4"/>
      <c r="AR154" s="4"/>
      <c r="AS154" s="4"/>
      <c r="AT154" s="4"/>
      <c r="AU154" s="4"/>
      <c r="AV154" s="4"/>
      <c r="AW154" s="4"/>
      <c r="AX154" s="4"/>
      <c r="AY154" s="4"/>
      <c r="AZ154" s="4"/>
      <c r="BA154" s="4"/>
      <c r="BB154" s="4"/>
      <c r="BC154" s="4"/>
      <c r="BD154" s="4"/>
      <c r="BE154" s="4"/>
      <c r="BF154" s="4"/>
      <c r="BG154" s="4"/>
    </row>
    <row r="155" ht="15.75" customHeight="1">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O155" s="4"/>
      <c r="AP155" s="4"/>
      <c r="AQ155" s="4"/>
      <c r="AR155" s="4"/>
      <c r="AS155" s="4"/>
      <c r="AT155" s="4"/>
      <c r="AU155" s="4"/>
      <c r="AV155" s="4"/>
      <c r="AW155" s="4"/>
      <c r="AX155" s="4"/>
      <c r="AY155" s="4"/>
      <c r="AZ155" s="4"/>
      <c r="BA155" s="4"/>
      <c r="BB155" s="4"/>
      <c r="BC155" s="4"/>
      <c r="BD155" s="4"/>
      <c r="BE155" s="4"/>
      <c r="BF155" s="4"/>
      <c r="BG155" s="4"/>
    </row>
    <row r="156" ht="15.75" customHeight="1">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O156" s="4"/>
      <c r="AP156" s="4"/>
      <c r="AQ156" s="4"/>
      <c r="AR156" s="4"/>
      <c r="AS156" s="4"/>
      <c r="AT156" s="4"/>
      <c r="AU156" s="4"/>
      <c r="AV156" s="4"/>
      <c r="AW156" s="4"/>
      <c r="AX156" s="4"/>
      <c r="AY156" s="4"/>
      <c r="AZ156" s="4"/>
      <c r="BA156" s="4"/>
      <c r="BB156" s="4"/>
      <c r="BC156" s="4"/>
      <c r="BD156" s="4"/>
      <c r="BE156" s="4"/>
      <c r="BF156" s="4"/>
      <c r="BG156" s="4"/>
    </row>
    <row r="157" ht="15.75" customHeight="1">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O157" s="4"/>
      <c r="AP157" s="4"/>
      <c r="AQ157" s="4"/>
      <c r="AR157" s="4"/>
      <c r="AS157" s="4"/>
      <c r="AT157" s="4"/>
      <c r="AU157" s="4"/>
      <c r="AV157" s="4"/>
      <c r="AW157" s="4"/>
      <c r="AX157" s="4"/>
      <c r="AY157" s="4"/>
      <c r="AZ157" s="4"/>
      <c r="BA157" s="4"/>
      <c r="BB157" s="4"/>
      <c r="BC157" s="4"/>
      <c r="BD157" s="4"/>
      <c r="BE157" s="4"/>
      <c r="BF157" s="4"/>
      <c r="BG157" s="4"/>
    </row>
    <row r="158" ht="15.75" customHeight="1">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O158" s="4"/>
      <c r="AP158" s="4"/>
      <c r="AQ158" s="4"/>
      <c r="AR158" s="4"/>
      <c r="AS158" s="4"/>
      <c r="AT158" s="4"/>
      <c r="AU158" s="4"/>
      <c r="AV158" s="4"/>
      <c r="AW158" s="4"/>
      <c r="AX158" s="4"/>
      <c r="AY158" s="4"/>
      <c r="AZ158" s="4"/>
      <c r="BA158" s="4"/>
      <c r="BB158" s="4"/>
      <c r="BC158" s="4"/>
      <c r="BD158" s="4"/>
      <c r="BE158" s="4"/>
      <c r="BF158" s="4"/>
      <c r="BG158" s="4"/>
    </row>
    <row r="159" ht="15.75" customHeight="1">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O159" s="4"/>
      <c r="AP159" s="4"/>
      <c r="AQ159" s="4"/>
      <c r="AR159" s="4"/>
      <c r="AS159" s="4"/>
      <c r="AT159" s="4"/>
      <c r="AU159" s="4"/>
      <c r="AV159" s="4"/>
      <c r="AW159" s="4"/>
      <c r="AX159" s="4"/>
      <c r="AY159" s="4"/>
      <c r="AZ159" s="4"/>
      <c r="BA159" s="4"/>
      <c r="BB159" s="4"/>
      <c r="BC159" s="4"/>
      <c r="BD159" s="4"/>
      <c r="BE159" s="4"/>
      <c r="BF159" s="4"/>
      <c r="BG159" s="4"/>
    </row>
    <row r="160" ht="15.75" customHeight="1">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O160" s="4"/>
      <c r="AP160" s="4"/>
      <c r="AQ160" s="4"/>
      <c r="AR160" s="4"/>
      <c r="AS160" s="4"/>
      <c r="AT160" s="4"/>
      <c r="AU160" s="4"/>
      <c r="AV160" s="4"/>
      <c r="AW160" s="4"/>
      <c r="AX160" s="4"/>
      <c r="AY160" s="4"/>
      <c r="AZ160" s="4"/>
      <c r="BA160" s="4"/>
      <c r="BB160" s="4"/>
      <c r="BC160" s="4"/>
      <c r="BD160" s="4"/>
      <c r="BE160" s="4"/>
      <c r="BF160" s="4"/>
      <c r="BG160" s="4"/>
    </row>
    <row r="161" ht="15.75" customHeight="1">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O161" s="4"/>
      <c r="AP161" s="4"/>
      <c r="AQ161" s="4"/>
      <c r="AR161" s="4"/>
      <c r="AS161" s="4"/>
      <c r="AT161" s="4"/>
      <c r="AU161" s="4"/>
      <c r="AV161" s="4"/>
      <c r="AW161" s="4"/>
      <c r="AX161" s="4"/>
      <c r="AY161" s="4"/>
      <c r="AZ161" s="4"/>
      <c r="BA161" s="4"/>
      <c r="BB161" s="4"/>
      <c r="BC161" s="4"/>
      <c r="BD161" s="4"/>
      <c r="BE161" s="4"/>
      <c r="BF161" s="4"/>
      <c r="BG161" s="4"/>
    </row>
    <row r="162" ht="15.75" customHeight="1">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O162" s="4"/>
      <c r="AP162" s="4"/>
      <c r="AQ162" s="4"/>
      <c r="AR162" s="4"/>
      <c r="AS162" s="4"/>
      <c r="AT162" s="4"/>
      <c r="AU162" s="4"/>
      <c r="AV162" s="4"/>
      <c r="AW162" s="4"/>
      <c r="AX162" s="4"/>
      <c r="AY162" s="4"/>
      <c r="AZ162" s="4"/>
      <c r="BA162" s="4"/>
      <c r="BB162" s="4"/>
      <c r="BC162" s="4"/>
      <c r="BD162" s="4"/>
      <c r="BE162" s="4"/>
      <c r="BF162" s="4"/>
      <c r="BG162" s="4"/>
    </row>
    <row r="163" ht="15.75" customHeight="1">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O163" s="4"/>
      <c r="AP163" s="4"/>
      <c r="AQ163" s="4"/>
      <c r="AR163" s="4"/>
      <c r="AS163" s="4"/>
      <c r="AT163" s="4"/>
      <c r="AU163" s="4"/>
      <c r="AV163" s="4"/>
      <c r="AW163" s="4"/>
      <c r="AX163" s="4"/>
      <c r="AY163" s="4"/>
      <c r="AZ163" s="4"/>
      <c r="BA163" s="4"/>
      <c r="BB163" s="4"/>
      <c r="BC163" s="4"/>
      <c r="BD163" s="4"/>
      <c r="BE163" s="4"/>
      <c r="BF163" s="4"/>
      <c r="BG163" s="4"/>
    </row>
    <row r="164" ht="15.75" customHeight="1">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O164" s="4"/>
      <c r="AP164" s="4"/>
      <c r="AQ164" s="4"/>
      <c r="AR164" s="4"/>
      <c r="AS164" s="4"/>
      <c r="AT164" s="4"/>
      <c r="AU164" s="4"/>
      <c r="AV164" s="4"/>
      <c r="AW164" s="4"/>
      <c r="AX164" s="4"/>
      <c r="AY164" s="4"/>
      <c r="AZ164" s="4"/>
      <c r="BA164" s="4"/>
      <c r="BB164" s="4"/>
      <c r="BC164" s="4"/>
      <c r="BD164" s="4"/>
      <c r="BE164" s="4"/>
      <c r="BF164" s="4"/>
      <c r="BG164" s="4"/>
    </row>
    <row r="165" ht="15.75" customHeight="1">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O165" s="4"/>
      <c r="AP165" s="4"/>
      <c r="AQ165" s="4"/>
      <c r="AR165" s="4"/>
      <c r="AS165" s="4"/>
      <c r="AT165" s="4"/>
      <c r="AU165" s="4"/>
      <c r="AV165" s="4"/>
      <c r="AW165" s="4"/>
      <c r="AX165" s="4"/>
      <c r="AY165" s="4"/>
      <c r="AZ165" s="4"/>
      <c r="BA165" s="4"/>
      <c r="BB165" s="4"/>
      <c r="BC165" s="4"/>
      <c r="BD165" s="4"/>
      <c r="BE165" s="4"/>
      <c r="BF165" s="4"/>
      <c r="BG165" s="4"/>
    </row>
    <row r="166" ht="15.75" customHeight="1">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O166" s="4"/>
      <c r="AP166" s="4"/>
      <c r="AQ166" s="4"/>
      <c r="AR166" s="4"/>
      <c r="AS166" s="4"/>
      <c r="AT166" s="4"/>
      <c r="AU166" s="4"/>
      <c r="AV166" s="4"/>
      <c r="AW166" s="4"/>
      <c r="AX166" s="4"/>
      <c r="AY166" s="4"/>
      <c r="AZ166" s="4"/>
      <c r="BA166" s="4"/>
      <c r="BB166" s="4"/>
      <c r="BC166" s="4"/>
      <c r="BD166" s="4"/>
      <c r="BE166" s="4"/>
      <c r="BF166" s="4"/>
      <c r="BG166" s="4"/>
    </row>
    <row r="167" ht="15.75" customHeight="1">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O167" s="4"/>
      <c r="AP167" s="4"/>
      <c r="AQ167" s="4"/>
      <c r="AR167" s="4"/>
      <c r="AS167" s="4"/>
      <c r="AT167" s="4"/>
      <c r="AU167" s="4"/>
      <c r="AV167" s="4"/>
      <c r="AW167" s="4"/>
      <c r="AX167" s="4"/>
      <c r="AY167" s="4"/>
      <c r="AZ167" s="4"/>
      <c r="BA167" s="4"/>
      <c r="BB167" s="4"/>
      <c r="BC167" s="4"/>
      <c r="BD167" s="4"/>
      <c r="BE167" s="4"/>
      <c r="BF167" s="4"/>
      <c r="BG167" s="4"/>
    </row>
    <row r="168" ht="15.75" customHeight="1">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O168" s="4"/>
      <c r="AP168" s="4"/>
      <c r="AQ168" s="4"/>
      <c r="AR168" s="4"/>
      <c r="AS168" s="4"/>
      <c r="AT168" s="4"/>
      <c r="AU168" s="4"/>
      <c r="AV168" s="4"/>
      <c r="AW168" s="4"/>
      <c r="AX168" s="4"/>
      <c r="AY168" s="4"/>
      <c r="AZ168" s="4"/>
      <c r="BA168" s="4"/>
      <c r="BB168" s="4"/>
      <c r="BC168" s="4"/>
      <c r="BD168" s="4"/>
      <c r="BE168" s="4"/>
      <c r="BF168" s="4"/>
      <c r="BG168" s="4"/>
    </row>
    <row r="169" ht="15.75" customHeight="1">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O169" s="4"/>
      <c r="AP169" s="4"/>
      <c r="AQ169" s="4"/>
      <c r="AR169" s="4"/>
      <c r="AS169" s="4"/>
      <c r="AT169" s="4"/>
      <c r="AU169" s="4"/>
      <c r="AV169" s="4"/>
      <c r="AW169" s="4"/>
      <c r="AX169" s="4"/>
      <c r="AY169" s="4"/>
      <c r="AZ169" s="4"/>
      <c r="BA169" s="4"/>
      <c r="BB169" s="4"/>
      <c r="BC169" s="4"/>
      <c r="BD169" s="4"/>
      <c r="BE169" s="4"/>
      <c r="BF169" s="4"/>
      <c r="BG169" s="4"/>
    </row>
    <row r="170" ht="15.75" customHeight="1">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O170" s="4"/>
      <c r="AP170" s="4"/>
      <c r="AQ170" s="4"/>
      <c r="AR170" s="4"/>
      <c r="AS170" s="4"/>
      <c r="AT170" s="4"/>
      <c r="AU170" s="4"/>
      <c r="AV170" s="4"/>
      <c r="AW170" s="4"/>
      <c r="AX170" s="4"/>
      <c r="AY170" s="4"/>
      <c r="AZ170" s="4"/>
      <c r="BA170" s="4"/>
      <c r="BB170" s="4"/>
      <c r="BC170" s="4"/>
      <c r="BD170" s="4"/>
      <c r="BE170" s="4"/>
      <c r="BF170" s="4"/>
      <c r="BG170" s="4"/>
    </row>
    <row r="171" ht="15.75" customHeight="1">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O171" s="4"/>
      <c r="AP171" s="4"/>
      <c r="AQ171" s="4"/>
      <c r="AR171" s="4"/>
      <c r="AS171" s="4"/>
      <c r="AT171" s="4"/>
      <c r="AU171" s="4"/>
      <c r="AV171" s="4"/>
      <c r="AW171" s="4"/>
      <c r="AX171" s="4"/>
      <c r="AY171" s="4"/>
      <c r="AZ171" s="4"/>
      <c r="BA171" s="4"/>
      <c r="BB171" s="4"/>
      <c r="BC171" s="4"/>
      <c r="BD171" s="4"/>
      <c r="BE171" s="4"/>
      <c r="BF171" s="4"/>
      <c r="BG171" s="4"/>
    </row>
    <row r="172" ht="15.75" customHeight="1">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O172" s="4"/>
      <c r="AP172" s="4"/>
      <c r="AQ172" s="4"/>
      <c r="AR172" s="4"/>
      <c r="AS172" s="4"/>
      <c r="AT172" s="4"/>
      <c r="AU172" s="4"/>
      <c r="AV172" s="4"/>
      <c r="AW172" s="4"/>
      <c r="AX172" s="4"/>
      <c r="AY172" s="4"/>
      <c r="AZ172" s="4"/>
      <c r="BA172" s="4"/>
      <c r="BB172" s="4"/>
      <c r="BC172" s="4"/>
      <c r="BD172" s="4"/>
      <c r="BE172" s="4"/>
      <c r="BF172" s="4"/>
      <c r="BG172" s="4"/>
    </row>
    <row r="173" ht="15.75" customHeight="1">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O173" s="4"/>
      <c r="AP173" s="4"/>
      <c r="AQ173" s="4"/>
      <c r="AR173" s="4"/>
      <c r="AS173" s="4"/>
      <c r="AT173" s="4"/>
      <c r="AU173" s="4"/>
      <c r="AV173" s="4"/>
      <c r="AW173" s="4"/>
      <c r="AX173" s="4"/>
      <c r="AY173" s="4"/>
      <c r="AZ173" s="4"/>
      <c r="BA173" s="4"/>
      <c r="BB173" s="4"/>
      <c r="BC173" s="4"/>
      <c r="BD173" s="4"/>
      <c r="BE173" s="4"/>
      <c r="BF173" s="4"/>
      <c r="BG173" s="4"/>
    </row>
    <row r="174" ht="15.75" customHeight="1">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O174" s="4"/>
      <c r="AP174" s="4"/>
      <c r="AQ174" s="4"/>
      <c r="AR174" s="4"/>
      <c r="AS174" s="4"/>
      <c r="AT174" s="4"/>
      <c r="AU174" s="4"/>
      <c r="AV174" s="4"/>
      <c r="AW174" s="4"/>
      <c r="AX174" s="4"/>
      <c r="AY174" s="4"/>
      <c r="AZ174" s="4"/>
      <c r="BA174" s="4"/>
      <c r="BB174" s="4"/>
      <c r="BC174" s="4"/>
      <c r="BD174" s="4"/>
      <c r="BE174" s="4"/>
      <c r="BF174" s="4"/>
      <c r="BG174" s="4"/>
    </row>
    <row r="175" ht="15.75" customHeight="1">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O175" s="4"/>
      <c r="AP175" s="4"/>
      <c r="AQ175" s="4"/>
      <c r="AR175" s="4"/>
      <c r="AS175" s="4"/>
      <c r="AT175" s="4"/>
      <c r="AU175" s="4"/>
      <c r="AV175" s="4"/>
      <c r="AW175" s="4"/>
      <c r="AX175" s="4"/>
      <c r="AY175" s="4"/>
      <c r="AZ175" s="4"/>
      <c r="BA175" s="4"/>
      <c r="BB175" s="4"/>
      <c r="BC175" s="4"/>
      <c r="BD175" s="4"/>
      <c r="BE175" s="4"/>
      <c r="BF175" s="4"/>
      <c r="BG175" s="4"/>
    </row>
    <row r="176" ht="15.75" customHeight="1">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O176" s="4"/>
      <c r="AP176" s="4"/>
      <c r="AQ176" s="4"/>
      <c r="AR176" s="4"/>
      <c r="AS176" s="4"/>
      <c r="AT176" s="4"/>
      <c r="AU176" s="4"/>
      <c r="AV176" s="4"/>
      <c r="AW176" s="4"/>
      <c r="AX176" s="4"/>
      <c r="AY176" s="4"/>
      <c r="AZ176" s="4"/>
      <c r="BA176" s="4"/>
      <c r="BB176" s="4"/>
      <c r="BC176" s="4"/>
      <c r="BD176" s="4"/>
      <c r="BE176" s="4"/>
      <c r="BF176" s="4"/>
      <c r="BG176" s="4"/>
    </row>
    <row r="177" ht="15.75" customHeight="1">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O177" s="4"/>
      <c r="AP177" s="4"/>
      <c r="AQ177" s="4"/>
      <c r="AR177" s="4"/>
      <c r="AS177" s="4"/>
      <c r="AT177" s="4"/>
      <c r="AU177" s="4"/>
      <c r="AV177" s="4"/>
      <c r="AW177" s="4"/>
      <c r="AX177" s="4"/>
      <c r="AY177" s="4"/>
      <c r="AZ177" s="4"/>
      <c r="BA177" s="4"/>
      <c r="BB177" s="4"/>
      <c r="BC177" s="4"/>
      <c r="BD177" s="4"/>
      <c r="BE177" s="4"/>
      <c r="BF177" s="4"/>
      <c r="BG177" s="4"/>
    </row>
    <row r="178" ht="15.75" customHeight="1">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O178" s="4"/>
      <c r="AP178" s="4"/>
      <c r="AQ178" s="4"/>
      <c r="AR178" s="4"/>
      <c r="AS178" s="4"/>
      <c r="AT178" s="4"/>
      <c r="AU178" s="4"/>
      <c r="AV178" s="4"/>
      <c r="AW178" s="4"/>
      <c r="AX178" s="4"/>
      <c r="AY178" s="4"/>
      <c r="AZ178" s="4"/>
      <c r="BA178" s="4"/>
      <c r="BB178" s="4"/>
      <c r="BC178" s="4"/>
      <c r="BD178" s="4"/>
      <c r="BE178" s="4"/>
      <c r="BF178" s="4"/>
      <c r="BG178" s="4"/>
    </row>
    <row r="179" ht="15.75" customHeight="1">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O179" s="4"/>
      <c r="AP179" s="4"/>
      <c r="AQ179" s="4"/>
      <c r="AR179" s="4"/>
      <c r="AS179" s="4"/>
      <c r="AT179" s="4"/>
      <c r="AU179" s="4"/>
      <c r="AV179" s="4"/>
      <c r="AW179" s="4"/>
      <c r="AX179" s="4"/>
      <c r="AY179" s="4"/>
      <c r="AZ179" s="4"/>
      <c r="BA179" s="4"/>
      <c r="BB179" s="4"/>
      <c r="BC179" s="4"/>
      <c r="BD179" s="4"/>
      <c r="BE179" s="4"/>
      <c r="BF179" s="4"/>
      <c r="BG179" s="4"/>
    </row>
    <row r="180" ht="15.75" customHeight="1">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O180" s="4"/>
      <c r="AP180" s="4"/>
      <c r="AQ180" s="4"/>
      <c r="AR180" s="4"/>
      <c r="AS180" s="4"/>
      <c r="AT180" s="4"/>
      <c r="AU180" s="4"/>
      <c r="AV180" s="4"/>
      <c r="AW180" s="4"/>
      <c r="AX180" s="4"/>
      <c r="AY180" s="4"/>
      <c r="AZ180" s="4"/>
      <c r="BA180" s="4"/>
      <c r="BB180" s="4"/>
      <c r="BC180" s="4"/>
      <c r="BD180" s="4"/>
      <c r="BE180" s="4"/>
      <c r="BF180" s="4"/>
      <c r="BG180" s="4"/>
    </row>
    <row r="181" ht="15.75" customHeight="1">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O181" s="4"/>
      <c r="AP181" s="4"/>
      <c r="AQ181" s="4"/>
      <c r="AR181" s="4"/>
      <c r="AS181" s="4"/>
      <c r="AT181" s="4"/>
      <c r="AU181" s="4"/>
      <c r="AV181" s="4"/>
      <c r="AW181" s="4"/>
      <c r="AX181" s="4"/>
      <c r="AY181" s="4"/>
      <c r="AZ181" s="4"/>
      <c r="BA181" s="4"/>
      <c r="BB181" s="4"/>
      <c r="BC181" s="4"/>
      <c r="BD181" s="4"/>
      <c r="BE181" s="4"/>
      <c r="BF181" s="4"/>
      <c r="BG181" s="4"/>
    </row>
    <row r="182" ht="15.75" customHeight="1">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O182" s="4"/>
      <c r="AP182" s="4"/>
      <c r="AQ182" s="4"/>
      <c r="AR182" s="4"/>
      <c r="AS182" s="4"/>
      <c r="AT182" s="4"/>
      <c r="AU182" s="4"/>
      <c r="AV182" s="4"/>
      <c r="AW182" s="4"/>
      <c r="AX182" s="4"/>
      <c r="AY182" s="4"/>
      <c r="AZ182" s="4"/>
      <c r="BA182" s="4"/>
      <c r="BB182" s="4"/>
      <c r="BC182" s="4"/>
      <c r="BD182" s="4"/>
      <c r="BE182" s="4"/>
      <c r="BF182" s="4"/>
      <c r="BG182" s="4"/>
    </row>
    <row r="183" ht="15.75" customHeight="1">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O183" s="4"/>
      <c r="AP183" s="4"/>
      <c r="AQ183" s="4"/>
      <c r="AR183" s="4"/>
      <c r="AS183" s="4"/>
      <c r="AT183" s="4"/>
      <c r="AU183" s="4"/>
      <c r="AV183" s="4"/>
      <c r="AW183" s="4"/>
      <c r="AX183" s="4"/>
      <c r="AY183" s="4"/>
      <c r="AZ183" s="4"/>
      <c r="BA183" s="4"/>
      <c r="BB183" s="4"/>
      <c r="BC183" s="4"/>
      <c r="BD183" s="4"/>
      <c r="BE183" s="4"/>
      <c r="BF183" s="4"/>
      <c r="BG183" s="4"/>
    </row>
    <row r="184" ht="15.75" customHeight="1">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O184" s="4"/>
      <c r="AP184" s="4"/>
      <c r="AQ184" s="4"/>
      <c r="AR184" s="4"/>
      <c r="AS184" s="4"/>
      <c r="AT184" s="4"/>
      <c r="AU184" s="4"/>
      <c r="AV184" s="4"/>
      <c r="AW184" s="4"/>
      <c r="AX184" s="4"/>
      <c r="AY184" s="4"/>
      <c r="AZ184" s="4"/>
      <c r="BA184" s="4"/>
      <c r="BB184" s="4"/>
      <c r="BC184" s="4"/>
      <c r="BD184" s="4"/>
      <c r="BE184" s="4"/>
      <c r="BF184" s="4"/>
      <c r="BG184" s="4"/>
    </row>
    <row r="185" ht="15.75" customHeight="1">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O185" s="4"/>
      <c r="AP185" s="4"/>
      <c r="AQ185" s="4"/>
      <c r="AR185" s="4"/>
      <c r="AS185" s="4"/>
      <c r="AT185" s="4"/>
      <c r="AU185" s="4"/>
      <c r="AV185" s="4"/>
      <c r="AW185" s="4"/>
      <c r="AX185" s="4"/>
      <c r="AY185" s="4"/>
      <c r="AZ185" s="4"/>
      <c r="BA185" s="4"/>
      <c r="BB185" s="4"/>
      <c r="BC185" s="4"/>
      <c r="BD185" s="4"/>
      <c r="BE185" s="4"/>
      <c r="BF185" s="4"/>
      <c r="BG185" s="4"/>
    </row>
    <row r="186" ht="15.75" customHeight="1">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O186" s="4"/>
      <c r="AP186" s="4"/>
      <c r="AQ186" s="4"/>
      <c r="AR186" s="4"/>
      <c r="AS186" s="4"/>
      <c r="AT186" s="4"/>
      <c r="AU186" s="4"/>
      <c r="AV186" s="4"/>
      <c r="AW186" s="4"/>
      <c r="AX186" s="4"/>
      <c r="AY186" s="4"/>
      <c r="AZ186" s="4"/>
      <c r="BA186" s="4"/>
      <c r="BB186" s="4"/>
      <c r="BC186" s="4"/>
      <c r="BD186" s="4"/>
      <c r="BE186" s="4"/>
      <c r="BF186" s="4"/>
      <c r="BG186" s="4"/>
    </row>
    <row r="187" ht="15.75" customHeight="1">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O187" s="4"/>
      <c r="AP187" s="4"/>
      <c r="AQ187" s="4"/>
      <c r="AR187" s="4"/>
      <c r="AS187" s="4"/>
      <c r="AT187" s="4"/>
      <c r="AU187" s="4"/>
      <c r="AV187" s="4"/>
      <c r="AW187" s="4"/>
      <c r="AX187" s="4"/>
      <c r="AY187" s="4"/>
      <c r="AZ187" s="4"/>
      <c r="BA187" s="4"/>
      <c r="BB187" s="4"/>
      <c r="BC187" s="4"/>
      <c r="BD187" s="4"/>
      <c r="BE187" s="4"/>
      <c r="BF187" s="4"/>
      <c r="BG187" s="4"/>
    </row>
    <row r="188" ht="15.75" customHeight="1">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O188" s="4"/>
      <c r="AP188" s="4"/>
      <c r="AQ188" s="4"/>
      <c r="AR188" s="4"/>
      <c r="AS188" s="4"/>
      <c r="AT188" s="4"/>
      <c r="AU188" s="4"/>
      <c r="AV188" s="4"/>
      <c r="AW188" s="4"/>
      <c r="AX188" s="4"/>
      <c r="AY188" s="4"/>
      <c r="AZ188" s="4"/>
      <c r="BA188" s="4"/>
      <c r="BB188" s="4"/>
      <c r="BC188" s="4"/>
      <c r="BD188" s="4"/>
      <c r="BE188" s="4"/>
      <c r="BF188" s="4"/>
      <c r="BG188" s="4"/>
    </row>
    <row r="189" ht="15.75" customHeight="1">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O189" s="4"/>
      <c r="AP189" s="4"/>
      <c r="AQ189" s="4"/>
      <c r="AR189" s="4"/>
      <c r="AS189" s="4"/>
      <c r="AT189" s="4"/>
      <c r="AU189" s="4"/>
      <c r="AV189" s="4"/>
      <c r="AW189" s="4"/>
      <c r="AX189" s="4"/>
      <c r="AY189" s="4"/>
      <c r="AZ189" s="4"/>
      <c r="BA189" s="4"/>
      <c r="BB189" s="4"/>
      <c r="BC189" s="4"/>
      <c r="BD189" s="4"/>
      <c r="BE189" s="4"/>
      <c r="BF189" s="4"/>
      <c r="BG189" s="4"/>
    </row>
    <row r="190" ht="15.75" customHeight="1">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O190" s="4"/>
      <c r="AP190" s="4"/>
      <c r="AQ190" s="4"/>
      <c r="AR190" s="4"/>
      <c r="AS190" s="4"/>
      <c r="AT190" s="4"/>
      <c r="AU190" s="4"/>
      <c r="AV190" s="4"/>
      <c r="AW190" s="4"/>
      <c r="AX190" s="4"/>
      <c r="AY190" s="4"/>
      <c r="AZ190" s="4"/>
      <c r="BA190" s="4"/>
      <c r="BB190" s="4"/>
      <c r="BC190" s="4"/>
      <c r="BD190" s="4"/>
      <c r="BE190" s="4"/>
      <c r="BF190" s="4"/>
      <c r="BG190" s="4"/>
    </row>
    <row r="191" ht="15.75" customHeight="1">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O191" s="4"/>
      <c r="AP191" s="4"/>
      <c r="AQ191" s="4"/>
      <c r="AR191" s="4"/>
      <c r="AS191" s="4"/>
      <c r="AT191" s="4"/>
      <c r="AU191" s="4"/>
      <c r="AV191" s="4"/>
      <c r="AW191" s="4"/>
      <c r="AX191" s="4"/>
      <c r="AY191" s="4"/>
      <c r="AZ191" s="4"/>
      <c r="BA191" s="4"/>
      <c r="BB191" s="4"/>
      <c r="BC191" s="4"/>
      <c r="BD191" s="4"/>
      <c r="BE191" s="4"/>
      <c r="BF191" s="4"/>
      <c r="BG191" s="4"/>
    </row>
    <row r="192" ht="15.75" customHeight="1">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O192" s="4"/>
      <c r="AP192" s="4"/>
      <c r="AQ192" s="4"/>
      <c r="AR192" s="4"/>
      <c r="AS192" s="4"/>
      <c r="AT192" s="4"/>
      <c r="AU192" s="4"/>
      <c r="AV192" s="4"/>
      <c r="AW192" s="4"/>
      <c r="AX192" s="4"/>
      <c r="AY192" s="4"/>
      <c r="AZ192" s="4"/>
      <c r="BA192" s="4"/>
      <c r="BB192" s="4"/>
      <c r="BC192" s="4"/>
      <c r="BD192" s="4"/>
      <c r="BE192" s="4"/>
      <c r="BF192" s="4"/>
      <c r="BG192" s="4"/>
    </row>
    <row r="193" ht="15.75" customHeight="1">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O193" s="4"/>
      <c r="AP193" s="4"/>
      <c r="AQ193" s="4"/>
      <c r="AR193" s="4"/>
      <c r="AS193" s="4"/>
      <c r="AT193" s="4"/>
      <c r="AU193" s="4"/>
      <c r="AV193" s="4"/>
      <c r="AW193" s="4"/>
      <c r="AX193" s="4"/>
      <c r="AY193" s="4"/>
      <c r="AZ193" s="4"/>
      <c r="BA193" s="4"/>
      <c r="BB193" s="4"/>
      <c r="BC193" s="4"/>
      <c r="BD193" s="4"/>
      <c r="BE193" s="4"/>
      <c r="BF193" s="4"/>
      <c r="BG193" s="4"/>
    </row>
    <row r="194" ht="15.75" customHeight="1">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O194" s="4"/>
      <c r="AP194" s="4"/>
      <c r="AQ194" s="4"/>
      <c r="AR194" s="4"/>
      <c r="AS194" s="4"/>
      <c r="AT194" s="4"/>
      <c r="AU194" s="4"/>
      <c r="AV194" s="4"/>
      <c r="AW194" s="4"/>
      <c r="AX194" s="4"/>
      <c r="AY194" s="4"/>
      <c r="AZ194" s="4"/>
      <c r="BA194" s="4"/>
      <c r="BB194" s="4"/>
      <c r="BC194" s="4"/>
      <c r="BD194" s="4"/>
      <c r="BE194" s="4"/>
      <c r="BF194" s="4"/>
      <c r="BG194" s="4"/>
    </row>
    <row r="195" ht="15.75" customHeight="1">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O195" s="4"/>
      <c r="AP195" s="4"/>
      <c r="AQ195" s="4"/>
      <c r="AR195" s="4"/>
      <c r="AS195" s="4"/>
      <c r="AT195" s="4"/>
      <c r="AU195" s="4"/>
      <c r="AV195" s="4"/>
      <c r="AW195" s="4"/>
      <c r="AX195" s="4"/>
      <c r="AY195" s="4"/>
      <c r="AZ195" s="4"/>
      <c r="BA195" s="4"/>
      <c r="BB195" s="4"/>
      <c r="BC195" s="4"/>
      <c r="BD195" s="4"/>
      <c r="BE195" s="4"/>
      <c r="BF195" s="4"/>
      <c r="BG195" s="4"/>
    </row>
    <row r="196" ht="15.75" customHeight="1">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O196" s="4"/>
      <c r="AP196" s="4"/>
      <c r="AQ196" s="4"/>
      <c r="AR196" s="4"/>
      <c r="AS196" s="4"/>
      <c r="AT196" s="4"/>
      <c r="AU196" s="4"/>
      <c r="AV196" s="4"/>
      <c r="AW196" s="4"/>
      <c r="AX196" s="4"/>
      <c r="AY196" s="4"/>
      <c r="AZ196" s="4"/>
      <c r="BA196" s="4"/>
      <c r="BB196" s="4"/>
      <c r="BC196" s="4"/>
      <c r="BD196" s="4"/>
      <c r="BE196" s="4"/>
      <c r="BF196" s="4"/>
      <c r="BG196" s="4"/>
    </row>
    <row r="197" ht="15.75" customHeight="1">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O197" s="4"/>
      <c r="AP197" s="4"/>
      <c r="AQ197" s="4"/>
      <c r="AR197" s="4"/>
      <c r="AS197" s="4"/>
      <c r="AT197" s="4"/>
      <c r="AU197" s="4"/>
      <c r="AV197" s="4"/>
      <c r="AW197" s="4"/>
      <c r="AX197" s="4"/>
      <c r="AY197" s="4"/>
      <c r="AZ197" s="4"/>
      <c r="BA197" s="4"/>
      <c r="BB197" s="4"/>
      <c r="BC197" s="4"/>
      <c r="BD197" s="4"/>
      <c r="BE197" s="4"/>
      <c r="BF197" s="4"/>
      <c r="BG197" s="4"/>
    </row>
    <row r="198" ht="15.75" customHeight="1">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O198" s="4"/>
      <c r="AP198" s="4"/>
      <c r="AQ198" s="4"/>
      <c r="AR198" s="4"/>
      <c r="AS198" s="4"/>
      <c r="AT198" s="4"/>
      <c r="AU198" s="4"/>
      <c r="AV198" s="4"/>
      <c r="AW198" s="4"/>
      <c r="AX198" s="4"/>
      <c r="AY198" s="4"/>
      <c r="AZ198" s="4"/>
      <c r="BA198" s="4"/>
      <c r="BB198" s="4"/>
      <c r="BC198" s="4"/>
      <c r="BD198" s="4"/>
      <c r="BE198" s="4"/>
      <c r="BF198" s="4"/>
      <c r="BG198" s="4"/>
    </row>
    <row r="199" ht="15.75" customHeight="1">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O199" s="4"/>
      <c r="AP199" s="4"/>
      <c r="AQ199" s="4"/>
      <c r="AR199" s="4"/>
      <c r="AS199" s="4"/>
      <c r="AT199" s="4"/>
      <c r="AU199" s="4"/>
      <c r="AV199" s="4"/>
      <c r="AW199" s="4"/>
      <c r="AX199" s="4"/>
      <c r="AY199" s="4"/>
      <c r="AZ199" s="4"/>
      <c r="BA199" s="4"/>
      <c r="BB199" s="4"/>
      <c r="BC199" s="4"/>
      <c r="BD199" s="4"/>
      <c r="BE199" s="4"/>
      <c r="BF199" s="4"/>
      <c r="BG199" s="4"/>
    </row>
    <row r="200" ht="15.75" customHeight="1">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O200" s="4"/>
      <c r="AP200" s="4"/>
      <c r="AQ200" s="4"/>
      <c r="AR200" s="4"/>
      <c r="AS200" s="4"/>
      <c r="AT200" s="4"/>
      <c r="AU200" s="4"/>
      <c r="AV200" s="4"/>
      <c r="AW200" s="4"/>
      <c r="AX200" s="4"/>
      <c r="AY200" s="4"/>
      <c r="AZ200" s="4"/>
      <c r="BA200" s="4"/>
      <c r="BB200" s="4"/>
      <c r="BC200" s="4"/>
      <c r="BD200" s="4"/>
      <c r="BE200" s="4"/>
      <c r="BF200" s="4"/>
      <c r="BG200" s="4"/>
    </row>
    <row r="201" ht="15.75" customHeight="1">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O201" s="4"/>
      <c r="AP201" s="4"/>
      <c r="AQ201" s="4"/>
      <c r="AR201" s="4"/>
      <c r="AS201" s="4"/>
      <c r="AT201" s="4"/>
      <c r="AU201" s="4"/>
      <c r="AV201" s="4"/>
      <c r="AW201" s="4"/>
      <c r="AX201" s="4"/>
      <c r="AY201" s="4"/>
      <c r="AZ201" s="4"/>
      <c r="BA201" s="4"/>
      <c r="BB201" s="4"/>
      <c r="BC201" s="4"/>
      <c r="BD201" s="4"/>
      <c r="BE201" s="4"/>
      <c r="BF201" s="4"/>
      <c r="BG201" s="4"/>
    </row>
    <row r="202" ht="15.75" customHeight="1">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O202" s="4"/>
      <c r="AP202" s="4"/>
      <c r="AQ202" s="4"/>
      <c r="AR202" s="4"/>
      <c r="AS202" s="4"/>
      <c r="AT202" s="4"/>
      <c r="AU202" s="4"/>
      <c r="AV202" s="4"/>
      <c r="AW202" s="4"/>
      <c r="AX202" s="4"/>
      <c r="AY202" s="4"/>
      <c r="AZ202" s="4"/>
      <c r="BA202" s="4"/>
      <c r="BB202" s="4"/>
      <c r="BC202" s="4"/>
      <c r="BD202" s="4"/>
      <c r="BE202" s="4"/>
      <c r="BF202" s="4"/>
      <c r="BG202" s="4"/>
    </row>
    <row r="203" ht="15.75" customHeight="1">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O203" s="4"/>
      <c r="AP203" s="4"/>
      <c r="AQ203" s="4"/>
      <c r="AR203" s="4"/>
      <c r="AS203" s="4"/>
      <c r="AT203" s="4"/>
      <c r="AU203" s="4"/>
      <c r="AV203" s="4"/>
      <c r="AW203" s="4"/>
      <c r="AX203" s="4"/>
      <c r="AY203" s="4"/>
      <c r="AZ203" s="4"/>
      <c r="BA203" s="4"/>
      <c r="BB203" s="4"/>
      <c r="BC203" s="4"/>
      <c r="BD203" s="4"/>
      <c r="BE203" s="4"/>
      <c r="BF203" s="4"/>
      <c r="BG203" s="4"/>
    </row>
    <row r="204" ht="15.75" customHeight="1">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O204" s="4"/>
      <c r="AP204" s="4"/>
      <c r="AQ204" s="4"/>
      <c r="AR204" s="4"/>
      <c r="AS204" s="4"/>
      <c r="AT204" s="4"/>
      <c r="AU204" s="4"/>
      <c r="AV204" s="4"/>
      <c r="AW204" s="4"/>
      <c r="AX204" s="4"/>
      <c r="AY204" s="4"/>
      <c r="AZ204" s="4"/>
      <c r="BA204" s="4"/>
      <c r="BB204" s="4"/>
      <c r="BC204" s="4"/>
      <c r="BD204" s="4"/>
      <c r="BE204" s="4"/>
      <c r="BF204" s="4"/>
      <c r="BG204" s="4"/>
    </row>
    <row r="205" ht="15.75" customHeight="1">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O205" s="4"/>
      <c r="AP205" s="4"/>
      <c r="AQ205" s="4"/>
      <c r="AR205" s="4"/>
      <c r="AS205" s="4"/>
      <c r="AT205" s="4"/>
      <c r="AU205" s="4"/>
      <c r="AV205" s="4"/>
      <c r="AW205" s="4"/>
      <c r="AX205" s="4"/>
      <c r="AY205" s="4"/>
      <c r="AZ205" s="4"/>
      <c r="BA205" s="4"/>
      <c r="BB205" s="4"/>
      <c r="BC205" s="4"/>
      <c r="BD205" s="4"/>
      <c r="BE205" s="4"/>
      <c r="BF205" s="4"/>
      <c r="BG205" s="4"/>
    </row>
    <row r="206" ht="15.75" customHeight="1">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O206" s="4"/>
      <c r="AP206" s="4"/>
      <c r="AQ206" s="4"/>
      <c r="AR206" s="4"/>
      <c r="AS206" s="4"/>
      <c r="AT206" s="4"/>
      <c r="AU206" s="4"/>
      <c r="AV206" s="4"/>
      <c r="AW206" s="4"/>
      <c r="AX206" s="4"/>
      <c r="AY206" s="4"/>
      <c r="AZ206" s="4"/>
      <c r="BA206" s="4"/>
      <c r="BB206" s="4"/>
      <c r="BC206" s="4"/>
      <c r="BD206" s="4"/>
      <c r="BE206" s="4"/>
      <c r="BF206" s="4"/>
      <c r="BG206" s="4"/>
    </row>
    <row r="207" ht="15.75" customHeight="1">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O207" s="4"/>
      <c r="AP207" s="4"/>
      <c r="AQ207" s="4"/>
      <c r="AR207" s="4"/>
      <c r="AS207" s="4"/>
      <c r="AT207" s="4"/>
      <c r="AU207" s="4"/>
      <c r="AV207" s="4"/>
      <c r="AW207" s="4"/>
      <c r="AX207" s="4"/>
      <c r="AY207" s="4"/>
      <c r="AZ207" s="4"/>
      <c r="BA207" s="4"/>
      <c r="BB207" s="4"/>
      <c r="BC207" s="4"/>
      <c r="BD207" s="4"/>
      <c r="BE207" s="4"/>
      <c r="BF207" s="4"/>
      <c r="BG207" s="4"/>
    </row>
    <row r="208" ht="15.75" customHeight="1">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O208" s="4"/>
      <c r="AP208" s="4"/>
      <c r="AQ208" s="4"/>
      <c r="AR208" s="4"/>
      <c r="AS208" s="4"/>
      <c r="AT208" s="4"/>
      <c r="AU208" s="4"/>
      <c r="AV208" s="4"/>
      <c r="AW208" s="4"/>
      <c r="AX208" s="4"/>
      <c r="AY208" s="4"/>
      <c r="AZ208" s="4"/>
      <c r="BA208" s="4"/>
      <c r="BB208" s="4"/>
      <c r="BC208" s="4"/>
      <c r="BD208" s="4"/>
      <c r="BE208" s="4"/>
      <c r="BF208" s="4"/>
      <c r="BG208" s="4"/>
    </row>
    <row r="209" ht="15.75" customHeight="1">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O209" s="4"/>
      <c r="AP209" s="4"/>
      <c r="AQ209" s="4"/>
      <c r="AR209" s="4"/>
      <c r="AS209" s="4"/>
      <c r="AT209" s="4"/>
      <c r="AU209" s="4"/>
      <c r="AV209" s="4"/>
      <c r="AW209" s="4"/>
      <c r="AX209" s="4"/>
      <c r="AY209" s="4"/>
      <c r="AZ209" s="4"/>
      <c r="BA209" s="4"/>
      <c r="BB209" s="4"/>
      <c r="BC209" s="4"/>
      <c r="BD209" s="4"/>
      <c r="BE209" s="4"/>
      <c r="BF209" s="4"/>
      <c r="BG209" s="4"/>
    </row>
    <row r="210" ht="15.75" customHeight="1">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O210" s="4"/>
      <c r="AP210" s="4"/>
      <c r="AQ210" s="4"/>
      <c r="AR210" s="4"/>
      <c r="AS210" s="4"/>
      <c r="AT210" s="4"/>
      <c r="AU210" s="4"/>
      <c r="AV210" s="4"/>
      <c r="AW210" s="4"/>
      <c r="AX210" s="4"/>
      <c r="AY210" s="4"/>
      <c r="AZ210" s="4"/>
      <c r="BA210" s="4"/>
      <c r="BB210" s="4"/>
      <c r="BC210" s="4"/>
      <c r="BD210" s="4"/>
      <c r="BE210" s="4"/>
      <c r="BF210" s="4"/>
      <c r="BG210" s="4"/>
    </row>
    <row r="211" ht="15.75" customHeight="1">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O211" s="4"/>
      <c r="AP211" s="4"/>
      <c r="AQ211" s="4"/>
      <c r="AR211" s="4"/>
      <c r="AS211" s="4"/>
      <c r="AT211" s="4"/>
      <c r="AU211" s="4"/>
      <c r="AV211" s="4"/>
      <c r="AW211" s="4"/>
      <c r="AX211" s="4"/>
      <c r="AY211" s="4"/>
      <c r="AZ211" s="4"/>
      <c r="BA211" s="4"/>
      <c r="BB211" s="4"/>
      <c r="BC211" s="4"/>
      <c r="BD211" s="4"/>
      <c r="BE211" s="4"/>
      <c r="BF211" s="4"/>
      <c r="BG211" s="4"/>
    </row>
    <row r="212" ht="15.75" customHeight="1">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O212" s="4"/>
      <c r="AP212" s="4"/>
      <c r="AQ212" s="4"/>
      <c r="AR212" s="4"/>
      <c r="AS212" s="4"/>
      <c r="AT212" s="4"/>
      <c r="AU212" s="4"/>
      <c r="AV212" s="4"/>
      <c r="AW212" s="4"/>
      <c r="AX212" s="4"/>
      <c r="AY212" s="4"/>
      <c r="AZ212" s="4"/>
      <c r="BA212" s="4"/>
      <c r="BB212" s="4"/>
      <c r="BC212" s="4"/>
      <c r="BD212" s="4"/>
      <c r="BE212" s="4"/>
      <c r="BF212" s="4"/>
      <c r="BG212" s="4"/>
    </row>
    <row r="213" ht="15.75" customHeight="1">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O213" s="4"/>
      <c r="AP213" s="4"/>
      <c r="AQ213" s="4"/>
      <c r="AR213" s="4"/>
      <c r="AS213" s="4"/>
      <c r="AT213" s="4"/>
      <c r="AU213" s="4"/>
      <c r="AV213" s="4"/>
      <c r="AW213" s="4"/>
      <c r="AX213" s="4"/>
      <c r="AY213" s="4"/>
      <c r="AZ213" s="4"/>
      <c r="BA213" s="4"/>
      <c r="BB213" s="4"/>
      <c r="BC213" s="4"/>
      <c r="BD213" s="4"/>
      <c r="BE213" s="4"/>
      <c r="BF213" s="4"/>
      <c r="BG213" s="4"/>
    </row>
    <row r="214" ht="15.75" customHeight="1">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O214" s="4"/>
      <c r="AP214" s="4"/>
      <c r="AQ214" s="4"/>
      <c r="AR214" s="4"/>
      <c r="AS214" s="4"/>
      <c r="AT214" s="4"/>
      <c r="AU214" s="4"/>
      <c r="AV214" s="4"/>
      <c r="AW214" s="4"/>
      <c r="AX214" s="4"/>
      <c r="AY214" s="4"/>
      <c r="AZ214" s="4"/>
      <c r="BA214" s="4"/>
      <c r="BB214" s="4"/>
      <c r="BC214" s="4"/>
      <c r="BD214" s="4"/>
      <c r="BE214" s="4"/>
      <c r="BF214" s="4"/>
      <c r="BG214" s="4"/>
    </row>
    <row r="215" ht="15.75" customHeight="1">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O215" s="4"/>
      <c r="AP215" s="4"/>
      <c r="AQ215" s="4"/>
      <c r="AR215" s="4"/>
      <c r="AS215" s="4"/>
      <c r="AT215" s="4"/>
      <c r="AU215" s="4"/>
      <c r="AV215" s="4"/>
      <c r="AW215" s="4"/>
      <c r="AX215" s="4"/>
      <c r="AY215" s="4"/>
      <c r="AZ215" s="4"/>
      <c r="BA215" s="4"/>
      <c r="BB215" s="4"/>
      <c r="BC215" s="4"/>
      <c r="BD215" s="4"/>
      <c r="BE215" s="4"/>
      <c r="BF215" s="4"/>
      <c r="BG215" s="4"/>
    </row>
    <row r="216" ht="15.75" customHeight="1">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O216" s="4"/>
      <c r="AP216" s="4"/>
      <c r="AQ216" s="4"/>
      <c r="AR216" s="4"/>
      <c r="AS216" s="4"/>
      <c r="AT216" s="4"/>
      <c r="AU216" s="4"/>
      <c r="AV216" s="4"/>
      <c r="AW216" s="4"/>
      <c r="AX216" s="4"/>
      <c r="AY216" s="4"/>
      <c r="AZ216" s="4"/>
      <c r="BA216" s="4"/>
      <c r="BB216" s="4"/>
      <c r="BC216" s="4"/>
      <c r="BD216" s="4"/>
      <c r="BE216" s="4"/>
      <c r="BF216" s="4"/>
      <c r="BG216" s="4"/>
    </row>
    <row r="217" ht="15.75" customHeight="1">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O217" s="4"/>
      <c r="AP217" s="4"/>
      <c r="AQ217" s="4"/>
      <c r="AR217" s="4"/>
      <c r="AS217" s="4"/>
      <c r="AT217" s="4"/>
      <c r="AU217" s="4"/>
      <c r="AV217" s="4"/>
      <c r="AW217" s="4"/>
      <c r="AX217" s="4"/>
      <c r="AY217" s="4"/>
      <c r="AZ217" s="4"/>
      <c r="BA217" s="4"/>
      <c r="BB217" s="4"/>
      <c r="BC217" s="4"/>
      <c r="BD217" s="4"/>
      <c r="BE217" s="4"/>
      <c r="BF217" s="4"/>
      <c r="BG217" s="4"/>
    </row>
    <row r="218" ht="15.75" customHeight="1">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O218" s="4"/>
      <c r="AP218" s="4"/>
      <c r="AQ218" s="4"/>
      <c r="AR218" s="4"/>
      <c r="AS218" s="4"/>
      <c r="AT218" s="4"/>
      <c r="AU218" s="4"/>
      <c r="AV218" s="4"/>
      <c r="AW218" s="4"/>
      <c r="AX218" s="4"/>
      <c r="AY218" s="4"/>
      <c r="AZ218" s="4"/>
      <c r="BA218" s="4"/>
      <c r="BB218" s="4"/>
      <c r="BC218" s="4"/>
      <c r="BD218" s="4"/>
      <c r="BE218" s="4"/>
      <c r="BF218" s="4"/>
      <c r="BG218" s="4"/>
    </row>
    <row r="219" ht="15.75" customHeight="1">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O219" s="4"/>
      <c r="AP219" s="4"/>
      <c r="AQ219" s="4"/>
      <c r="AR219" s="4"/>
      <c r="AS219" s="4"/>
      <c r="AT219" s="4"/>
      <c r="AU219" s="4"/>
      <c r="AV219" s="4"/>
      <c r="AW219" s="4"/>
      <c r="AX219" s="4"/>
      <c r="AY219" s="4"/>
      <c r="AZ219" s="4"/>
      <c r="BA219" s="4"/>
      <c r="BB219" s="4"/>
      <c r="BC219" s="4"/>
      <c r="BD219" s="4"/>
      <c r="BE219" s="4"/>
      <c r="BF219" s="4"/>
      <c r="BG219" s="4"/>
    </row>
    <row r="220" ht="15.75" customHeight="1">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O220" s="4"/>
      <c r="AP220" s="4"/>
      <c r="AQ220" s="4"/>
      <c r="AR220" s="4"/>
      <c r="AS220" s="4"/>
      <c r="AT220" s="4"/>
      <c r="AU220" s="4"/>
      <c r="AV220" s="4"/>
      <c r="AW220" s="4"/>
      <c r="AX220" s="4"/>
      <c r="AY220" s="4"/>
      <c r="AZ220" s="4"/>
      <c r="BA220" s="4"/>
      <c r="BB220" s="4"/>
      <c r="BC220" s="4"/>
      <c r="BD220" s="4"/>
      <c r="BE220" s="4"/>
      <c r="BF220" s="4"/>
      <c r="BG220" s="4"/>
    </row>
    <row r="221" ht="15.75" customHeight="1">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O221" s="4"/>
      <c r="AP221" s="4"/>
      <c r="AQ221" s="4"/>
      <c r="AR221" s="4"/>
      <c r="AS221" s="4"/>
      <c r="AT221" s="4"/>
      <c r="AU221" s="4"/>
      <c r="AV221" s="4"/>
      <c r="AW221" s="4"/>
      <c r="AX221" s="4"/>
      <c r="AY221" s="4"/>
      <c r="AZ221" s="4"/>
      <c r="BA221" s="4"/>
      <c r="BB221" s="4"/>
      <c r="BC221" s="4"/>
      <c r="BD221" s="4"/>
      <c r="BE221" s="4"/>
      <c r="BF221" s="4"/>
      <c r="BG221" s="4"/>
    </row>
    <row r="222" ht="15.75" customHeight="1">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O222" s="4"/>
      <c r="AP222" s="4"/>
      <c r="AQ222" s="4"/>
      <c r="AR222" s="4"/>
      <c r="AS222" s="4"/>
      <c r="AT222" s="4"/>
      <c r="AU222" s="4"/>
      <c r="AV222" s="4"/>
      <c r="AW222" s="4"/>
      <c r="AX222" s="4"/>
      <c r="AY222" s="4"/>
      <c r="AZ222" s="4"/>
      <c r="BA222" s="4"/>
      <c r="BB222" s="4"/>
      <c r="BC222" s="4"/>
      <c r="BD222" s="4"/>
      <c r="BE222" s="4"/>
      <c r="BF222" s="4"/>
      <c r="BG222" s="4"/>
    </row>
    <row r="223" ht="15.75" customHeight="1">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O223" s="4"/>
      <c r="AP223" s="4"/>
      <c r="AQ223" s="4"/>
      <c r="AR223" s="4"/>
      <c r="AS223" s="4"/>
      <c r="AT223" s="4"/>
      <c r="AU223" s="4"/>
      <c r="AV223" s="4"/>
      <c r="AW223" s="4"/>
      <c r="AX223" s="4"/>
      <c r="AY223" s="4"/>
      <c r="AZ223" s="4"/>
      <c r="BA223" s="4"/>
      <c r="BB223" s="4"/>
      <c r="BC223" s="4"/>
      <c r="BD223" s="4"/>
      <c r="BE223" s="4"/>
      <c r="BF223" s="4"/>
      <c r="BG223" s="4"/>
    </row>
    <row r="224" ht="15.75" customHeight="1">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O224" s="4"/>
      <c r="AP224" s="4"/>
      <c r="AQ224" s="4"/>
      <c r="AR224" s="4"/>
      <c r="AS224" s="4"/>
      <c r="AT224" s="4"/>
      <c r="AU224" s="4"/>
      <c r="AV224" s="4"/>
      <c r="AW224" s="4"/>
      <c r="AX224" s="4"/>
      <c r="AY224" s="4"/>
      <c r="AZ224" s="4"/>
      <c r="BA224" s="4"/>
      <c r="BB224" s="4"/>
      <c r="BC224" s="4"/>
      <c r="BD224" s="4"/>
      <c r="BE224" s="4"/>
      <c r="BF224" s="4"/>
      <c r="BG224" s="4"/>
    </row>
    <row r="225" ht="15.75" customHeight="1">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O225" s="4"/>
      <c r="AP225" s="4"/>
      <c r="AQ225" s="4"/>
      <c r="AR225" s="4"/>
      <c r="AS225" s="4"/>
      <c r="AT225" s="4"/>
      <c r="AU225" s="4"/>
      <c r="AV225" s="4"/>
      <c r="AW225" s="4"/>
      <c r="AX225" s="4"/>
      <c r="AY225" s="4"/>
      <c r="AZ225" s="4"/>
      <c r="BA225" s="4"/>
      <c r="BB225" s="4"/>
      <c r="BC225" s="4"/>
      <c r="BD225" s="4"/>
      <c r="BE225" s="4"/>
      <c r="BF225" s="4"/>
      <c r="BG225" s="4"/>
    </row>
    <row r="226" ht="15.75" customHeight="1">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O226" s="4"/>
      <c r="AP226" s="4"/>
      <c r="AQ226" s="4"/>
      <c r="AR226" s="4"/>
      <c r="AS226" s="4"/>
      <c r="AT226" s="4"/>
      <c r="AU226" s="4"/>
      <c r="AV226" s="4"/>
      <c r="AW226" s="4"/>
      <c r="AX226" s="4"/>
      <c r="AY226" s="4"/>
      <c r="AZ226" s="4"/>
      <c r="BA226" s="4"/>
      <c r="BB226" s="4"/>
      <c r="BC226" s="4"/>
      <c r="BD226" s="4"/>
      <c r="BE226" s="4"/>
      <c r="BF226" s="4"/>
      <c r="BG226" s="4"/>
    </row>
    <row r="227" ht="15.75" customHeight="1">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O227" s="4"/>
      <c r="AP227" s="4"/>
      <c r="AQ227" s="4"/>
      <c r="AR227" s="4"/>
      <c r="AS227" s="4"/>
      <c r="AT227" s="4"/>
      <c r="AU227" s="4"/>
      <c r="AV227" s="4"/>
      <c r="AW227" s="4"/>
      <c r="AX227" s="4"/>
      <c r="AY227" s="4"/>
      <c r="AZ227" s="4"/>
      <c r="BA227" s="4"/>
      <c r="BB227" s="4"/>
      <c r="BC227" s="4"/>
      <c r="BD227" s="4"/>
      <c r="BE227" s="4"/>
      <c r="BF227" s="4"/>
      <c r="BG227" s="4"/>
    </row>
    <row r="228" ht="15.75" customHeight="1">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O228" s="4"/>
      <c r="AP228" s="4"/>
      <c r="AQ228" s="4"/>
      <c r="AR228" s="4"/>
      <c r="AS228" s="4"/>
      <c r="AT228" s="4"/>
      <c r="AU228" s="4"/>
      <c r="AV228" s="4"/>
      <c r="AW228" s="4"/>
      <c r="AX228" s="4"/>
      <c r="AY228" s="4"/>
      <c r="AZ228" s="4"/>
      <c r="BA228" s="4"/>
      <c r="BB228" s="4"/>
      <c r="BC228" s="4"/>
      <c r="BD228" s="4"/>
      <c r="BE228" s="4"/>
      <c r="BF228" s="4"/>
      <c r="BG228" s="4"/>
    </row>
    <row r="229" ht="15.75" customHeight="1">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O229" s="4"/>
      <c r="AP229" s="4"/>
      <c r="AQ229" s="4"/>
      <c r="AR229" s="4"/>
      <c r="AS229" s="4"/>
      <c r="AT229" s="4"/>
      <c r="AU229" s="4"/>
      <c r="AV229" s="4"/>
      <c r="AW229" s="4"/>
      <c r="AX229" s="4"/>
      <c r="AY229" s="4"/>
      <c r="AZ229" s="4"/>
      <c r="BA229" s="4"/>
      <c r="BB229" s="4"/>
      <c r="BC229" s="4"/>
      <c r="BD229" s="4"/>
      <c r="BE229" s="4"/>
      <c r="BF229" s="4"/>
      <c r="BG229" s="4"/>
    </row>
    <row r="230" ht="15.75" customHeight="1">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O230" s="4"/>
      <c r="AP230" s="4"/>
      <c r="AQ230" s="4"/>
      <c r="AR230" s="4"/>
      <c r="AS230" s="4"/>
      <c r="AT230" s="4"/>
      <c r="AU230" s="4"/>
      <c r="AV230" s="4"/>
      <c r="AW230" s="4"/>
      <c r="AX230" s="4"/>
      <c r="AY230" s="4"/>
      <c r="AZ230" s="4"/>
      <c r="BA230" s="4"/>
      <c r="BB230" s="4"/>
      <c r="BC230" s="4"/>
      <c r="BD230" s="4"/>
      <c r="BE230" s="4"/>
      <c r="BF230" s="4"/>
      <c r="BG230" s="4"/>
    </row>
    <row r="231" ht="15.75" customHeight="1">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O231" s="4"/>
      <c r="AP231" s="4"/>
      <c r="AQ231" s="4"/>
      <c r="AR231" s="4"/>
      <c r="AS231" s="4"/>
      <c r="AT231" s="4"/>
      <c r="AU231" s="4"/>
      <c r="AV231" s="4"/>
      <c r="AW231" s="4"/>
      <c r="AX231" s="4"/>
      <c r="AY231" s="4"/>
      <c r="AZ231" s="4"/>
      <c r="BA231" s="4"/>
      <c r="BB231" s="4"/>
      <c r="BC231" s="4"/>
      <c r="BD231" s="4"/>
      <c r="BE231" s="4"/>
      <c r="BF231" s="4"/>
      <c r="BG231" s="4"/>
    </row>
    <row r="232" ht="15.75" customHeight="1">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O232" s="4"/>
      <c r="AP232" s="4"/>
      <c r="AQ232" s="4"/>
      <c r="AR232" s="4"/>
      <c r="AS232" s="4"/>
      <c r="AT232" s="4"/>
      <c r="AU232" s="4"/>
      <c r="AV232" s="4"/>
      <c r="AW232" s="4"/>
      <c r="AX232" s="4"/>
      <c r="AY232" s="4"/>
      <c r="AZ232" s="4"/>
      <c r="BA232" s="4"/>
      <c r="BB232" s="4"/>
      <c r="BC232" s="4"/>
      <c r="BD232" s="4"/>
      <c r="BE232" s="4"/>
      <c r="BF232" s="4"/>
      <c r="BG232" s="4"/>
    </row>
    <row r="233" ht="15.75" customHeight="1">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O233" s="4"/>
      <c r="AP233" s="4"/>
      <c r="AQ233" s="4"/>
      <c r="AR233" s="4"/>
      <c r="AS233" s="4"/>
      <c r="AT233" s="4"/>
      <c r="AU233" s="4"/>
      <c r="AV233" s="4"/>
      <c r="AW233" s="4"/>
      <c r="AX233" s="4"/>
      <c r="AY233" s="4"/>
      <c r="AZ233" s="4"/>
      <c r="BA233" s="4"/>
      <c r="BB233" s="4"/>
      <c r="BC233" s="4"/>
      <c r="BD233" s="4"/>
      <c r="BE233" s="4"/>
      <c r="BF233" s="4"/>
      <c r="BG233" s="4"/>
    </row>
    <row r="234" ht="15.75" customHeight="1">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O234" s="4"/>
      <c r="AP234" s="4"/>
      <c r="AQ234" s="4"/>
      <c r="AR234" s="4"/>
      <c r="AS234" s="4"/>
      <c r="AT234" s="4"/>
      <c r="AU234" s="4"/>
      <c r="AV234" s="4"/>
      <c r="AW234" s="4"/>
      <c r="AX234" s="4"/>
      <c r="AY234" s="4"/>
      <c r="AZ234" s="4"/>
      <c r="BA234" s="4"/>
      <c r="BB234" s="4"/>
      <c r="BC234" s="4"/>
      <c r="BD234" s="4"/>
      <c r="BE234" s="4"/>
      <c r="BF234" s="4"/>
      <c r="BG234" s="4"/>
    </row>
    <row r="235" ht="15.75" customHeight="1">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O235" s="4"/>
      <c r="AP235" s="4"/>
      <c r="AQ235" s="4"/>
      <c r="AR235" s="4"/>
      <c r="AS235" s="4"/>
      <c r="AT235" s="4"/>
      <c r="AU235" s="4"/>
      <c r="AV235" s="4"/>
      <c r="AW235" s="4"/>
      <c r="AX235" s="4"/>
      <c r="AY235" s="4"/>
      <c r="AZ235" s="4"/>
      <c r="BA235" s="4"/>
      <c r="BB235" s="4"/>
      <c r="BC235" s="4"/>
      <c r="BD235" s="4"/>
      <c r="BE235" s="4"/>
      <c r="BF235" s="4"/>
      <c r="BG235" s="4"/>
    </row>
    <row r="236" ht="15.75" customHeight="1">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O236" s="4"/>
      <c r="AP236" s="4"/>
      <c r="AQ236" s="4"/>
      <c r="AR236" s="4"/>
      <c r="AS236" s="4"/>
      <c r="AT236" s="4"/>
      <c r="AU236" s="4"/>
      <c r="AV236" s="4"/>
      <c r="AW236" s="4"/>
      <c r="AX236" s="4"/>
      <c r="AY236" s="4"/>
      <c r="AZ236" s="4"/>
      <c r="BA236" s="4"/>
      <c r="BB236" s="4"/>
      <c r="BC236" s="4"/>
      <c r="BD236" s="4"/>
      <c r="BE236" s="4"/>
      <c r="BF236" s="4"/>
      <c r="BG236" s="4"/>
    </row>
    <row r="237" ht="15.75" customHeight="1">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O237" s="4"/>
      <c r="AP237" s="4"/>
      <c r="AQ237" s="4"/>
      <c r="AR237" s="4"/>
      <c r="AS237" s="4"/>
      <c r="AT237" s="4"/>
      <c r="AU237" s="4"/>
      <c r="AV237" s="4"/>
      <c r="AW237" s="4"/>
      <c r="AX237" s="4"/>
      <c r="AY237" s="4"/>
      <c r="AZ237" s="4"/>
      <c r="BA237" s="4"/>
      <c r="BB237" s="4"/>
      <c r="BC237" s="4"/>
      <c r="BD237" s="4"/>
      <c r="BE237" s="4"/>
      <c r="BF237" s="4"/>
      <c r="BG237" s="4"/>
    </row>
    <row r="238" ht="15.75" customHeight="1">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O238" s="4"/>
      <c r="AP238" s="4"/>
      <c r="AQ238" s="4"/>
      <c r="AR238" s="4"/>
      <c r="AS238" s="4"/>
      <c r="AT238" s="4"/>
      <c r="AU238" s="4"/>
      <c r="AV238" s="4"/>
      <c r="AW238" s="4"/>
      <c r="AX238" s="4"/>
      <c r="AY238" s="4"/>
      <c r="AZ238" s="4"/>
      <c r="BA238" s="4"/>
      <c r="BB238" s="4"/>
      <c r="BC238" s="4"/>
      <c r="BD238" s="4"/>
      <c r="BE238" s="4"/>
      <c r="BF238" s="4"/>
      <c r="BG238" s="4"/>
    </row>
    <row r="239" ht="15.75" customHeight="1">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O239" s="4"/>
      <c r="AP239" s="4"/>
      <c r="AQ239" s="4"/>
      <c r="AR239" s="4"/>
      <c r="AS239" s="4"/>
      <c r="AT239" s="4"/>
      <c r="AU239" s="4"/>
      <c r="AV239" s="4"/>
      <c r="AW239" s="4"/>
      <c r="AX239" s="4"/>
      <c r="AY239" s="4"/>
      <c r="AZ239" s="4"/>
      <c r="BA239" s="4"/>
      <c r="BB239" s="4"/>
      <c r="BC239" s="4"/>
      <c r="BD239" s="4"/>
      <c r="BE239" s="4"/>
      <c r="BF239" s="4"/>
      <c r="BG239" s="4"/>
    </row>
    <row r="240" ht="15.75" customHeight="1">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O240" s="4"/>
      <c r="AP240" s="4"/>
      <c r="AQ240" s="4"/>
      <c r="AR240" s="4"/>
      <c r="AS240" s="4"/>
      <c r="AT240" s="4"/>
      <c r="AU240" s="4"/>
      <c r="AV240" s="4"/>
      <c r="AW240" s="4"/>
      <c r="AX240" s="4"/>
      <c r="AY240" s="4"/>
      <c r="AZ240" s="4"/>
      <c r="BA240" s="4"/>
      <c r="BB240" s="4"/>
      <c r="BC240" s="4"/>
      <c r="BD240" s="4"/>
      <c r="BE240" s="4"/>
      <c r="BF240" s="4"/>
      <c r="BG240" s="4"/>
    </row>
    <row r="241" ht="15.75" customHeight="1">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O241" s="4"/>
      <c r="AP241" s="4"/>
      <c r="AQ241" s="4"/>
      <c r="AR241" s="4"/>
      <c r="AS241" s="4"/>
      <c r="AT241" s="4"/>
      <c r="AU241" s="4"/>
      <c r="AV241" s="4"/>
      <c r="AW241" s="4"/>
      <c r="AX241" s="4"/>
      <c r="AY241" s="4"/>
      <c r="AZ241" s="4"/>
      <c r="BA241" s="4"/>
      <c r="BB241" s="4"/>
      <c r="BC241" s="4"/>
      <c r="BD241" s="4"/>
      <c r="BE241" s="4"/>
      <c r="BF241" s="4"/>
      <c r="BG241" s="4"/>
    </row>
    <row r="242" ht="15.75" customHeight="1">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O242" s="4"/>
      <c r="AP242" s="4"/>
      <c r="AQ242" s="4"/>
      <c r="AR242" s="4"/>
      <c r="AS242" s="4"/>
      <c r="AT242" s="4"/>
      <c r="AU242" s="4"/>
      <c r="AV242" s="4"/>
      <c r="AW242" s="4"/>
      <c r="AX242" s="4"/>
      <c r="AY242" s="4"/>
      <c r="AZ242" s="4"/>
      <c r="BA242" s="4"/>
      <c r="BB242" s="4"/>
      <c r="BC242" s="4"/>
      <c r="BD242" s="4"/>
      <c r="BE242" s="4"/>
      <c r="BF242" s="4"/>
      <c r="BG242" s="4"/>
    </row>
    <row r="243" ht="15.75" customHeight="1">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O243" s="4"/>
      <c r="AP243" s="4"/>
      <c r="AQ243" s="4"/>
      <c r="AR243" s="4"/>
      <c r="AS243" s="4"/>
      <c r="AT243" s="4"/>
      <c r="AU243" s="4"/>
      <c r="AV243" s="4"/>
      <c r="AW243" s="4"/>
      <c r="AX243" s="4"/>
      <c r="AY243" s="4"/>
      <c r="AZ243" s="4"/>
      <c r="BA243" s="4"/>
      <c r="BB243" s="4"/>
      <c r="BC243" s="4"/>
      <c r="BD243" s="4"/>
      <c r="BE243" s="4"/>
      <c r="BF243" s="4"/>
      <c r="BG243" s="4"/>
    </row>
    <row r="244" ht="15.75" customHeight="1">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O244" s="4"/>
      <c r="AP244" s="4"/>
      <c r="AQ244" s="4"/>
      <c r="AR244" s="4"/>
      <c r="AS244" s="4"/>
      <c r="AT244" s="4"/>
      <c r="AU244" s="4"/>
      <c r="AV244" s="4"/>
      <c r="AW244" s="4"/>
      <c r="AX244" s="4"/>
      <c r="AY244" s="4"/>
      <c r="AZ244" s="4"/>
      <c r="BA244" s="4"/>
      <c r="BB244" s="4"/>
      <c r="BC244" s="4"/>
      <c r="BD244" s="4"/>
      <c r="BE244" s="4"/>
      <c r="BF244" s="4"/>
      <c r="BG244" s="4"/>
    </row>
    <row r="245" ht="15.75" customHeight="1">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O245" s="4"/>
      <c r="AP245" s="4"/>
      <c r="AQ245" s="4"/>
      <c r="AR245" s="4"/>
      <c r="AS245" s="4"/>
      <c r="AT245" s="4"/>
      <c r="AU245" s="4"/>
      <c r="AV245" s="4"/>
      <c r="AW245" s="4"/>
      <c r="AX245" s="4"/>
      <c r="AY245" s="4"/>
      <c r="AZ245" s="4"/>
      <c r="BA245" s="4"/>
      <c r="BB245" s="4"/>
      <c r="BC245" s="4"/>
      <c r="BD245" s="4"/>
      <c r="BE245" s="4"/>
      <c r="BF245" s="4"/>
      <c r="BG245" s="4"/>
    </row>
    <row r="246" ht="15.75" customHeight="1">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O246" s="4"/>
      <c r="AP246" s="4"/>
      <c r="AQ246" s="4"/>
      <c r="AR246" s="4"/>
      <c r="AS246" s="4"/>
      <c r="AT246" s="4"/>
      <c r="AU246" s="4"/>
      <c r="AV246" s="4"/>
      <c r="AW246" s="4"/>
      <c r="AX246" s="4"/>
      <c r="AY246" s="4"/>
      <c r="AZ246" s="4"/>
      <c r="BA246" s="4"/>
      <c r="BB246" s="4"/>
      <c r="BC246" s="4"/>
      <c r="BD246" s="4"/>
      <c r="BE246" s="4"/>
      <c r="BF246" s="4"/>
      <c r="BG246" s="4"/>
    </row>
    <row r="247" ht="15.75" customHeight="1">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O247" s="4"/>
      <c r="AP247" s="4"/>
      <c r="AQ247" s="4"/>
      <c r="AR247" s="4"/>
      <c r="AS247" s="4"/>
      <c r="AT247" s="4"/>
      <c r="AU247" s="4"/>
      <c r="AV247" s="4"/>
      <c r="AW247" s="4"/>
      <c r="AX247" s="4"/>
      <c r="AY247" s="4"/>
      <c r="AZ247" s="4"/>
      <c r="BA247" s="4"/>
      <c r="BB247" s="4"/>
      <c r="BC247" s="4"/>
      <c r="BD247" s="4"/>
      <c r="BE247" s="4"/>
      <c r="BF247" s="4"/>
      <c r="BG247" s="4"/>
    </row>
    <row r="248" ht="15.75" customHeight="1">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O248" s="4"/>
      <c r="AP248" s="4"/>
      <c r="AQ248" s="4"/>
      <c r="AR248" s="4"/>
      <c r="AS248" s="4"/>
      <c r="AT248" s="4"/>
      <c r="AU248" s="4"/>
      <c r="AV248" s="4"/>
      <c r="AW248" s="4"/>
      <c r="AX248" s="4"/>
      <c r="AY248" s="4"/>
      <c r="AZ248" s="4"/>
      <c r="BA248" s="4"/>
      <c r="BB248" s="4"/>
      <c r="BC248" s="4"/>
      <c r="BD248" s="4"/>
      <c r="BE248" s="4"/>
      <c r="BF248" s="4"/>
      <c r="BG248" s="4"/>
    </row>
    <row r="249" ht="15.75" customHeight="1">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O249" s="4"/>
      <c r="AP249" s="4"/>
      <c r="AQ249" s="4"/>
      <c r="AR249" s="4"/>
      <c r="AS249" s="4"/>
      <c r="AT249" s="4"/>
      <c r="AU249" s="4"/>
      <c r="AV249" s="4"/>
      <c r="AW249" s="4"/>
      <c r="AX249" s="4"/>
      <c r="AY249" s="4"/>
      <c r="AZ249" s="4"/>
      <c r="BA249" s="4"/>
      <c r="BB249" s="4"/>
      <c r="BC249" s="4"/>
      <c r="BD249" s="4"/>
      <c r="BE249" s="4"/>
      <c r="BF249" s="4"/>
      <c r="BG249" s="4"/>
    </row>
    <row r="250" ht="15.75" customHeight="1">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O250" s="4"/>
      <c r="AP250" s="4"/>
      <c r="AQ250" s="4"/>
      <c r="AR250" s="4"/>
      <c r="AS250" s="4"/>
      <c r="AT250" s="4"/>
      <c r="AU250" s="4"/>
      <c r="AV250" s="4"/>
      <c r="AW250" s="4"/>
      <c r="AX250" s="4"/>
      <c r="AY250" s="4"/>
      <c r="AZ250" s="4"/>
      <c r="BA250" s="4"/>
      <c r="BB250" s="4"/>
      <c r="BC250" s="4"/>
      <c r="BD250" s="4"/>
      <c r="BE250" s="4"/>
      <c r="BF250" s="4"/>
      <c r="BG250" s="4"/>
    </row>
    <row r="251" ht="15.75" customHeight="1">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O251" s="4"/>
      <c r="AP251" s="4"/>
      <c r="AQ251" s="4"/>
      <c r="AR251" s="4"/>
      <c r="AS251" s="4"/>
      <c r="AT251" s="4"/>
      <c r="AU251" s="4"/>
      <c r="AV251" s="4"/>
      <c r="AW251" s="4"/>
      <c r="AX251" s="4"/>
      <c r="AY251" s="4"/>
      <c r="AZ251" s="4"/>
      <c r="BA251" s="4"/>
      <c r="BB251" s="4"/>
      <c r="BC251" s="4"/>
      <c r="BD251" s="4"/>
      <c r="BE251" s="4"/>
      <c r="BF251" s="4"/>
      <c r="BG251" s="4"/>
    </row>
    <row r="252" ht="15.75" customHeight="1">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O252" s="4"/>
      <c r="AP252" s="4"/>
      <c r="AQ252" s="4"/>
      <c r="AR252" s="4"/>
      <c r="AS252" s="4"/>
      <c r="AT252" s="4"/>
      <c r="AU252" s="4"/>
      <c r="AV252" s="4"/>
      <c r="AW252" s="4"/>
      <c r="AX252" s="4"/>
      <c r="AY252" s="4"/>
      <c r="AZ252" s="4"/>
      <c r="BA252" s="4"/>
      <c r="BB252" s="4"/>
      <c r="BC252" s="4"/>
      <c r="BD252" s="4"/>
      <c r="BE252" s="4"/>
      <c r="BF252" s="4"/>
      <c r="BG252" s="4"/>
    </row>
    <row r="253" ht="15.75" customHeight="1">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O253" s="4"/>
      <c r="AP253" s="4"/>
      <c r="AQ253" s="4"/>
      <c r="AR253" s="4"/>
      <c r="AS253" s="4"/>
      <c r="AT253" s="4"/>
      <c r="AU253" s="4"/>
      <c r="AV253" s="4"/>
      <c r="AW253" s="4"/>
      <c r="AX253" s="4"/>
      <c r="AY253" s="4"/>
      <c r="AZ253" s="4"/>
      <c r="BA253" s="4"/>
      <c r="BB253" s="4"/>
      <c r="BC253" s="4"/>
      <c r="BD253" s="4"/>
      <c r="BE253" s="4"/>
      <c r="BF253" s="4"/>
      <c r="BG253" s="4"/>
    </row>
    <row r="254" ht="15.75" customHeight="1">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O254" s="4"/>
      <c r="AP254" s="4"/>
      <c r="AQ254" s="4"/>
      <c r="AR254" s="4"/>
      <c r="AS254" s="4"/>
      <c r="AT254" s="4"/>
      <c r="AU254" s="4"/>
      <c r="AV254" s="4"/>
      <c r="AW254" s="4"/>
      <c r="AX254" s="4"/>
      <c r="AY254" s="4"/>
      <c r="AZ254" s="4"/>
      <c r="BA254" s="4"/>
      <c r="BB254" s="4"/>
      <c r="BC254" s="4"/>
      <c r="BD254" s="4"/>
      <c r="BE254" s="4"/>
      <c r="BF254" s="4"/>
      <c r="BG254" s="4"/>
    </row>
    <row r="255" ht="15.75" customHeight="1">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O255" s="4"/>
      <c r="AP255" s="4"/>
      <c r="AQ255" s="4"/>
      <c r="AR255" s="4"/>
      <c r="AS255" s="4"/>
      <c r="AT255" s="4"/>
      <c r="AU255" s="4"/>
      <c r="AV255" s="4"/>
      <c r="AW255" s="4"/>
      <c r="AX255" s="4"/>
      <c r="AY255" s="4"/>
      <c r="AZ255" s="4"/>
      <c r="BA255" s="4"/>
      <c r="BB255" s="4"/>
      <c r="BC255" s="4"/>
      <c r="BD255" s="4"/>
      <c r="BE255" s="4"/>
      <c r="BF255" s="4"/>
      <c r="BG255" s="4"/>
    </row>
    <row r="256" ht="15.75" customHeight="1">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O256" s="4"/>
      <c r="AP256" s="4"/>
      <c r="AQ256" s="4"/>
      <c r="AR256" s="4"/>
      <c r="AS256" s="4"/>
      <c r="AT256" s="4"/>
      <c r="AU256" s="4"/>
      <c r="AV256" s="4"/>
      <c r="AW256" s="4"/>
      <c r="AX256" s="4"/>
      <c r="AY256" s="4"/>
      <c r="AZ256" s="4"/>
      <c r="BA256" s="4"/>
      <c r="BB256" s="4"/>
      <c r="BC256" s="4"/>
      <c r="BD256" s="4"/>
      <c r="BE256" s="4"/>
      <c r="BF256" s="4"/>
      <c r="BG256" s="4"/>
    </row>
    <row r="257" ht="15.75" customHeight="1">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O257" s="4"/>
      <c r="AP257" s="4"/>
      <c r="AQ257" s="4"/>
      <c r="AR257" s="4"/>
      <c r="AS257" s="4"/>
      <c r="AT257" s="4"/>
      <c r="AU257" s="4"/>
      <c r="AV257" s="4"/>
      <c r="AW257" s="4"/>
      <c r="AX257" s="4"/>
      <c r="AY257" s="4"/>
      <c r="AZ257" s="4"/>
      <c r="BA257" s="4"/>
      <c r="BB257" s="4"/>
      <c r="BC257" s="4"/>
      <c r="BD257" s="4"/>
      <c r="BE257" s="4"/>
      <c r="BF257" s="4"/>
      <c r="BG257" s="4"/>
    </row>
    <row r="258" ht="15.75" customHeight="1">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O258" s="4"/>
      <c r="AP258" s="4"/>
      <c r="AQ258" s="4"/>
      <c r="AR258" s="4"/>
      <c r="AS258" s="4"/>
      <c r="AT258" s="4"/>
      <c r="AU258" s="4"/>
      <c r="AV258" s="4"/>
      <c r="AW258" s="4"/>
      <c r="AX258" s="4"/>
      <c r="AY258" s="4"/>
      <c r="AZ258" s="4"/>
      <c r="BA258" s="4"/>
      <c r="BB258" s="4"/>
      <c r="BC258" s="4"/>
      <c r="BD258" s="4"/>
      <c r="BE258" s="4"/>
      <c r="BF258" s="4"/>
      <c r="BG258" s="4"/>
    </row>
    <row r="259" ht="15.75" customHeight="1">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O259" s="4"/>
      <c r="AP259" s="4"/>
      <c r="AQ259" s="4"/>
      <c r="AR259" s="4"/>
      <c r="AS259" s="4"/>
      <c r="AT259" s="4"/>
      <c r="AU259" s="4"/>
      <c r="AV259" s="4"/>
      <c r="AW259" s="4"/>
      <c r="AX259" s="4"/>
      <c r="AY259" s="4"/>
      <c r="AZ259" s="4"/>
      <c r="BA259" s="4"/>
      <c r="BB259" s="4"/>
      <c r="BC259" s="4"/>
      <c r="BD259" s="4"/>
      <c r="BE259" s="4"/>
      <c r="BF259" s="4"/>
      <c r="BG259" s="4"/>
    </row>
    <row r="260" ht="15.75" customHeight="1">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O260" s="4"/>
      <c r="AP260" s="4"/>
      <c r="AQ260" s="4"/>
      <c r="AR260" s="4"/>
      <c r="AS260" s="4"/>
      <c r="AT260" s="4"/>
      <c r="AU260" s="4"/>
      <c r="AV260" s="4"/>
      <c r="AW260" s="4"/>
      <c r="AX260" s="4"/>
      <c r="AY260" s="4"/>
      <c r="AZ260" s="4"/>
      <c r="BA260" s="4"/>
      <c r="BB260" s="4"/>
      <c r="BC260" s="4"/>
      <c r="BD260" s="4"/>
      <c r="BE260" s="4"/>
      <c r="BF260" s="4"/>
      <c r="BG260" s="4"/>
    </row>
    <row r="261" ht="15.75" customHeight="1">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O261" s="4"/>
      <c r="AP261" s="4"/>
      <c r="AQ261" s="4"/>
      <c r="AR261" s="4"/>
      <c r="AS261" s="4"/>
      <c r="AT261" s="4"/>
      <c r="AU261" s="4"/>
      <c r="AV261" s="4"/>
      <c r="AW261" s="4"/>
      <c r="AX261" s="4"/>
      <c r="AY261" s="4"/>
      <c r="AZ261" s="4"/>
      <c r="BA261" s="4"/>
      <c r="BB261" s="4"/>
      <c r="BC261" s="4"/>
      <c r="BD261" s="4"/>
      <c r="BE261" s="4"/>
      <c r="BF261" s="4"/>
      <c r="BG261" s="4"/>
    </row>
    <row r="262" ht="15.75" customHeight="1">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O262" s="4"/>
      <c r="AP262" s="4"/>
      <c r="AQ262" s="4"/>
      <c r="AR262" s="4"/>
      <c r="AS262" s="4"/>
      <c r="AT262" s="4"/>
      <c r="AU262" s="4"/>
      <c r="AV262" s="4"/>
      <c r="AW262" s="4"/>
      <c r="AX262" s="4"/>
      <c r="AY262" s="4"/>
      <c r="AZ262" s="4"/>
      <c r="BA262" s="4"/>
      <c r="BB262" s="4"/>
      <c r="BC262" s="4"/>
      <c r="BD262" s="4"/>
      <c r="BE262" s="4"/>
      <c r="BF262" s="4"/>
      <c r="BG262" s="4"/>
    </row>
    <row r="263" ht="15.75" customHeight="1">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O263" s="4"/>
      <c r="AP263" s="4"/>
      <c r="AQ263" s="4"/>
      <c r="AR263" s="4"/>
      <c r="AS263" s="4"/>
      <c r="AT263" s="4"/>
      <c r="AU263" s="4"/>
      <c r="AV263" s="4"/>
      <c r="AW263" s="4"/>
      <c r="AX263" s="4"/>
      <c r="AY263" s="4"/>
      <c r="AZ263" s="4"/>
      <c r="BA263" s="4"/>
      <c r="BB263" s="4"/>
      <c r="BC263" s="4"/>
      <c r="BD263" s="4"/>
      <c r="BE263" s="4"/>
      <c r="BF263" s="4"/>
      <c r="BG263" s="4"/>
    </row>
    <row r="264" ht="15.75" customHeight="1">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O264" s="4"/>
      <c r="AP264" s="4"/>
      <c r="AQ264" s="4"/>
      <c r="AR264" s="4"/>
      <c r="AS264" s="4"/>
      <c r="AT264" s="4"/>
      <c r="AU264" s="4"/>
      <c r="AV264" s="4"/>
      <c r="AW264" s="4"/>
      <c r="AX264" s="4"/>
      <c r="AY264" s="4"/>
      <c r="AZ264" s="4"/>
      <c r="BA264" s="4"/>
      <c r="BB264" s="4"/>
      <c r="BC264" s="4"/>
      <c r="BD264" s="4"/>
      <c r="BE264" s="4"/>
      <c r="BF264" s="4"/>
      <c r="BG264" s="4"/>
    </row>
    <row r="265" ht="15.75" customHeight="1">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O265" s="4"/>
      <c r="AP265" s="4"/>
      <c r="AQ265" s="4"/>
      <c r="AR265" s="4"/>
      <c r="AS265" s="4"/>
      <c r="AT265" s="4"/>
      <c r="AU265" s="4"/>
      <c r="AV265" s="4"/>
      <c r="AW265" s="4"/>
      <c r="AX265" s="4"/>
      <c r="AY265" s="4"/>
      <c r="AZ265" s="4"/>
      <c r="BA265" s="4"/>
      <c r="BB265" s="4"/>
      <c r="BC265" s="4"/>
      <c r="BD265" s="4"/>
      <c r="BE265" s="4"/>
      <c r="BF265" s="4"/>
      <c r="BG265" s="4"/>
    </row>
    <row r="266" ht="15.75" customHeight="1">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O266" s="4"/>
      <c r="AP266" s="4"/>
      <c r="AQ266" s="4"/>
      <c r="AR266" s="4"/>
      <c r="AS266" s="4"/>
      <c r="AT266" s="4"/>
      <c r="AU266" s="4"/>
      <c r="AV266" s="4"/>
      <c r="AW266" s="4"/>
      <c r="AX266" s="4"/>
      <c r="AY266" s="4"/>
      <c r="AZ266" s="4"/>
      <c r="BA266" s="4"/>
      <c r="BB266" s="4"/>
      <c r="BC266" s="4"/>
      <c r="BD266" s="4"/>
      <c r="BE266" s="4"/>
      <c r="BF266" s="4"/>
      <c r="BG266" s="4"/>
    </row>
    <row r="267" ht="15.75" customHeight="1">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O267" s="4"/>
      <c r="AP267" s="4"/>
      <c r="AQ267" s="4"/>
      <c r="AR267" s="4"/>
      <c r="AS267" s="4"/>
      <c r="AT267" s="4"/>
      <c r="AU267" s="4"/>
      <c r="AV267" s="4"/>
      <c r="AW267" s="4"/>
      <c r="AX267" s="4"/>
      <c r="AY267" s="4"/>
      <c r="AZ267" s="4"/>
      <c r="BA267" s="4"/>
      <c r="BB267" s="4"/>
      <c r="BC267" s="4"/>
      <c r="BD267" s="4"/>
      <c r="BE267" s="4"/>
      <c r="BF267" s="4"/>
      <c r="BG267" s="4"/>
    </row>
    <row r="268" ht="15.75" customHeight="1">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O268" s="4"/>
      <c r="AP268" s="4"/>
      <c r="AQ268" s="4"/>
      <c r="AR268" s="4"/>
      <c r="AS268" s="4"/>
      <c r="AT268" s="4"/>
      <c r="AU268" s="4"/>
      <c r="AV268" s="4"/>
      <c r="AW268" s="4"/>
      <c r="AX268" s="4"/>
      <c r="AY268" s="4"/>
      <c r="AZ268" s="4"/>
      <c r="BA268" s="4"/>
      <c r="BB268" s="4"/>
      <c r="BC268" s="4"/>
      <c r="BD268" s="4"/>
      <c r="BE268" s="4"/>
      <c r="BF268" s="4"/>
      <c r="BG268" s="4"/>
    </row>
    <row r="269" ht="15.75" customHeight="1">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O269" s="4"/>
      <c r="AP269" s="4"/>
      <c r="AQ269" s="4"/>
      <c r="AR269" s="4"/>
      <c r="AS269" s="4"/>
      <c r="AT269" s="4"/>
      <c r="AU269" s="4"/>
      <c r="AV269" s="4"/>
      <c r="AW269" s="4"/>
      <c r="AX269" s="4"/>
      <c r="AY269" s="4"/>
      <c r="AZ269" s="4"/>
      <c r="BA269" s="4"/>
      <c r="BB269" s="4"/>
      <c r="BC269" s="4"/>
      <c r="BD269" s="4"/>
      <c r="BE269" s="4"/>
      <c r="BF269" s="4"/>
      <c r="BG269" s="4"/>
    </row>
    <row r="270" ht="15.75" customHeight="1">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O270" s="4"/>
      <c r="AP270" s="4"/>
      <c r="AQ270" s="4"/>
      <c r="AR270" s="4"/>
      <c r="AS270" s="4"/>
      <c r="AT270" s="4"/>
      <c r="AU270" s="4"/>
      <c r="AV270" s="4"/>
      <c r="AW270" s="4"/>
      <c r="AX270" s="4"/>
      <c r="AY270" s="4"/>
      <c r="AZ270" s="4"/>
      <c r="BA270" s="4"/>
      <c r="BB270" s="4"/>
      <c r="BC270" s="4"/>
      <c r="BD270" s="4"/>
      <c r="BE270" s="4"/>
      <c r="BF270" s="4"/>
      <c r="BG270" s="4"/>
    </row>
    <row r="271" ht="15.75" customHeight="1">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O271" s="4"/>
      <c r="AP271" s="4"/>
      <c r="AQ271" s="4"/>
      <c r="AR271" s="4"/>
      <c r="AS271" s="4"/>
      <c r="AT271" s="4"/>
      <c r="AU271" s="4"/>
      <c r="AV271" s="4"/>
      <c r="AW271" s="4"/>
      <c r="AX271" s="4"/>
      <c r="AY271" s="4"/>
      <c r="AZ271" s="4"/>
      <c r="BA271" s="4"/>
      <c r="BB271" s="4"/>
      <c r="BC271" s="4"/>
      <c r="BD271" s="4"/>
      <c r="BE271" s="4"/>
      <c r="BF271" s="4"/>
      <c r="BG271" s="4"/>
    </row>
    <row r="272" ht="15.75" customHeight="1">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O272" s="4"/>
      <c r="AP272" s="4"/>
      <c r="AQ272" s="4"/>
      <c r="AR272" s="4"/>
      <c r="AS272" s="4"/>
      <c r="AT272" s="4"/>
      <c r="AU272" s="4"/>
      <c r="AV272" s="4"/>
      <c r="AW272" s="4"/>
      <c r="AX272" s="4"/>
      <c r="AY272" s="4"/>
      <c r="AZ272" s="4"/>
      <c r="BA272" s="4"/>
      <c r="BB272" s="4"/>
      <c r="BC272" s="4"/>
      <c r="BD272" s="4"/>
      <c r="BE272" s="4"/>
      <c r="BF272" s="4"/>
      <c r="BG272" s="4"/>
    </row>
    <row r="273" ht="15.75" customHeight="1">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O273" s="4"/>
      <c r="AP273" s="4"/>
      <c r="AQ273" s="4"/>
      <c r="AR273" s="4"/>
      <c r="AS273" s="4"/>
      <c r="AT273" s="4"/>
      <c r="AU273" s="4"/>
      <c r="AV273" s="4"/>
      <c r="AW273" s="4"/>
      <c r="AX273" s="4"/>
      <c r="AY273" s="4"/>
      <c r="AZ273" s="4"/>
      <c r="BA273" s="4"/>
      <c r="BB273" s="4"/>
      <c r="BC273" s="4"/>
      <c r="BD273" s="4"/>
      <c r="BE273" s="4"/>
      <c r="BF273" s="4"/>
      <c r="BG273" s="4"/>
    </row>
    <row r="274" ht="15.75" customHeight="1">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O274" s="4"/>
      <c r="AP274" s="4"/>
      <c r="AQ274" s="4"/>
      <c r="AR274" s="4"/>
      <c r="AS274" s="4"/>
      <c r="AT274" s="4"/>
      <c r="AU274" s="4"/>
      <c r="AV274" s="4"/>
      <c r="AW274" s="4"/>
      <c r="AX274" s="4"/>
      <c r="AY274" s="4"/>
      <c r="AZ274" s="4"/>
      <c r="BA274" s="4"/>
      <c r="BB274" s="4"/>
      <c r="BC274" s="4"/>
      <c r="BD274" s="4"/>
      <c r="BE274" s="4"/>
      <c r="BF274" s="4"/>
      <c r="BG274" s="4"/>
    </row>
    <row r="275" ht="15.75" customHeight="1">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O275" s="4"/>
      <c r="AP275" s="4"/>
      <c r="AQ275" s="4"/>
      <c r="AR275" s="4"/>
      <c r="AS275" s="4"/>
      <c r="AT275" s="4"/>
      <c r="AU275" s="4"/>
      <c r="AV275" s="4"/>
      <c r="AW275" s="4"/>
      <c r="AX275" s="4"/>
      <c r="AY275" s="4"/>
      <c r="AZ275" s="4"/>
      <c r="BA275" s="4"/>
      <c r="BB275" s="4"/>
      <c r="BC275" s="4"/>
      <c r="BD275" s="4"/>
      <c r="BE275" s="4"/>
      <c r="BF275" s="4"/>
      <c r="BG275" s="4"/>
    </row>
    <row r="276" ht="15.75" customHeight="1">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O276" s="4"/>
      <c r="AP276" s="4"/>
      <c r="AQ276" s="4"/>
      <c r="AR276" s="4"/>
      <c r="AS276" s="4"/>
      <c r="AT276" s="4"/>
      <c r="AU276" s="4"/>
      <c r="AV276" s="4"/>
      <c r="AW276" s="4"/>
      <c r="AX276" s="4"/>
      <c r="AY276" s="4"/>
      <c r="AZ276" s="4"/>
      <c r="BA276" s="4"/>
      <c r="BB276" s="4"/>
      <c r="BC276" s="4"/>
      <c r="BD276" s="4"/>
      <c r="BE276" s="4"/>
      <c r="BF276" s="4"/>
      <c r="BG276" s="4"/>
    </row>
    <row r="277" ht="15.75" customHeight="1">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O277" s="4"/>
      <c r="AP277" s="4"/>
      <c r="AQ277" s="4"/>
      <c r="AR277" s="4"/>
      <c r="AS277" s="4"/>
      <c r="AT277" s="4"/>
      <c r="AU277" s="4"/>
      <c r="AV277" s="4"/>
      <c r="AW277" s="4"/>
      <c r="AX277" s="4"/>
      <c r="AY277" s="4"/>
      <c r="AZ277" s="4"/>
      <c r="BA277" s="4"/>
      <c r="BB277" s="4"/>
      <c r="BC277" s="4"/>
      <c r="BD277" s="4"/>
      <c r="BE277" s="4"/>
      <c r="BF277" s="4"/>
      <c r="BG277" s="4"/>
    </row>
    <row r="278" ht="15.75" customHeight="1">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O278" s="4"/>
      <c r="AP278" s="4"/>
      <c r="AQ278" s="4"/>
      <c r="AR278" s="4"/>
      <c r="AS278" s="4"/>
      <c r="AT278" s="4"/>
      <c r="AU278" s="4"/>
      <c r="AV278" s="4"/>
      <c r="AW278" s="4"/>
      <c r="AX278" s="4"/>
      <c r="AY278" s="4"/>
      <c r="AZ278" s="4"/>
      <c r="BA278" s="4"/>
      <c r="BB278" s="4"/>
      <c r="BC278" s="4"/>
      <c r="BD278" s="4"/>
      <c r="BE278" s="4"/>
      <c r="BF278" s="4"/>
      <c r="BG278" s="4"/>
    </row>
    <row r="279" ht="15.75" customHeight="1">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O279" s="4"/>
      <c r="AP279" s="4"/>
      <c r="AQ279" s="4"/>
      <c r="AR279" s="4"/>
      <c r="AS279" s="4"/>
      <c r="AT279" s="4"/>
      <c r="AU279" s="4"/>
      <c r="AV279" s="4"/>
      <c r="AW279" s="4"/>
      <c r="AX279" s="4"/>
      <c r="AY279" s="4"/>
      <c r="AZ279" s="4"/>
      <c r="BA279" s="4"/>
      <c r="BB279" s="4"/>
      <c r="BC279" s="4"/>
      <c r="BD279" s="4"/>
      <c r="BE279" s="4"/>
      <c r="BF279" s="4"/>
      <c r="BG279" s="4"/>
    </row>
    <row r="280" ht="15.75" customHeight="1">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O280" s="4"/>
      <c r="AP280" s="4"/>
      <c r="AQ280" s="4"/>
      <c r="AR280" s="4"/>
      <c r="AS280" s="4"/>
      <c r="AT280" s="4"/>
      <c r="AU280" s="4"/>
      <c r="AV280" s="4"/>
      <c r="AW280" s="4"/>
      <c r="AX280" s="4"/>
      <c r="AY280" s="4"/>
      <c r="AZ280" s="4"/>
      <c r="BA280" s="4"/>
      <c r="BB280" s="4"/>
      <c r="BC280" s="4"/>
      <c r="BD280" s="4"/>
      <c r="BE280" s="4"/>
      <c r="BF280" s="4"/>
      <c r="BG280" s="4"/>
    </row>
    <row r="281" ht="15.75" customHeight="1">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O281" s="4"/>
      <c r="AP281" s="4"/>
      <c r="AQ281" s="4"/>
      <c r="AR281" s="4"/>
      <c r="AS281" s="4"/>
      <c r="AT281" s="4"/>
      <c r="AU281" s="4"/>
      <c r="AV281" s="4"/>
      <c r="AW281" s="4"/>
      <c r="AX281" s="4"/>
      <c r="AY281" s="4"/>
      <c r="AZ281" s="4"/>
      <c r="BA281" s="4"/>
      <c r="BB281" s="4"/>
      <c r="BC281" s="4"/>
      <c r="BD281" s="4"/>
      <c r="BE281" s="4"/>
      <c r="BF281" s="4"/>
      <c r="BG281" s="4"/>
    </row>
    <row r="282" ht="15.75" customHeight="1">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O282" s="4"/>
      <c r="AP282" s="4"/>
      <c r="AQ282" s="4"/>
      <c r="AR282" s="4"/>
      <c r="AS282" s="4"/>
      <c r="AT282" s="4"/>
      <c r="AU282" s="4"/>
      <c r="AV282" s="4"/>
      <c r="AW282" s="4"/>
      <c r="AX282" s="4"/>
      <c r="AY282" s="4"/>
      <c r="AZ282" s="4"/>
      <c r="BA282" s="4"/>
      <c r="BB282" s="4"/>
      <c r="BC282" s="4"/>
      <c r="BD282" s="4"/>
      <c r="BE282" s="4"/>
      <c r="BF282" s="4"/>
      <c r="BG282" s="4"/>
    </row>
    <row r="283" ht="15.75" customHeight="1">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O283" s="4"/>
      <c r="AP283" s="4"/>
      <c r="AQ283" s="4"/>
      <c r="AR283" s="4"/>
      <c r="AS283" s="4"/>
      <c r="AT283" s="4"/>
      <c r="AU283" s="4"/>
      <c r="AV283" s="4"/>
      <c r="AW283" s="4"/>
      <c r="AX283" s="4"/>
      <c r="AY283" s="4"/>
      <c r="AZ283" s="4"/>
      <c r="BA283" s="4"/>
      <c r="BB283" s="4"/>
      <c r="BC283" s="4"/>
      <c r="BD283" s="4"/>
      <c r="BE283" s="4"/>
      <c r="BF283" s="4"/>
      <c r="BG283" s="4"/>
    </row>
    <row r="284" ht="15.75" customHeight="1">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O284" s="4"/>
      <c r="AP284" s="4"/>
      <c r="AQ284" s="4"/>
      <c r="AR284" s="4"/>
      <c r="AS284" s="4"/>
      <c r="AT284" s="4"/>
      <c r="AU284" s="4"/>
      <c r="AV284" s="4"/>
      <c r="AW284" s="4"/>
      <c r="AX284" s="4"/>
      <c r="AY284" s="4"/>
      <c r="AZ284" s="4"/>
      <c r="BA284" s="4"/>
      <c r="BB284" s="4"/>
      <c r="BC284" s="4"/>
      <c r="BD284" s="4"/>
      <c r="BE284" s="4"/>
      <c r="BF284" s="4"/>
      <c r="BG284" s="4"/>
    </row>
    <row r="285" ht="15.75" customHeight="1">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O285" s="4"/>
      <c r="AP285" s="4"/>
      <c r="AQ285" s="4"/>
      <c r="AR285" s="4"/>
      <c r="AS285" s="4"/>
      <c r="AT285" s="4"/>
      <c r="AU285" s="4"/>
      <c r="AV285" s="4"/>
      <c r="AW285" s="4"/>
      <c r="AX285" s="4"/>
      <c r="AY285" s="4"/>
      <c r="AZ285" s="4"/>
      <c r="BA285" s="4"/>
      <c r="BB285" s="4"/>
      <c r="BC285" s="4"/>
      <c r="BD285" s="4"/>
      <c r="BE285" s="4"/>
      <c r="BF285" s="4"/>
      <c r="BG285" s="4"/>
    </row>
    <row r="286" ht="15.75" customHeight="1">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O286" s="4"/>
      <c r="AP286" s="4"/>
      <c r="AQ286" s="4"/>
      <c r="AR286" s="4"/>
      <c r="AS286" s="4"/>
      <c r="AT286" s="4"/>
      <c r="AU286" s="4"/>
      <c r="AV286" s="4"/>
      <c r="AW286" s="4"/>
      <c r="AX286" s="4"/>
      <c r="AY286" s="4"/>
      <c r="AZ286" s="4"/>
      <c r="BA286" s="4"/>
      <c r="BB286" s="4"/>
      <c r="BC286" s="4"/>
      <c r="BD286" s="4"/>
      <c r="BE286" s="4"/>
      <c r="BF286" s="4"/>
      <c r="BG286" s="4"/>
    </row>
    <row r="287" ht="15.75" customHeight="1">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O287" s="4"/>
      <c r="AP287" s="4"/>
      <c r="AQ287" s="4"/>
      <c r="AR287" s="4"/>
      <c r="AS287" s="4"/>
      <c r="AT287" s="4"/>
      <c r="AU287" s="4"/>
      <c r="AV287" s="4"/>
      <c r="AW287" s="4"/>
      <c r="AX287" s="4"/>
      <c r="AY287" s="4"/>
      <c r="AZ287" s="4"/>
      <c r="BA287" s="4"/>
      <c r="BB287" s="4"/>
      <c r="BC287" s="4"/>
      <c r="BD287" s="4"/>
      <c r="BE287" s="4"/>
      <c r="BF287" s="4"/>
      <c r="BG287" s="4"/>
    </row>
    <row r="288" ht="15.75" customHeight="1">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O288" s="4"/>
      <c r="AP288" s="4"/>
      <c r="AQ288" s="4"/>
      <c r="AR288" s="4"/>
      <c r="AS288" s="4"/>
      <c r="AT288" s="4"/>
      <c r="AU288" s="4"/>
      <c r="AV288" s="4"/>
      <c r="AW288" s="4"/>
      <c r="AX288" s="4"/>
      <c r="AY288" s="4"/>
      <c r="AZ288" s="4"/>
      <c r="BA288" s="4"/>
      <c r="BB288" s="4"/>
      <c r="BC288" s="4"/>
      <c r="BD288" s="4"/>
      <c r="BE288" s="4"/>
      <c r="BF288" s="4"/>
      <c r="BG288" s="4"/>
    </row>
    <row r="289" ht="15.75" customHeight="1">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O289" s="4"/>
      <c r="AP289" s="4"/>
      <c r="AQ289" s="4"/>
      <c r="AR289" s="4"/>
      <c r="AS289" s="4"/>
      <c r="AT289" s="4"/>
      <c r="AU289" s="4"/>
      <c r="AV289" s="4"/>
      <c r="AW289" s="4"/>
      <c r="AX289" s="4"/>
      <c r="AY289" s="4"/>
      <c r="AZ289" s="4"/>
      <c r="BA289" s="4"/>
      <c r="BB289" s="4"/>
      <c r="BC289" s="4"/>
      <c r="BD289" s="4"/>
      <c r="BE289" s="4"/>
      <c r="BF289" s="4"/>
      <c r="BG289" s="4"/>
    </row>
    <row r="290" ht="15.75" customHeight="1">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O290" s="4"/>
      <c r="AP290" s="4"/>
      <c r="AQ290" s="4"/>
      <c r="AR290" s="4"/>
      <c r="AS290" s="4"/>
      <c r="AT290" s="4"/>
      <c r="AU290" s="4"/>
      <c r="AV290" s="4"/>
      <c r="AW290" s="4"/>
      <c r="AX290" s="4"/>
      <c r="AY290" s="4"/>
      <c r="AZ290" s="4"/>
      <c r="BA290" s="4"/>
      <c r="BB290" s="4"/>
      <c r="BC290" s="4"/>
      <c r="BD290" s="4"/>
      <c r="BE290" s="4"/>
      <c r="BF290" s="4"/>
      <c r="BG290" s="4"/>
    </row>
    <row r="291" ht="15.75" customHeight="1">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O291" s="4"/>
      <c r="AP291" s="4"/>
      <c r="AQ291" s="4"/>
      <c r="AR291" s="4"/>
      <c r="AS291" s="4"/>
      <c r="AT291" s="4"/>
      <c r="AU291" s="4"/>
      <c r="AV291" s="4"/>
      <c r="AW291" s="4"/>
      <c r="AX291" s="4"/>
      <c r="AY291" s="4"/>
      <c r="AZ291" s="4"/>
      <c r="BA291" s="4"/>
      <c r="BB291" s="4"/>
      <c r="BC291" s="4"/>
      <c r="BD291" s="4"/>
      <c r="BE291" s="4"/>
      <c r="BF291" s="4"/>
      <c r="BG291" s="4"/>
    </row>
    <row r="292" ht="15.75" customHeight="1">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O292" s="4"/>
      <c r="AP292" s="4"/>
      <c r="AQ292" s="4"/>
      <c r="AR292" s="4"/>
      <c r="AS292" s="4"/>
      <c r="AT292" s="4"/>
      <c r="AU292" s="4"/>
      <c r="AV292" s="4"/>
      <c r="AW292" s="4"/>
      <c r="AX292" s="4"/>
      <c r="AY292" s="4"/>
      <c r="AZ292" s="4"/>
      <c r="BA292" s="4"/>
      <c r="BB292" s="4"/>
      <c r="BC292" s="4"/>
      <c r="BD292" s="4"/>
      <c r="BE292" s="4"/>
      <c r="BF292" s="4"/>
      <c r="BG292" s="4"/>
    </row>
    <row r="293" ht="15.75" customHeight="1">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O293" s="4"/>
      <c r="AP293" s="4"/>
      <c r="AQ293" s="4"/>
      <c r="AR293" s="4"/>
      <c r="AS293" s="4"/>
      <c r="AT293" s="4"/>
      <c r="AU293" s="4"/>
      <c r="AV293" s="4"/>
      <c r="AW293" s="4"/>
      <c r="AX293" s="4"/>
      <c r="AY293" s="4"/>
      <c r="AZ293" s="4"/>
      <c r="BA293" s="4"/>
      <c r="BB293" s="4"/>
      <c r="BC293" s="4"/>
      <c r="BD293" s="4"/>
      <c r="BE293" s="4"/>
      <c r="BF293" s="4"/>
      <c r="BG293" s="4"/>
    </row>
    <row r="294" ht="15.75" customHeight="1">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O294" s="4"/>
      <c r="AP294" s="4"/>
      <c r="AQ294" s="4"/>
      <c r="AR294" s="4"/>
      <c r="AS294" s="4"/>
      <c r="AT294" s="4"/>
      <c r="AU294" s="4"/>
      <c r="AV294" s="4"/>
      <c r="AW294" s="4"/>
      <c r="AX294" s="4"/>
      <c r="AY294" s="4"/>
      <c r="AZ294" s="4"/>
      <c r="BA294" s="4"/>
      <c r="BB294" s="4"/>
      <c r="BC294" s="4"/>
      <c r="BD294" s="4"/>
      <c r="BE294" s="4"/>
      <c r="BF294" s="4"/>
      <c r="BG294" s="4"/>
    </row>
    <row r="295" ht="15.75" customHeight="1">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O295" s="4"/>
      <c r="AP295" s="4"/>
      <c r="AQ295" s="4"/>
      <c r="AR295" s="4"/>
      <c r="AS295" s="4"/>
      <c r="AT295" s="4"/>
      <c r="AU295" s="4"/>
      <c r="AV295" s="4"/>
      <c r="AW295" s="4"/>
      <c r="AX295" s="4"/>
      <c r="AY295" s="4"/>
      <c r="AZ295" s="4"/>
      <c r="BA295" s="4"/>
      <c r="BB295" s="4"/>
      <c r="BC295" s="4"/>
      <c r="BD295" s="4"/>
      <c r="BE295" s="4"/>
      <c r="BF295" s="4"/>
      <c r="BG295" s="4"/>
    </row>
    <row r="296" ht="15.75" customHeight="1">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O296" s="4"/>
      <c r="AP296" s="4"/>
      <c r="AQ296" s="4"/>
      <c r="AR296" s="4"/>
      <c r="AS296" s="4"/>
      <c r="AT296" s="4"/>
      <c r="AU296" s="4"/>
      <c r="AV296" s="4"/>
      <c r="AW296" s="4"/>
      <c r="AX296" s="4"/>
      <c r="AY296" s="4"/>
      <c r="AZ296" s="4"/>
      <c r="BA296" s="4"/>
      <c r="BB296" s="4"/>
      <c r="BC296" s="4"/>
      <c r="BD296" s="4"/>
      <c r="BE296" s="4"/>
      <c r="BF296" s="4"/>
      <c r="BG296" s="4"/>
    </row>
    <row r="297" ht="15.75" customHeight="1">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O297" s="4"/>
      <c r="AP297" s="4"/>
      <c r="AQ297" s="4"/>
      <c r="AR297" s="4"/>
      <c r="AS297" s="4"/>
      <c r="AT297" s="4"/>
      <c r="AU297" s="4"/>
      <c r="AV297" s="4"/>
      <c r="AW297" s="4"/>
      <c r="AX297" s="4"/>
      <c r="AY297" s="4"/>
      <c r="AZ297" s="4"/>
      <c r="BA297" s="4"/>
      <c r="BB297" s="4"/>
      <c r="BC297" s="4"/>
      <c r="BD297" s="4"/>
      <c r="BE297" s="4"/>
      <c r="BF297" s="4"/>
      <c r="BG297" s="4"/>
    </row>
    <row r="298" ht="15.75" customHeight="1">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O298" s="4"/>
      <c r="AP298" s="4"/>
      <c r="AQ298" s="4"/>
      <c r="AR298" s="4"/>
      <c r="AS298" s="4"/>
      <c r="AT298" s="4"/>
      <c r="AU298" s="4"/>
      <c r="AV298" s="4"/>
      <c r="AW298" s="4"/>
      <c r="AX298" s="4"/>
      <c r="AY298" s="4"/>
      <c r="AZ298" s="4"/>
      <c r="BA298" s="4"/>
      <c r="BB298" s="4"/>
      <c r="BC298" s="4"/>
      <c r="BD298" s="4"/>
      <c r="BE298" s="4"/>
      <c r="BF298" s="4"/>
      <c r="BG298" s="4"/>
    </row>
    <row r="299" ht="15.75" customHeight="1">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O299" s="4"/>
      <c r="AP299" s="4"/>
      <c r="AQ299" s="4"/>
      <c r="AR299" s="4"/>
      <c r="AS299" s="4"/>
      <c r="AT299" s="4"/>
      <c r="AU299" s="4"/>
      <c r="AV299" s="4"/>
      <c r="AW299" s="4"/>
      <c r="AX299" s="4"/>
      <c r="AY299" s="4"/>
      <c r="AZ299" s="4"/>
      <c r="BA299" s="4"/>
      <c r="BB299" s="4"/>
      <c r="BC299" s="4"/>
      <c r="BD299" s="4"/>
      <c r="BE299" s="4"/>
      <c r="BF299" s="4"/>
      <c r="BG299" s="4"/>
    </row>
    <row r="300" ht="15.75" customHeight="1">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O300" s="4"/>
      <c r="AP300" s="4"/>
      <c r="AQ300" s="4"/>
      <c r="AR300" s="4"/>
      <c r="AS300" s="4"/>
      <c r="AT300" s="4"/>
      <c r="AU300" s="4"/>
      <c r="AV300" s="4"/>
      <c r="AW300" s="4"/>
      <c r="AX300" s="4"/>
      <c r="AY300" s="4"/>
      <c r="AZ300" s="4"/>
      <c r="BA300" s="4"/>
      <c r="BB300" s="4"/>
      <c r="BC300" s="4"/>
      <c r="BD300" s="4"/>
      <c r="BE300" s="4"/>
      <c r="BF300" s="4"/>
      <c r="BG300" s="4"/>
    </row>
    <row r="301" ht="15.75" customHeight="1">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O301" s="4"/>
      <c r="AP301" s="4"/>
      <c r="AQ301" s="4"/>
      <c r="AR301" s="4"/>
      <c r="AS301" s="4"/>
      <c r="AT301" s="4"/>
      <c r="AU301" s="4"/>
      <c r="AV301" s="4"/>
      <c r="AW301" s="4"/>
      <c r="AX301" s="4"/>
      <c r="AY301" s="4"/>
      <c r="AZ301" s="4"/>
      <c r="BA301" s="4"/>
      <c r="BB301" s="4"/>
      <c r="BC301" s="4"/>
      <c r="BD301" s="4"/>
      <c r="BE301" s="4"/>
      <c r="BF301" s="4"/>
      <c r="BG301" s="4"/>
    </row>
    <row r="302" ht="15.75" customHeight="1">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O302" s="4"/>
      <c r="AP302" s="4"/>
      <c r="AQ302" s="4"/>
      <c r="AR302" s="4"/>
      <c r="AS302" s="4"/>
      <c r="AT302" s="4"/>
      <c r="AU302" s="4"/>
      <c r="AV302" s="4"/>
      <c r="AW302" s="4"/>
      <c r="AX302" s="4"/>
      <c r="AY302" s="4"/>
      <c r="AZ302" s="4"/>
      <c r="BA302" s="4"/>
      <c r="BB302" s="4"/>
      <c r="BC302" s="4"/>
      <c r="BD302" s="4"/>
      <c r="BE302" s="4"/>
      <c r="BF302" s="4"/>
      <c r="BG302" s="4"/>
    </row>
    <row r="303" ht="15.75" customHeight="1">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O303" s="4"/>
      <c r="AP303" s="4"/>
      <c r="AQ303" s="4"/>
      <c r="AR303" s="4"/>
      <c r="AS303" s="4"/>
      <c r="AT303" s="4"/>
      <c r="AU303" s="4"/>
      <c r="AV303" s="4"/>
      <c r="AW303" s="4"/>
      <c r="AX303" s="4"/>
      <c r="AY303" s="4"/>
      <c r="AZ303" s="4"/>
      <c r="BA303" s="4"/>
      <c r="BB303" s="4"/>
      <c r="BC303" s="4"/>
      <c r="BD303" s="4"/>
      <c r="BE303" s="4"/>
      <c r="BF303" s="4"/>
      <c r="BG303" s="4"/>
    </row>
    <row r="304" ht="15.75" customHeight="1">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O304" s="4"/>
      <c r="AP304" s="4"/>
      <c r="AQ304" s="4"/>
      <c r="AR304" s="4"/>
      <c r="AS304" s="4"/>
      <c r="AT304" s="4"/>
      <c r="AU304" s="4"/>
      <c r="AV304" s="4"/>
      <c r="AW304" s="4"/>
      <c r="AX304" s="4"/>
      <c r="AY304" s="4"/>
      <c r="AZ304" s="4"/>
      <c r="BA304" s="4"/>
      <c r="BB304" s="4"/>
      <c r="BC304" s="4"/>
      <c r="BD304" s="4"/>
      <c r="BE304" s="4"/>
      <c r="BF304" s="4"/>
      <c r="BG304" s="4"/>
    </row>
    <row r="305" ht="15.75" customHeight="1">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O305" s="4"/>
      <c r="AP305" s="4"/>
      <c r="AQ305" s="4"/>
      <c r="AR305" s="4"/>
      <c r="AS305" s="4"/>
      <c r="AT305" s="4"/>
      <c r="AU305" s="4"/>
      <c r="AV305" s="4"/>
      <c r="AW305" s="4"/>
      <c r="AX305" s="4"/>
      <c r="AY305" s="4"/>
      <c r="AZ305" s="4"/>
      <c r="BA305" s="4"/>
      <c r="BB305" s="4"/>
      <c r="BC305" s="4"/>
      <c r="BD305" s="4"/>
      <c r="BE305" s="4"/>
      <c r="BF305" s="4"/>
      <c r="BG305" s="4"/>
    </row>
    <row r="306" ht="15.75" customHeight="1">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O306" s="4"/>
      <c r="AP306" s="4"/>
      <c r="AQ306" s="4"/>
      <c r="AR306" s="4"/>
      <c r="AS306" s="4"/>
      <c r="AT306" s="4"/>
      <c r="AU306" s="4"/>
      <c r="AV306" s="4"/>
      <c r="AW306" s="4"/>
      <c r="AX306" s="4"/>
      <c r="AY306" s="4"/>
      <c r="AZ306" s="4"/>
      <c r="BA306" s="4"/>
      <c r="BB306" s="4"/>
      <c r="BC306" s="4"/>
      <c r="BD306" s="4"/>
      <c r="BE306" s="4"/>
      <c r="BF306" s="4"/>
      <c r="BG306" s="4"/>
    </row>
    <row r="307" ht="15.75" customHeight="1">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O307" s="4"/>
      <c r="AP307" s="4"/>
      <c r="AQ307" s="4"/>
      <c r="AR307" s="4"/>
      <c r="AS307" s="4"/>
      <c r="AT307" s="4"/>
      <c r="AU307" s="4"/>
      <c r="AV307" s="4"/>
      <c r="AW307" s="4"/>
      <c r="AX307" s="4"/>
      <c r="AY307" s="4"/>
      <c r="AZ307" s="4"/>
      <c r="BA307" s="4"/>
      <c r="BB307" s="4"/>
      <c r="BC307" s="4"/>
      <c r="BD307" s="4"/>
      <c r="BE307" s="4"/>
      <c r="BF307" s="4"/>
      <c r="BG307" s="4"/>
    </row>
    <row r="308" ht="15.75" customHeight="1">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O308" s="4"/>
      <c r="AP308" s="4"/>
      <c r="AQ308" s="4"/>
      <c r="AR308" s="4"/>
      <c r="AS308" s="4"/>
      <c r="AT308" s="4"/>
      <c r="AU308" s="4"/>
      <c r="AV308" s="4"/>
      <c r="AW308" s="4"/>
      <c r="AX308" s="4"/>
      <c r="AY308" s="4"/>
      <c r="AZ308" s="4"/>
      <c r="BA308" s="4"/>
      <c r="BB308" s="4"/>
      <c r="BC308" s="4"/>
      <c r="BD308" s="4"/>
      <c r="BE308" s="4"/>
      <c r="BF308" s="4"/>
      <c r="BG308" s="4"/>
    </row>
    <row r="309" ht="15.75" customHeight="1">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O309" s="4"/>
      <c r="AP309" s="4"/>
      <c r="AQ309" s="4"/>
      <c r="AR309" s="4"/>
      <c r="AS309" s="4"/>
      <c r="AT309" s="4"/>
      <c r="AU309" s="4"/>
      <c r="AV309" s="4"/>
      <c r="AW309" s="4"/>
      <c r="AX309" s="4"/>
      <c r="AY309" s="4"/>
      <c r="AZ309" s="4"/>
      <c r="BA309" s="4"/>
      <c r="BB309" s="4"/>
      <c r="BC309" s="4"/>
      <c r="BD309" s="4"/>
      <c r="BE309" s="4"/>
      <c r="BF309" s="4"/>
      <c r="BG309" s="4"/>
    </row>
    <row r="310" ht="15.75" customHeight="1">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O310" s="4"/>
      <c r="AP310" s="4"/>
      <c r="AQ310" s="4"/>
      <c r="AR310" s="4"/>
      <c r="AS310" s="4"/>
      <c r="AT310" s="4"/>
      <c r="AU310" s="4"/>
      <c r="AV310" s="4"/>
      <c r="AW310" s="4"/>
      <c r="AX310" s="4"/>
      <c r="AY310" s="4"/>
      <c r="AZ310" s="4"/>
      <c r="BA310" s="4"/>
      <c r="BB310" s="4"/>
      <c r="BC310" s="4"/>
      <c r="BD310" s="4"/>
      <c r="BE310" s="4"/>
      <c r="BF310" s="4"/>
      <c r="BG310" s="4"/>
    </row>
    <row r="311" ht="15.75" customHeight="1">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O311" s="4"/>
      <c r="AP311" s="4"/>
      <c r="AQ311" s="4"/>
      <c r="AR311" s="4"/>
      <c r="AS311" s="4"/>
      <c r="AT311" s="4"/>
      <c r="AU311" s="4"/>
      <c r="AV311" s="4"/>
      <c r="AW311" s="4"/>
      <c r="AX311" s="4"/>
      <c r="AY311" s="4"/>
      <c r="AZ311" s="4"/>
      <c r="BA311" s="4"/>
      <c r="BB311" s="4"/>
      <c r="BC311" s="4"/>
      <c r="BD311" s="4"/>
      <c r="BE311" s="4"/>
      <c r="BF311" s="4"/>
      <c r="BG311" s="4"/>
    </row>
    <row r="312" ht="15.75" customHeight="1">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O312" s="4"/>
      <c r="AP312" s="4"/>
      <c r="AQ312" s="4"/>
      <c r="AR312" s="4"/>
      <c r="AS312" s="4"/>
      <c r="AT312" s="4"/>
      <c r="AU312" s="4"/>
      <c r="AV312" s="4"/>
      <c r="AW312" s="4"/>
      <c r="AX312" s="4"/>
      <c r="AY312" s="4"/>
      <c r="AZ312" s="4"/>
      <c r="BA312" s="4"/>
      <c r="BB312" s="4"/>
      <c r="BC312" s="4"/>
      <c r="BD312" s="4"/>
      <c r="BE312" s="4"/>
      <c r="BF312" s="4"/>
      <c r="BG312" s="4"/>
    </row>
    <row r="313" ht="15.75" customHeight="1">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O313" s="4"/>
      <c r="AP313" s="4"/>
      <c r="AQ313" s="4"/>
      <c r="AR313" s="4"/>
      <c r="AS313" s="4"/>
      <c r="AT313" s="4"/>
      <c r="AU313" s="4"/>
      <c r="AV313" s="4"/>
      <c r="AW313" s="4"/>
      <c r="AX313" s="4"/>
      <c r="AY313" s="4"/>
      <c r="AZ313" s="4"/>
      <c r="BA313" s="4"/>
      <c r="BB313" s="4"/>
      <c r="BC313" s="4"/>
      <c r="BD313" s="4"/>
      <c r="BE313" s="4"/>
      <c r="BF313" s="4"/>
      <c r="BG313" s="4"/>
    </row>
    <row r="314" ht="15.75" customHeight="1">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O314" s="4"/>
      <c r="AP314" s="4"/>
      <c r="AQ314" s="4"/>
      <c r="AR314" s="4"/>
      <c r="AS314" s="4"/>
      <c r="AT314" s="4"/>
      <c r="AU314" s="4"/>
      <c r="AV314" s="4"/>
      <c r="AW314" s="4"/>
      <c r="AX314" s="4"/>
      <c r="AY314" s="4"/>
      <c r="AZ314" s="4"/>
      <c r="BA314" s="4"/>
      <c r="BB314" s="4"/>
      <c r="BC314" s="4"/>
      <c r="BD314" s="4"/>
      <c r="BE314" s="4"/>
      <c r="BF314" s="4"/>
      <c r="BG314" s="4"/>
    </row>
    <row r="315" ht="15.75" customHeight="1">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O315" s="4"/>
      <c r="AP315" s="4"/>
      <c r="AQ315" s="4"/>
      <c r="AR315" s="4"/>
      <c r="AS315" s="4"/>
      <c r="AT315" s="4"/>
      <c r="AU315" s="4"/>
      <c r="AV315" s="4"/>
      <c r="AW315" s="4"/>
      <c r="AX315" s="4"/>
      <c r="AY315" s="4"/>
      <c r="AZ315" s="4"/>
      <c r="BA315" s="4"/>
      <c r="BB315" s="4"/>
      <c r="BC315" s="4"/>
      <c r="BD315" s="4"/>
      <c r="BE315" s="4"/>
      <c r="BF315" s="4"/>
      <c r="BG315" s="4"/>
    </row>
    <row r="316" ht="15.75" customHeight="1">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O316" s="4"/>
      <c r="AP316" s="4"/>
      <c r="AQ316" s="4"/>
      <c r="AR316" s="4"/>
      <c r="AS316" s="4"/>
      <c r="AT316" s="4"/>
      <c r="AU316" s="4"/>
      <c r="AV316" s="4"/>
      <c r="AW316" s="4"/>
      <c r="AX316" s="4"/>
      <c r="AY316" s="4"/>
      <c r="AZ316" s="4"/>
      <c r="BA316" s="4"/>
      <c r="BB316" s="4"/>
      <c r="BC316" s="4"/>
      <c r="BD316" s="4"/>
      <c r="BE316" s="4"/>
      <c r="BF316" s="4"/>
      <c r="BG316" s="4"/>
    </row>
    <row r="317" ht="15.75" customHeight="1">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O317" s="4"/>
      <c r="AP317" s="4"/>
      <c r="AQ317" s="4"/>
      <c r="AR317" s="4"/>
      <c r="AS317" s="4"/>
      <c r="AT317" s="4"/>
      <c r="AU317" s="4"/>
      <c r="AV317" s="4"/>
      <c r="AW317" s="4"/>
      <c r="AX317" s="4"/>
      <c r="AY317" s="4"/>
      <c r="AZ317" s="4"/>
      <c r="BA317" s="4"/>
      <c r="BB317" s="4"/>
      <c r="BC317" s="4"/>
      <c r="BD317" s="4"/>
      <c r="BE317" s="4"/>
      <c r="BF317" s="4"/>
      <c r="BG317" s="4"/>
    </row>
    <row r="318" ht="15.75" customHeight="1">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O318" s="4"/>
      <c r="AP318" s="4"/>
      <c r="AQ318" s="4"/>
      <c r="AR318" s="4"/>
      <c r="AS318" s="4"/>
      <c r="AT318" s="4"/>
      <c r="AU318" s="4"/>
      <c r="AV318" s="4"/>
      <c r="AW318" s="4"/>
      <c r="AX318" s="4"/>
      <c r="AY318" s="4"/>
      <c r="AZ318" s="4"/>
      <c r="BA318" s="4"/>
      <c r="BB318" s="4"/>
      <c r="BC318" s="4"/>
      <c r="BD318" s="4"/>
      <c r="BE318" s="4"/>
      <c r="BF318" s="4"/>
      <c r="BG318" s="4"/>
    </row>
    <row r="319" ht="15.75" customHeight="1">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O319" s="4"/>
      <c r="AP319" s="4"/>
      <c r="AQ319" s="4"/>
      <c r="AR319" s="4"/>
      <c r="AS319" s="4"/>
      <c r="AT319" s="4"/>
      <c r="AU319" s="4"/>
      <c r="AV319" s="4"/>
      <c r="AW319" s="4"/>
      <c r="AX319" s="4"/>
      <c r="AY319" s="4"/>
      <c r="AZ319" s="4"/>
      <c r="BA319" s="4"/>
      <c r="BB319" s="4"/>
      <c r="BC319" s="4"/>
      <c r="BD319" s="4"/>
      <c r="BE319" s="4"/>
      <c r="BF319" s="4"/>
      <c r="BG319" s="4"/>
    </row>
    <row r="320" ht="15.75" customHeight="1">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O320" s="4"/>
      <c r="AP320" s="4"/>
      <c r="AQ320" s="4"/>
      <c r="AR320" s="4"/>
      <c r="AS320" s="4"/>
      <c r="AT320" s="4"/>
      <c r="AU320" s="4"/>
      <c r="AV320" s="4"/>
      <c r="AW320" s="4"/>
      <c r="AX320" s="4"/>
      <c r="AY320" s="4"/>
      <c r="AZ320" s="4"/>
      <c r="BA320" s="4"/>
      <c r="BB320" s="4"/>
      <c r="BC320" s="4"/>
      <c r="BD320" s="4"/>
      <c r="BE320" s="4"/>
      <c r="BF320" s="4"/>
      <c r="BG320" s="4"/>
    </row>
    <row r="321" ht="15.75" customHeight="1">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O321" s="4"/>
      <c r="AP321" s="4"/>
      <c r="AQ321" s="4"/>
      <c r="AR321" s="4"/>
      <c r="AS321" s="4"/>
      <c r="AT321" s="4"/>
      <c r="AU321" s="4"/>
      <c r="AV321" s="4"/>
      <c r="AW321" s="4"/>
      <c r="AX321" s="4"/>
      <c r="AY321" s="4"/>
      <c r="AZ321" s="4"/>
      <c r="BA321" s="4"/>
      <c r="BB321" s="4"/>
      <c r="BC321" s="4"/>
      <c r="BD321" s="4"/>
      <c r="BE321" s="4"/>
      <c r="BF321" s="4"/>
      <c r="BG321" s="4"/>
    </row>
    <row r="322" ht="15.75" customHeight="1">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O322" s="4"/>
      <c r="AP322" s="4"/>
      <c r="AQ322" s="4"/>
      <c r="AR322" s="4"/>
      <c r="AS322" s="4"/>
      <c r="AT322" s="4"/>
      <c r="AU322" s="4"/>
      <c r="AV322" s="4"/>
      <c r="AW322" s="4"/>
      <c r="AX322" s="4"/>
      <c r="AY322" s="4"/>
      <c r="AZ322" s="4"/>
      <c r="BA322" s="4"/>
      <c r="BB322" s="4"/>
      <c r="BC322" s="4"/>
      <c r="BD322" s="4"/>
      <c r="BE322" s="4"/>
      <c r="BF322" s="4"/>
      <c r="BG322" s="4"/>
    </row>
    <row r="323" ht="15.75" customHeight="1">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O323" s="4"/>
      <c r="AP323" s="4"/>
      <c r="AQ323" s="4"/>
      <c r="AR323" s="4"/>
      <c r="AS323" s="4"/>
      <c r="AT323" s="4"/>
      <c r="AU323" s="4"/>
      <c r="AV323" s="4"/>
      <c r="AW323" s="4"/>
      <c r="AX323" s="4"/>
      <c r="AY323" s="4"/>
      <c r="AZ323" s="4"/>
      <c r="BA323" s="4"/>
      <c r="BB323" s="4"/>
      <c r="BC323" s="4"/>
      <c r="BD323" s="4"/>
      <c r="BE323" s="4"/>
      <c r="BF323" s="4"/>
      <c r="BG323" s="4"/>
    </row>
    <row r="324" ht="15.75" customHeight="1">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O324" s="4"/>
      <c r="AP324" s="4"/>
      <c r="AQ324" s="4"/>
      <c r="AR324" s="4"/>
      <c r="AS324" s="4"/>
      <c r="AT324" s="4"/>
      <c r="AU324" s="4"/>
      <c r="AV324" s="4"/>
      <c r="AW324" s="4"/>
      <c r="AX324" s="4"/>
      <c r="AY324" s="4"/>
      <c r="AZ324" s="4"/>
      <c r="BA324" s="4"/>
      <c r="BB324" s="4"/>
      <c r="BC324" s="4"/>
      <c r="BD324" s="4"/>
      <c r="BE324" s="4"/>
      <c r="BF324" s="4"/>
      <c r="BG324" s="4"/>
    </row>
    <row r="325" ht="15.75" customHeight="1">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O325" s="4"/>
      <c r="AP325" s="4"/>
      <c r="AQ325" s="4"/>
      <c r="AR325" s="4"/>
      <c r="AS325" s="4"/>
      <c r="AT325" s="4"/>
      <c r="AU325" s="4"/>
      <c r="AV325" s="4"/>
      <c r="AW325" s="4"/>
      <c r="AX325" s="4"/>
      <c r="AY325" s="4"/>
      <c r="AZ325" s="4"/>
      <c r="BA325" s="4"/>
      <c r="BB325" s="4"/>
      <c r="BC325" s="4"/>
      <c r="BD325" s="4"/>
      <c r="BE325" s="4"/>
      <c r="BF325" s="4"/>
      <c r="BG325" s="4"/>
    </row>
    <row r="326" ht="15.75" customHeight="1">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O326" s="4"/>
      <c r="AP326" s="4"/>
      <c r="AQ326" s="4"/>
      <c r="AR326" s="4"/>
      <c r="AS326" s="4"/>
      <c r="AT326" s="4"/>
      <c r="AU326" s="4"/>
      <c r="AV326" s="4"/>
      <c r="AW326" s="4"/>
      <c r="AX326" s="4"/>
      <c r="AY326" s="4"/>
      <c r="AZ326" s="4"/>
      <c r="BA326" s="4"/>
      <c r="BB326" s="4"/>
      <c r="BC326" s="4"/>
      <c r="BD326" s="4"/>
      <c r="BE326" s="4"/>
      <c r="BF326" s="4"/>
      <c r="BG326" s="4"/>
    </row>
    <row r="327" ht="15.75" customHeight="1">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O327" s="4"/>
      <c r="AP327" s="4"/>
      <c r="AQ327" s="4"/>
      <c r="AR327" s="4"/>
      <c r="AS327" s="4"/>
      <c r="AT327" s="4"/>
      <c r="AU327" s="4"/>
      <c r="AV327" s="4"/>
      <c r="AW327" s="4"/>
      <c r="AX327" s="4"/>
      <c r="AY327" s="4"/>
      <c r="AZ327" s="4"/>
      <c r="BA327" s="4"/>
      <c r="BB327" s="4"/>
      <c r="BC327" s="4"/>
      <c r="BD327" s="4"/>
      <c r="BE327" s="4"/>
      <c r="BF327" s="4"/>
      <c r="BG327" s="4"/>
    </row>
    <row r="328" ht="15.75" customHeight="1">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O328" s="4"/>
      <c r="AP328" s="4"/>
      <c r="AQ328" s="4"/>
      <c r="AR328" s="4"/>
      <c r="AS328" s="4"/>
      <c r="AT328" s="4"/>
      <c r="AU328" s="4"/>
      <c r="AV328" s="4"/>
      <c r="AW328" s="4"/>
      <c r="AX328" s="4"/>
      <c r="AY328" s="4"/>
      <c r="AZ328" s="4"/>
      <c r="BA328" s="4"/>
      <c r="BB328" s="4"/>
      <c r="BC328" s="4"/>
      <c r="BD328" s="4"/>
      <c r="BE328" s="4"/>
      <c r="BF328" s="4"/>
      <c r="BG328" s="4"/>
    </row>
    <row r="329" ht="15.75" customHeight="1">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O329" s="4"/>
      <c r="AP329" s="4"/>
      <c r="AQ329" s="4"/>
      <c r="AR329" s="4"/>
      <c r="AS329" s="4"/>
      <c r="AT329" s="4"/>
      <c r="AU329" s="4"/>
      <c r="AV329" s="4"/>
      <c r="AW329" s="4"/>
      <c r="AX329" s="4"/>
      <c r="AY329" s="4"/>
      <c r="AZ329" s="4"/>
      <c r="BA329" s="4"/>
      <c r="BB329" s="4"/>
      <c r="BC329" s="4"/>
      <c r="BD329" s="4"/>
      <c r="BE329" s="4"/>
      <c r="BF329" s="4"/>
      <c r="BG329" s="4"/>
    </row>
    <row r="330" ht="15.75" customHeight="1">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O330" s="4"/>
      <c r="AP330" s="4"/>
      <c r="AQ330" s="4"/>
      <c r="AR330" s="4"/>
      <c r="AS330" s="4"/>
      <c r="AT330" s="4"/>
      <c r="AU330" s="4"/>
      <c r="AV330" s="4"/>
      <c r="AW330" s="4"/>
      <c r="AX330" s="4"/>
      <c r="AY330" s="4"/>
      <c r="AZ330" s="4"/>
      <c r="BA330" s="4"/>
      <c r="BB330" s="4"/>
      <c r="BC330" s="4"/>
      <c r="BD330" s="4"/>
      <c r="BE330" s="4"/>
      <c r="BF330" s="4"/>
      <c r="BG330" s="4"/>
    </row>
    <row r="331" ht="15.75" customHeight="1">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O331" s="4"/>
      <c r="AP331" s="4"/>
      <c r="AQ331" s="4"/>
      <c r="AR331" s="4"/>
      <c r="AS331" s="4"/>
      <c r="AT331" s="4"/>
      <c r="AU331" s="4"/>
      <c r="AV331" s="4"/>
      <c r="AW331" s="4"/>
      <c r="AX331" s="4"/>
      <c r="AY331" s="4"/>
      <c r="AZ331" s="4"/>
      <c r="BA331" s="4"/>
      <c r="BB331" s="4"/>
      <c r="BC331" s="4"/>
      <c r="BD331" s="4"/>
      <c r="BE331" s="4"/>
      <c r="BF331" s="4"/>
      <c r="BG331" s="4"/>
    </row>
    <row r="332" ht="15.75" customHeight="1">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O332" s="4"/>
      <c r="AP332" s="4"/>
      <c r="AQ332" s="4"/>
      <c r="AR332" s="4"/>
      <c r="AS332" s="4"/>
      <c r="AT332" s="4"/>
      <c r="AU332" s="4"/>
      <c r="AV332" s="4"/>
      <c r="AW332" s="4"/>
      <c r="AX332" s="4"/>
      <c r="AY332" s="4"/>
      <c r="AZ332" s="4"/>
      <c r="BA332" s="4"/>
      <c r="BB332" s="4"/>
      <c r="BC332" s="4"/>
      <c r="BD332" s="4"/>
      <c r="BE332" s="4"/>
      <c r="BF332" s="4"/>
      <c r="BG332" s="4"/>
    </row>
    <row r="333" ht="15.75" customHeight="1">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O333" s="4"/>
      <c r="AP333" s="4"/>
      <c r="AQ333" s="4"/>
      <c r="AR333" s="4"/>
      <c r="AS333" s="4"/>
      <c r="AT333" s="4"/>
      <c r="AU333" s="4"/>
      <c r="AV333" s="4"/>
      <c r="AW333" s="4"/>
      <c r="AX333" s="4"/>
      <c r="AY333" s="4"/>
      <c r="AZ333" s="4"/>
      <c r="BA333" s="4"/>
      <c r="BB333" s="4"/>
      <c r="BC333" s="4"/>
      <c r="BD333" s="4"/>
      <c r="BE333" s="4"/>
      <c r="BF333" s="4"/>
      <c r="BG333" s="4"/>
    </row>
    <row r="334" ht="15.75" customHeight="1">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O334" s="4"/>
      <c r="AP334" s="4"/>
      <c r="AQ334" s="4"/>
      <c r="AR334" s="4"/>
      <c r="AS334" s="4"/>
      <c r="AT334" s="4"/>
      <c r="AU334" s="4"/>
      <c r="AV334" s="4"/>
      <c r="AW334" s="4"/>
      <c r="AX334" s="4"/>
      <c r="AY334" s="4"/>
      <c r="AZ334" s="4"/>
      <c r="BA334" s="4"/>
      <c r="BB334" s="4"/>
      <c r="BC334" s="4"/>
      <c r="BD334" s="4"/>
      <c r="BE334" s="4"/>
      <c r="BF334" s="4"/>
      <c r="BG334" s="4"/>
    </row>
    <row r="335" ht="15.75" customHeight="1">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O335" s="4"/>
      <c r="AP335" s="4"/>
      <c r="AQ335" s="4"/>
      <c r="AR335" s="4"/>
      <c r="AS335" s="4"/>
      <c r="AT335" s="4"/>
      <c r="AU335" s="4"/>
      <c r="AV335" s="4"/>
      <c r="AW335" s="4"/>
      <c r="AX335" s="4"/>
      <c r="AY335" s="4"/>
      <c r="AZ335" s="4"/>
      <c r="BA335" s="4"/>
      <c r="BB335" s="4"/>
      <c r="BC335" s="4"/>
      <c r="BD335" s="4"/>
      <c r="BE335" s="4"/>
      <c r="BF335" s="4"/>
      <c r="BG335" s="4"/>
    </row>
    <row r="336" ht="15.75" customHeight="1">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O336" s="4"/>
      <c r="AP336" s="4"/>
      <c r="AQ336" s="4"/>
      <c r="AR336" s="4"/>
      <c r="AS336" s="4"/>
      <c r="AT336" s="4"/>
      <c r="AU336" s="4"/>
      <c r="AV336" s="4"/>
      <c r="AW336" s="4"/>
      <c r="AX336" s="4"/>
      <c r="AY336" s="4"/>
      <c r="AZ336" s="4"/>
      <c r="BA336" s="4"/>
      <c r="BB336" s="4"/>
      <c r="BC336" s="4"/>
      <c r="BD336" s="4"/>
      <c r="BE336" s="4"/>
      <c r="BF336" s="4"/>
      <c r="BG336" s="4"/>
    </row>
    <row r="337" ht="15.75" customHeight="1">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O337" s="4"/>
      <c r="AP337" s="4"/>
      <c r="AQ337" s="4"/>
      <c r="AR337" s="4"/>
      <c r="AS337" s="4"/>
      <c r="AT337" s="4"/>
      <c r="AU337" s="4"/>
      <c r="AV337" s="4"/>
      <c r="AW337" s="4"/>
      <c r="AX337" s="4"/>
      <c r="AY337" s="4"/>
      <c r="AZ337" s="4"/>
      <c r="BA337" s="4"/>
      <c r="BB337" s="4"/>
      <c r="BC337" s="4"/>
      <c r="BD337" s="4"/>
      <c r="BE337" s="4"/>
      <c r="BF337" s="4"/>
      <c r="BG337" s="4"/>
    </row>
    <row r="338" ht="15.75" customHeight="1">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O338" s="4"/>
      <c r="AP338" s="4"/>
      <c r="AQ338" s="4"/>
      <c r="AR338" s="4"/>
      <c r="AS338" s="4"/>
      <c r="AT338" s="4"/>
      <c r="AU338" s="4"/>
      <c r="AV338" s="4"/>
      <c r="AW338" s="4"/>
      <c r="AX338" s="4"/>
      <c r="AY338" s="4"/>
      <c r="AZ338" s="4"/>
      <c r="BA338" s="4"/>
      <c r="BB338" s="4"/>
      <c r="BC338" s="4"/>
      <c r="BD338" s="4"/>
      <c r="BE338" s="4"/>
      <c r="BF338" s="4"/>
      <c r="BG338" s="4"/>
    </row>
    <row r="339" ht="15.75" customHeight="1">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O339" s="4"/>
      <c r="AP339" s="4"/>
      <c r="AQ339" s="4"/>
      <c r="AR339" s="4"/>
      <c r="AS339" s="4"/>
      <c r="AT339" s="4"/>
      <c r="AU339" s="4"/>
      <c r="AV339" s="4"/>
      <c r="AW339" s="4"/>
      <c r="AX339" s="4"/>
      <c r="AY339" s="4"/>
      <c r="AZ339" s="4"/>
      <c r="BA339" s="4"/>
      <c r="BB339" s="4"/>
      <c r="BC339" s="4"/>
      <c r="BD339" s="4"/>
      <c r="BE339" s="4"/>
      <c r="BF339" s="4"/>
      <c r="BG339" s="4"/>
    </row>
    <row r="340" ht="15.75" customHeight="1">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O340" s="4"/>
      <c r="AP340" s="4"/>
      <c r="AQ340" s="4"/>
      <c r="AR340" s="4"/>
      <c r="AS340" s="4"/>
      <c r="AT340" s="4"/>
      <c r="AU340" s="4"/>
      <c r="AV340" s="4"/>
      <c r="AW340" s="4"/>
      <c r="AX340" s="4"/>
      <c r="AY340" s="4"/>
      <c r="AZ340" s="4"/>
      <c r="BA340" s="4"/>
      <c r="BB340" s="4"/>
      <c r="BC340" s="4"/>
      <c r="BD340" s="4"/>
      <c r="BE340" s="4"/>
      <c r="BF340" s="4"/>
      <c r="BG340" s="4"/>
    </row>
    <row r="341" ht="15.75" customHeight="1">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O341" s="4"/>
      <c r="AP341" s="4"/>
      <c r="AQ341" s="4"/>
      <c r="AR341" s="4"/>
      <c r="AS341" s="4"/>
      <c r="AT341" s="4"/>
      <c r="AU341" s="4"/>
      <c r="AV341" s="4"/>
      <c r="AW341" s="4"/>
      <c r="AX341" s="4"/>
      <c r="AY341" s="4"/>
      <c r="AZ341" s="4"/>
      <c r="BA341" s="4"/>
      <c r="BB341" s="4"/>
      <c r="BC341" s="4"/>
      <c r="BD341" s="4"/>
      <c r="BE341" s="4"/>
      <c r="BF341" s="4"/>
      <c r="BG341" s="4"/>
    </row>
    <row r="342" ht="15.75" customHeight="1">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O342" s="4"/>
      <c r="AP342" s="4"/>
      <c r="AQ342" s="4"/>
      <c r="AR342" s="4"/>
      <c r="AS342" s="4"/>
      <c r="AT342" s="4"/>
      <c r="AU342" s="4"/>
      <c r="AV342" s="4"/>
      <c r="AW342" s="4"/>
      <c r="AX342" s="4"/>
      <c r="AY342" s="4"/>
      <c r="AZ342" s="4"/>
      <c r="BA342" s="4"/>
      <c r="BB342" s="4"/>
      <c r="BC342" s="4"/>
      <c r="BD342" s="4"/>
      <c r="BE342" s="4"/>
      <c r="BF342" s="4"/>
      <c r="BG342" s="4"/>
    </row>
    <row r="343" ht="15.75" customHeight="1">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O343" s="4"/>
      <c r="AP343" s="4"/>
      <c r="AQ343" s="4"/>
      <c r="AR343" s="4"/>
      <c r="AS343" s="4"/>
      <c r="AT343" s="4"/>
      <c r="AU343" s="4"/>
      <c r="AV343" s="4"/>
      <c r="AW343" s="4"/>
      <c r="AX343" s="4"/>
      <c r="AY343" s="4"/>
      <c r="AZ343" s="4"/>
      <c r="BA343" s="4"/>
      <c r="BB343" s="4"/>
      <c r="BC343" s="4"/>
      <c r="BD343" s="4"/>
      <c r="BE343" s="4"/>
      <c r="BF343" s="4"/>
      <c r="BG343" s="4"/>
    </row>
    <row r="344" ht="15.75" customHeight="1">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O344" s="4"/>
      <c r="AP344" s="4"/>
      <c r="AQ344" s="4"/>
      <c r="AR344" s="4"/>
      <c r="AS344" s="4"/>
      <c r="AT344" s="4"/>
      <c r="AU344" s="4"/>
      <c r="AV344" s="4"/>
      <c r="AW344" s="4"/>
      <c r="AX344" s="4"/>
      <c r="AY344" s="4"/>
      <c r="AZ344" s="4"/>
      <c r="BA344" s="4"/>
      <c r="BB344" s="4"/>
      <c r="BC344" s="4"/>
      <c r="BD344" s="4"/>
      <c r="BE344" s="4"/>
      <c r="BF344" s="4"/>
      <c r="BG344" s="4"/>
    </row>
    <row r="345" ht="15.75" customHeight="1">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O345" s="4"/>
      <c r="AP345" s="4"/>
      <c r="AQ345" s="4"/>
      <c r="AR345" s="4"/>
      <c r="AS345" s="4"/>
      <c r="AT345" s="4"/>
      <c r="AU345" s="4"/>
      <c r="AV345" s="4"/>
      <c r="AW345" s="4"/>
      <c r="AX345" s="4"/>
      <c r="AY345" s="4"/>
      <c r="AZ345" s="4"/>
      <c r="BA345" s="4"/>
      <c r="BB345" s="4"/>
      <c r="BC345" s="4"/>
      <c r="BD345" s="4"/>
      <c r="BE345" s="4"/>
      <c r="BF345" s="4"/>
      <c r="BG345" s="4"/>
    </row>
    <row r="346" ht="15.75" customHeight="1">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O346" s="4"/>
      <c r="AP346" s="4"/>
      <c r="AQ346" s="4"/>
      <c r="AR346" s="4"/>
      <c r="AS346" s="4"/>
      <c r="AT346" s="4"/>
      <c r="AU346" s="4"/>
      <c r="AV346" s="4"/>
      <c r="AW346" s="4"/>
      <c r="AX346" s="4"/>
      <c r="AY346" s="4"/>
      <c r="AZ346" s="4"/>
      <c r="BA346" s="4"/>
      <c r="BB346" s="4"/>
      <c r="BC346" s="4"/>
      <c r="BD346" s="4"/>
      <c r="BE346" s="4"/>
      <c r="BF346" s="4"/>
      <c r="BG346" s="4"/>
    </row>
    <row r="347" ht="15.75" customHeight="1">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O347" s="4"/>
      <c r="AP347" s="4"/>
      <c r="AQ347" s="4"/>
      <c r="AR347" s="4"/>
      <c r="AS347" s="4"/>
      <c r="AT347" s="4"/>
      <c r="AU347" s="4"/>
      <c r="AV347" s="4"/>
      <c r="AW347" s="4"/>
      <c r="AX347" s="4"/>
      <c r="AY347" s="4"/>
      <c r="AZ347" s="4"/>
      <c r="BA347" s="4"/>
      <c r="BB347" s="4"/>
      <c r="BC347" s="4"/>
      <c r="BD347" s="4"/>
      <c r="BE347" s="4"/>
      <c r="BF347" s="4"/>
      <c r="BG347" s="4"/>
    </row>
    <row r="348" ht="15.75" customHeight="1">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O348" s="4"/>
      <c r="AP348" s="4"/>
      <c r="AQ348" s="4"/>
      <c r="AR348" s="4"/>
      <c r="AS348" s="4"/>
      <c r="AT348" s="4"/>
      <c r="AU348" s="4"/>
      <c r="AV348" s="4"/>
      <c r="AW348" s="4"/>
      <c r="AX348" s="4"/>
      <c r="AY348" s="4"/>
      <c r="AZ348" s="4"/>
      <c r="BA348" s="4"/>
      <c r="BB348" s="4"/>
      <c r="BC348" s="4"/>
      <c r="BD348" s="4"/>
      <c r="BE348" s="4"/>
      <c r="BF348" s="4"/>
      <c r="BG348" s="4"/>
    </row>
    <row r="349" ht="15.75" customHeight="1">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O349" s="4"/>
      <c r="AP349" s="4"/>
      <c r="AQ349" s="4"/>
      <c r="AR349" s="4"/>
      <c r="AS349" s="4"/>
      <c r="AT349" s="4"/>
      <c r="AU349" s="4"/>
      <c r="AV349" s="4"/>
      <c r="AW349" s="4"/>
      <c r="AX349" s="4"/>
      <c r="AY349" s="4"/>
      <c r="AZ349" s="4"/>
      <c r="BA349" s="4"/>
      <c r="BB349" s="4"/>
      <c r="BC349" s="4"/>
      <c r="BD349" s="4"/>
      <c r="BE349" s="4"/>
      <c r="BF349" s="4"/>
      <c r="BG349" s="4"/>
    </row>
    <row r="350" ht="15.75" customHeight="1">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O350" s="4"/>
      <c r="AP350" s="4"/>
      <c r="AQ350" s="4"/>
      <c r="AR350" s="4"/>
      <c r="AS350" s="4"/>
      <c r="AT350" s="4"/>
      <c r="AU350" s="4"/>
      <c r="AV350" s="4"/>
      <c r="AW350" s="4"/>
      <c r="AX350" s="4"/>
      <c r="AY350" s="4"/>
      <c r="AZ350" s="4"/>
      <c r="BA350" s="4"/>
      <c r="BB350" s="4"/>
      <c r="BC350" s="4"/>
      <c r="BD350" s="4"/>
      <c r="BE350" s="4"/>
      <c r="BF350" s="4"/>
      <c r="BG350" s="4"/>
    </row>
    <row r="351" ht="15.75" customHeight="1">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O351" s="4"/>
      <c r="AP351" s="4"/>
      <c r="AQ351" s="4"/>
      <c r="AR351" s="4"/>
      <c r="AS351" s="4"/>
      <c r="AT351" s="4"/>
      <c r="AU351" s="4"/>
      <c r="AV351" s="4"/>
      <c r="AW351" s="4"/>
      <c r="AX351" s="4"/>
      <c r="AY351" s="4"/>
      <c r="AZ351" s="4"/>
      <c r="BA351" s="4"/>
      <c r="BB351" s="4"/>
      <c r="BC351" s="4"/>
      <c r="BD351" s="4"/>
      <c r="BE351" s="4"/>
      <c r="BF351" s="4"/>
      <c r="BG351" s="4"/>
    </row>
    <row r="352" ht="15.75" customHeight="1">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O352" s="4"/>
      <c r="AP352" s="4"/>
      <c r="AQ352" s="4"/>
      <c r="AR352" s="4"/>
      <c r="AS352" s="4"/>
      <c r="AT352" s="4"/>
      <c r="AU352" s="4"/>
      <c r="AV352" s="4"/>
      <c r="AW352" s="4"/>
      <c r="AX352" s="4"/>
      <c r="AY352" s="4"/>
      <c r="AZ352" s="4"/>
      <c r="BA352" s="4"/>
      <c r="BB352" s="4"/>
      <c r="BC352" s="4"/>
      <c r="BD352" s="4"/>
      <c r="BE352" s="4"/>
      <c r="BF352" s="4"/>
      <c r="BG352" s="4"/>
    </row>
    <row r="353" ht="15.75" customHeight="1">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O353" s="4"/>
      <c r="AP353" s="4"/>
      <c r="AQ353" s="4"/>
      <c r="AR353" s="4"/>
      <c r="AS353" s="4"/>
      <c r="AT353" s="4"/>
      <c r="AU353" s="4"/>
      <c r="AV353" s="4"/>
      <c r="AW353" s="4"/>
      <c r="AX353" s="4"/>
      <c r="AY353" s="4"/>
      <c r="AZ353" s="4"/>
      <c r="BA353" s="4"/>
      <c r="BB353" s="4"/>
      <c r="BC353" s="4"/>
      <c r="BD353" s="4"/>
      <c r="BE353" s="4"/>
      <c r="BF353" s="4"/>
      <c r="BG353" s="4"/>
    </row>
    <row r="354" ht="15.75" customHeight="1">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O354" s="4"/>
      <c r="AP354" s="4"/>
      <c r="AQ354" s="4"/>
      <c r="AR354" s="4"/>
      <c r="AS354" s="4"/>
      <c r="AT354" s="4"/>
      <c r="AU354" s="4"/>
      <c r="AV354" s="4"/>
      <c r="AW354" s="4"/>
      <c r="AX354" s="4"/>
      <c r="AY354" s="4"/>
      <c r="AZ354" s="4"/>
      <c r="BA354" s="4"/>
      <c r="BB354" s="4"/>
      <c r="BC354" s="4"/>
      <c r="BD354" s="4"/>
      <c r="BE354" s="4"/>
      <c r="BF354" s="4"/>
      <c r="BG354" s="4"/>
    </row>
    <row r="355" ht="15.75" customHeight="1">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O355" s="4"/>
      <c r="AP355" s="4"/>
      <c r="AQ355" s="4"/>
      <c r="AR355" s="4"/>
      <c r="AS355" s="4"/>
      <c r="AT355" s="4"/>
      <c r="AU355" s="4"/>
      <c r="AV355" s="4"/>
      <c r="AW355" s="4"/>
      <c r="AX355" s="4"/>
      <c r="AY355" s="4"/>
      <c r="AZ355" s="4"/>
      <c r="BA355" s="4"/>
      <c r="BB355" s="4"/>
      <c r="BC355" s="4"/>
      <c r="BD355" s="4"/>
      <c r="BE355" s="4"/>
      <c r="BF355" s="4"/>
      <c r="BG355" s="4"/>
    </row>
    <row r="356" ht="15.75" customHeight="1">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O356" s="4"/>
      <c r="AP356" s="4"/>
      <c r="AQ356" s="4"/>
      <c r="AR356" s="4"/>
      <c r="AS356" s="4"/>
      <c r="AT356" s="4"/>
      <c r="AU356" s="4"/>
      <c r="AV356" s="4"/>
      <c r="AW356" s="4"/>
      <c r="AX356" s="4"/>
      <c r="AY356" s="4"/>
      <c r="AZ356" s="4"/>
      <c r="BA356" s="4"/>
      <c r="BB356" s="4"/>
      <c r="BC356" s="4"/>
      <c r="BD356" s="4"/>
      <c r="BE356" s="4"/>
      <c r="BF356" s="4"/>
      <c r="BG356" s="4"/>
    </row>
    <row r="357" ht="15.75" customHeight="1">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O357" s="4"/>
      <c r="AP357" s="4"/>
      <c r="AQ357" s="4"/>
      <c r="AR357" s="4"/>
      <c r="AS357" s="4"/>
      <c r="AT357" s="4"/>
      <c r="AU357" s="4"/>
      <c r="AV357" s="4"/>
      <c r="AW357" s="4"/>
      <c r="AX357" s="4"/>
      <c r="AY357" s="4"/>
      <c r="AZ357" s="4"/>
      <c r="BA357" s="4"/>
      <c r="BB357" s="4"/>
      <c r="BC357" s="4"/>
      <c r="BD357" s="4"/>
      <c r="BE357" s="4"/>
      <c r="BF357" s="4"/>
      <c r="BG357" s="4"/>
    </row>
    <row r="358" ht="15.75" customHeight="1">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O358" s="4"/>
      <c r="AP358" s="4"/>
      <c r="AQ358" s="4"/>
      <c r="AR358" s="4"/>
      <c r="AS358" s="4"/>
      <c r="AT358" s="4"/>
      <c r="AU358" s="4"/>
      <c r="AV358" s="4"/>
      <c r="AW358" s="4"/>
      <c r="AX358" s="4"/>
      <c r="AY358" s="4"/>
      <c r="AZ358" s="4"/>
      <c r="BA358" s="4"/>
      <c r="BB358" s="4"/>
      <c r="BC358" s="4"/>
      <c r="BD358" s="4"/>
      <c r="BE358" s="4"/>
      <c r="BF358" s="4"/>
      <c r="BG358" s="4"/>
    </row>
    <row r="359" ht="15.75" customHeight="1">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O359" s="4"/>
      <c r="AP359" s="4"/>
      <c r="AQ359" s="4"/>
      <c r="AR359" s="4"/>
      <c r="AS359" s="4"/>
      <c r="AT359" s="4"/>
      <c r="AU359" s="4"/>
      <c r="AV359" s="4"/>
      <c r="AW359" s="4"/>
      <c r="AX359" s="4"/>
      <c r="AY359" s="4"/>
      <c r="AZ359" s="4"/>
      <c r="BA359" s="4"/>
      <c r="BB359" s="4"/>
      <c r="BC359" s="4"/>
      <c r="BD359" s="4"/>
      <c r="BE359" s="4"/>
      <c r="BF359" s="4"/>
      <c r="BG359" s="4"/>
    </row>
    <row r="360" ht="15.75" customHeight="1">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O360" s="4"/>
      <c r="AP360" s="4"/>
      <c r="AQ360" s="4"/>
      <c r="AR360" s="4"/>
      <c r="AS360" s="4"/>
      <c r="AT360" s="4"/>
      <c r="AU360" s="4"/>
      <c r="AV360" s="4"/>
      <c r="AW360" s="4"/>
      <c r="AX360" s="4"/>
      <c r="AY360" s="4"/>
      <c r="AZ360" s="4"/>
      <c r="BA360" s="4"/>
      <c r="BB360" s="4"/>
      <c r="BC360" s="4"/>
      <c r="BD360" s="4"/>
      <c r="BE360" s="4"/>
      <c r="BF360" s="4"/>
      <c r="BG360" s="4"/>
    </row>
    <row r="361" ht="15.75" customHeight="1">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O361" s="4"/>
      <c r="AP361" s="4"/>
      <c r="AQ361" s="4"/>
      <c r="AR361" s="4"/>
      <c r="AS361" s="4"/>
      <c r="AT361" s="4"/>
      <c r="AU361" s="4"/>
      <c r="AV361" s="4"/>
      <c r="AW361" s="4"/>
      <c r="AX361" s="4"/>
      <c r="AY361" s="4"/>
      <c r="AZ361" s="4"/>
      <c r="BA361" s="4"/>
      <c r="BB361" s="4"/>
      <c r="BC361" s="4"/>
      <c r="BD361" s="4"/>
      <c r="BE361" s="4"/>
      <c r="BF361" s="4"/>
      <c r="BG361" s="4"/>
    </row>
    <row r="362" ht="15.75" customHeight="1">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O362" s="4"/>
      <c r="AP362" s="4"/>
      <c r="AQ362" s="4"/>
      <c r="AR362" s="4"/>
      <c r="AS362" s="4"/>
      <c r="AT362" s="4"/>
      <c r="AU362" s="4"/>
      <c r="AV362" s="4"/>
      <c r="AW362" s="4"/>
      <c r="AX362" s="4"/>
      <c r="AY362" s="4"/>
      <c r="AZ362" s="4"/>
      <c r="BA362" s="4"/>
      <c r="BB362" s="4"/>
      <c r="BC362" s="4"/>
      <c r="BD362" s="4"/>
      <c r="BE362" s="4"/>
      <c r="BF362" s="4"/>
      <c r="BG362" s="4"/>
    </row>
    <row r="363" ht="15.75" customHeight="1">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O363" s="4"/>
      <c r="AP363" s="4"/>
      <c r="AQ363" s="4"/>
      <c r="AR363" s="4"/>
      <c r="AS363" s="4"/>
      <c r="AT363" s="4"/>
      <c r="AU363" s="4"/>
      <c r="AV363" s="4"/>
      <c r="AW363" s="4"/>
      <c r="AX363" s="4"/>
      <c r="AY363" s="4"/>
      <c r="AZ363" s="4"/>
      <c r="BA363" s="4"/>
      <c r="BB363" s="4"/>
      <c r="BC363" s="4"/>
      <c r="BD363" s="4"/>
      <c r="BE363" s="4"/>
      <c r="BF363" s="4"/>
      <c r="BG363" s="4"/>
    </row>
    <row r="364" ht="15.75" customHeight="1">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O364" s="4"/>
      <c r="AP364" s="4"/>
      <c r="AQ364" s="4"/>
      <c r="AR364" s="4"/>
      <c r="AS364" s="4"/>
      <c r="AT364" s="4"/>
      <c r="AU364" s="4"/>
      <c r="AV364" s="4"/>
      <c r="AW364" s="4"/>
      <c r="AX364" s="4"/>
      <c r="AY364" s="4"/>
      <c r="AZ364" s="4"/>
      <c r="BA364" s="4"/>
      <c r="BB364" s="4"/>
      <c r="BC364" s="4"/>
      <c r="BD364" s="4"/>
      <c r="BE364" s="4"/>
      <c r="BF364" s="4"/>
      <c r="BG364" s="4"/>
    </row>
    <row r="365" ht="15.75" customHeight="1">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O365" s="4"/>
      <c r="AP365" s="4"/>
      <c r="AQ365" s="4"/>
      <c r="AR365" s="4"/>
      <c r="AS365" s="4"/>
      <c r="AT365" s="4"/>
      <c r="AU365" s="4"/>
      <c r="AV365" s="4"/>
      <c r="AW365" s="4"/>
      <c r="AX365" s="4"/>
      <c r="AY365" s="4"/>
      <c r="AZ365" s="4"/>
      <c r="BA365" s="4"/>
      <c r="BB365" s="4"/>
      <c r="BC365" s="4"/>
      <c r="BD365" s="4"/>
      <c r="BE365" s="4"/>
      <c r="BF365" s="4"/>
      <c r="BG365" s="4"/>
    </row>
    <row r="366" ht="15.75" customHeight="1">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O366" s="4"/>
      <c r="AP366" s="4"/>
      <c r="AQ366" s="4"/>
      <c r="AR366" s="4"/>
      <c r="AS366" s="4"/>
      <c r="AT366" s="4"/>
      <c r="AU366" s="4"/>
      <c r="AV366" s="4"/>
      <c r="AW366" s="4"/>
      <c r="AX366" s="4"/>
      <c r="AY366" s="4"/>
      <c r="AZ366" s="4"/>
      <c r="BA366" s="4"/>
      <c r="BB366" s="4"/>
      <c r="BC366" s="4"/>
      <c r="BD366" s="4"/>
      <c r="BE366" s="4"/>
      <c r="BF366" s="4"/>
      <c r="BG366" s="4"/>
    </row>
    <row r="367" ht="15.75" customHeight="1">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O367" s="4"/>
      <c r="AP367" s="4"/>
      <c r="AQ367" s="4"/>
      <c r="AR367" s="4"/>
      <c r="AS367" s="4"/>
      <c r="AT367" s="4"/>
      <c r="AU367" s="4"/>
      <c r="AV367" s="4"/>
      <c r="AW367" s="4"/>
      <c r="AX367" s="4"/>
      <c r="AY367" s="4"/>
      <c r="AZ367" s="4"/>
      <c r="BA367" s="4"/>
      <c r="BB367" s="4"/>
      <c r="BC367" s="4"/>
      <c r="BD367" s="4"/>
      <c r="BE367" s="4"/>
      <c r="BF367" s="4"/>
      <c r="BG367" s="4"/>
    </row>
    <row r="368" ht="15.75" customHeight="1">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O368" s="4"/>
      <c r="AP368" s="4"/>
      <c r="AQ368" s="4"/>
      <c r="AR368" s="4"/>
      <c r="AS368" s="4"/>
      <c r="AT368" s="4"/>
      <c r="AU368" s="4"/>
      <c r="AV368" s="4"/>
      <c r="AW368" s="4"/>
      <c r="AX368" s="4"/>
      <c r="AY368" s="4"/>
      <c r="AZ368" s="4"/>
      <c r="BA368" s="4"/>
      <c r="BB368" s="4"/>
      <c r="BC368" s="4"/>
      <c r="BD368" s="4"/>
      <c r="BE368" s="4"/>
      <c r="BF368" s="4"/>
      <c r="BG368" s="4"/>
    </row>
    <row r="369" ht="15.75" customHeight="1">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O369" s="4"/>
      <c r="AP369" s="4"/>
      <c r="AQ369" s="4"/>
      <c r="AR369" s="4"/>
      <c r="AS369" s="4"/>
      <c r="AT369" s="4"/>
      <c r="AU369" s="4"/>
      <c r="AV369" s="4"/>
      <c r="AW369" s="4"/>
      <c r="AX369" s="4"/>
      <c r="AY369" s="4"/>
      <c r="AZ369" s="4"/>
      <c r="BA369" s="4"/>
      <c r="BB369" s="4"/>
      <c r="BC369" s="4"/>
      <c r="BD369" s="4"/>
      <c r="BE369" s="4"/>
      <c r="BF369" s="4"/>
      <c r="BG369" s="4"/>
    </row>
    <row r="370" ht="15.75" customHeight="1">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O370" s="4"/>
      <c r="AP370" s="4"/>
      <c r="AQ370" s="4"/>
      <c r="AR370" s="4"/>
      <c r="AS370" s="4"/>
      <c r="AT370" s="4"/>
      <c r="AU370" s="4"/>
      <c r="AV370" s="4"/>
      <c r="AW370" s="4"/>
      <c r="AX370" s="4"/>
      <c r="AY370" s="4"/>
      <c r="AZ370" s="4"/>
      <c r="BA370" s="4"/>
      <c r="BB370" s="4"/>
      <c r="BC370" s="4"/>
      <c r="BD370" s="4"/>
      <c r="BE370" s="4"/>
      <c r="BF370" s="4"/>
      <c r="BG370" s="4"/>
    </row>
    <row r="371" ht="15.75" customHeight="1">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O371" s="4"/>
      <c r="AP371" s="4"/>
      <c r="AQ371" s="4"/>
      <c r="AR371" s="4"/>
      <c r="AS371" s="4"/>
      <c r="AT371" s="4"/>
      <c r="AU371" s="4"/>
      <c r="AV371" s="4"/>
      <c r="AW371" s="4"/>
      <c r="AX371" s="4"/>
      <c r="AY371" s="4"/>
      <c r="AZ371" s="4"/>
      <c r="BA371" s="4"/>
      <c r="BB371" s="4"/>
      <c r="BC371" s="4"/>
      <c r="BD371" s="4"/>
      <c r="BE371" s="4"/>
      <c r="BF371" s="4"/>
      <c r="BG371" s="4"/>
    </row>
    <row r="372" ht="15.75" customHeight="1">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O372" s="4"/>
      <c r="AP372" s="4"/>
      <c r="AQ372" s="4"/>
      <c r="AR372" s="4"/>
      <c r="AS372" s="4"/>
      <c r="AT372" s="4"/>
      <c r="AU372" s="4"/>
      <c r="AV372" s="4"/>
      <c r="AW372" s="4"/>
      <c r="AX372" s="4"/>
      <c r="AY372" s="4"/>
      <c r="AZ372" s="4"/>
      <c r="BA372" s="4"/>
      <c r="BB372" s="4"/>
      <c r="BC372" s="4"/>
      <c r="BD372" s="4"/>
      <c r="BE372" s="4"/>
      <c r="BF372" s="4"/>
      <c r="BG372" s="4"/>
    </row>
    <row r="373" ht="15.75" customHeight="1">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O373" s="4"/>
      <c r="AP373" s="4"/>
      <c r="AQ373" s="4"/>
      <c r="AR373" s="4"/>
      <c r="AS373" s="4"/>
      <c r="AT373" s="4"/>
      <c r="AU373" s="4"/>
      <c r="AV373" s="4"/>
      <c r="AW373" s="4"/>
      <c r="AX373" s="4"/>
      <c r="AY373" s="4"/>
      <c r="AZ373" s="4"/>
      <c r="BA373" s="4"/>
      <c r="BB373" s="4"/>
      <c r="BC373" s="4"/>
      <c r="BD373" s="4"/>
      <c r="BE373" s="4"/>
      <c r="BF373" s="4"/>
      <c r="BG373" s="4"/>
    </row>
    <row r="374" ht="15.75" customHeight="1">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O374" s="4"/>
      <c r="AP374" s="4"/>
      <c r="AQ374" s="4"/>
      <c r="AR374" s="4"/>
      <c r="AS374" s="4"/>
      <c r="AT374" s="4"/>
      <c r="AU374" s="4"/>
      <c r="AV374" s="4"/>
      <c r="AW374" s="4"/>
      <c r="AX374" s="4"/>
      <c r="AY374" s="4"/>
      <c r="AZ374" s="4"/>
      <c r="BA374" s="4"/>
      <c r="BB374" s="4"/>
      <c r="BC374" s="4"/>
      <c r="BD374" s="4"/>
      <c r="BE374" s="4"/>
      <c r="BF374" s="4"/>
      <c r="BG374" s="4"/>
    </row>
    <row r="375" ht="15.75" customHeight="1">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O375" s="4"/>
      <c r="AP375" s="4"/>
      <c r="AQ375" s="4"/>
      <c r="AR375" s="4"/>
      <c r="AS375" s="4"/>
      <c r="AT375" s="4"/>
      <c r="AU375" s="4"/>
      <c r="AV375" s="4"/>
      <c r="AW375" s="4"/>
      <c r="AX375" s="4"/>
      <c r="AY375" s="4"/>
      <c r="AZ375" s="4"/>
      <c r="BA375" s="4"/>
      <c r="BB375" s="4"/>
      <c r="BC375" s="4"/>
      <c r="BD375" s="4"/>
      <c r="BE375" s="4"/>
      <c r="BF375" s="4"/>
      <c r="BG375" s="4"/>
    </row>
    <row r="376" ht="15.75" customHeight="1">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O376" s="4"/>
      <c r="AP376" s="4"/>
      <c r="AQ376" s="4"/>
      <c r="AR376" s="4"/>
      <c r="AS376" s="4"/>
      <c r="AT376" s="4"/>
      <c r="AU376" s="4"/>
      <c r="AV376" s="4"/>
      <c r="AW376" s="4"/>
      <c r="AX376" s="4"/>
      <c r="AY376" s="4"/>
      <c r="AZ376" s="4"/>
      <c r="BA376" s="4"/>
      <c r="BB376" s="4"/>
      <c r="BC376" s="4"/>
      <c r="BD376" s="4"/>
      <c r="BE376" s="4"/>
      <c r="BF376" s="4"/>
      <c r="BG376" s="4"/>
    </row>
    <row r="377" ht="15.75" customHeight="1">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O377" s="4"/>
      <c r="AP377" s="4"/>
      <c r="AQ377" s="4"/>
      <c r="AR377" s="4"/>
      <c r="AS377" s="4"/>
      <c r="AT377" s="4"/>
      <c r="AU377" s="4"/>
      <c r="AV377" s="4"/>
      <c r="AW377" s="4"/>
      <c r="AX377" s="4"/>
      <c r="AY377" s="4"/>
      <c r="AZ377" s="4"/>
      <c r="BA377" s="4"/>
      <c r="BB377" s="4"/>
      <c r="BC377" s="4"/>
      <c r="BD377" s="4"/>
      <c r="BE377" s="4"/>
      <c r="BF377" s="4"/>
      <c r="BG377" s="4"/>
    </row>
    <row r="378" ht="15.75" customHeight="1">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O378" s="4"/>
      <c r="AP378" s="4"/>
      <c r="AQ378" s="4"/>
      <c r="AR378" s="4"/>
      <c r="AS378" s="4"/>
      <c r="AT378" s="4"/>
      <c r="AU378" s="4"/>
      <c r="AV378" s="4"/>
      <c r="AW378" s="4"/>
      <c r="AX378" s="4"/>
      <c r="AY378" s="4"/>
      <c r="AZ378" s="4"/>
      <c r="BA378" s="4"/>
      <c r="BB378" s="4"/>
      <c r="BC378" s="4"/>
      <c r="BD378" s="4"/>
      <c r="BE378" s="4"/>
      <c r="BF378" s="4"/>
      <c r="BG378" s="4"/>
    </row>
    <row r="379" ht="15.75" customHeight="1">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O379" s="4"/>
      <c r="AP379" s="4"/>
      <c r="AQ379" s="4"/>
      <c r="AR379" s="4"/>
      <c r="AS379" s="4"/>
      <c r="AT379" s="4"/>
      <c r="AU379" s="4"/>
      <c r="AV379" s="4"/>
      <c r="AW379" s="4"/>
      <c r="AX379" s="4"/>
      <c r="AY379" s="4"/>
      <c r="AZ379" s="4"/>
      <c r="BA379" s="4"/>
      <c r="BB379" s="4"/>
      <c r="BC379" s="4"/>
      <c r="BD379" s="4"/>
      <c r="BE379" s="4"/>
      <c r="BF379" s="4"/>
      <c r="BG379" s="4"/>
    </row>
    <row r="380" ht="15.75" customHeight="1">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O380" s="4"/>
      <c r="AP380" s="4"/>
      <c r="AQ380" s="4"/>
      <c r="AR380" s="4"/>
      <c r="AS380" s="4"/>
      <c r="AT380" s="4"/>
      <c r="AU380" s="4"/>
      <c r="AV380" s="4"/>
      <c r="AW380" s="4"/>
      <c r="AX380" s="4"/>
      <c r="AY380" s="4"/>
      <c r="AZ380" s="4"/>
      <c r="BA380" s="4"/>
      <c r="BB380" s="4"/>
      <c r="BC380" s="4"/>
      <c r="BD380" s="4"/>
      <c r="BE380" s="4"/>
      <c r="BF380" s="4"/>
      <c r="BG380" s="4"/>
    </row>
    <row r="381" ht="15.75" customHeight="1">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O381" s="4"/>
      <c r="AP381" s="4"/>
      <c r="AQ381" s="4"/>
      <c r="AR381" s="4"/>
      <c r="AS381" s="4"/>
      <c r="AT381" s="4"/>
      <c r="AU381" s="4"/>
      <c r="AV381" s="4"/>
      <c r="AW381" s="4"/>
      <c r="AX381" s="4"/>
      <c r="AY381" s="4"/>
      <c r="AZ381" s="4"/>
      <c r="BA381" s="4"/>
      <c r="BB381" s="4"/>
      <c r="BC381" s="4"/>
      <c r="BD381" s="4"/>
      <c r="BE381" s="4"/>
      <c r="BF381" s="4"/>
      <c r="BG381" s="4"/>
    </row>
    <row r="382" ht="15.75" customHeight="1">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O382" s="4"/>
      <c r="AP382" s="4"/>
      <c r="AQ382" s="4"/>
      <c r="AR382" s="4"/>
      <c r="AS382" s="4"/>
      <c r="AT382" s="4"/>
      <c r="AU382" s="4"/>
      <c r="AV382" s="4"/>
      <c r="AW382" s="4"/>
      <c r="AX382" s="4"/>
      <c r="AY382" s="4"/>
      <c r="AZ382" s="4"/>
      <c r="BA382" s="4"/>
      <c r="BB382" s="4"/>
      <c r="BC382" s="4"/>
      <c r="BD382" s="4"/>
      <c r="BE382" s="4"/>
      <c r="BF382" s="4"/>
      <c r="BG382" s="4"/>
    </row>
    <row r="383" ht="15.75" customHeight="1">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O383" s="4"/>
      <c r="AP383" s="4"/>
      <c r="AQ383" s="4"/>
      <c r="AR383" s="4"/>
      <c r="AS383" s="4"/>
      <c r="AT383" s="4"/>
      <c r="AU383" s="4"/>
      <c r="AV383" s="4"/>
      <c r="AW383" s="4"/>
      <c r="AX383" s="4"/>
      <c r="AY383" s="4"/>
      <c r="AZ383" s="4"/>
      <c r="BA383" s="4"/>
      <c r="BB383" s="4"/>
      <c r="BC383" s="4"/>
      <c r="BD383" s="4"/>
      <c r="BE383" s="4"/>
      <c r="BF383" s="4"/>
      <c r="BG383" s="4"/>
    </row>
    <row r="384" ht="15.75" customHeight="1">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O384" s="4"/>
      <c r="AP384" s="4"/>
      <c r="AQ384" s="4"/>
      <c r="AR384" s="4"/>
      <c r="AS384" s="4"/>
      <c r="AT384" s="4"/>
      <c r="AU384" s="4"/>
      <c r="AV384" s="4"/>
      <c r="AW384" s="4"/>
      <c r="AX384" s="4"/>
      <c r="AY384" s="4"/>
      <c r="AZ384" s="4"/>
      <c r="BA384" s="4"/>
      <c r="BB384" s="4"/>
      <c r="BC384" s="4"/>
      <c r="BD384" s="4"/>
      <c r="BE384" s="4"/>
      <c r="BF384" s="4"/>
      <c r="BG384" s="4"/>
    </row>
    <row r="385" ht="15.75" customHeight="1">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O385" s="4"/>
      <c r="AP385" s="4"/>
      <c r="AQ385" s="4"/>
      <c r="AR385" s="4"/>
      <c r="AS385" s="4"/>
      <c r="AT385" s="4"/>
      <c r="AU385" s="4"/>
      <c r="AV385" s="4"/>
      <c r="AW385" s="4"/>
      <c r="AX385" s="4"/>
      <c r="AY385" s="4"/>
      <c r="AZ385" s="4"/>
      <c r="BA385" s="4"/>
      <c r="BB385" s="4"/>
      <c r="BC385" s="4"/>
      <c r="BD385" s="4"/>
      <c r="BE385" s="4"/>
      <c r="BF385" s="4"/>
      <c r="BG385" s="4"/>
    </row>
    <row r="386" ht="15.75" customHeight="1">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O386" s="4"/>
      <c r="AP386" s="4"/>
      <c r="AQ386" s="4"/>
      <c r="AR386" s="4"/>
      <c r="AS386" s="4"/>
      <c r="AT386" s="4"/>
      <c r="AU386" s="4"/>
      <c r="AV386" s="4"/>
      <c r="AW386" s="4"/>
      <c r="AX386" s="4"/>
      <c r="AY386" s="4"/>
      <c r="AZ386" s="4"/>
      <c r="BA386" s="4"/>
      <c r="BB386" s="4"/>
      <c r="BC386" s="4"/>
      <c r="BD386" s="4"/>
      <c r="BE386" s="4"/>
      <c r="BF386" s="4"/>
      <c r="BG386" s="4"/>
    </row>
    <row r="387" ht="15.75" customHeight="1">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O387" s="4"/>
      <c r="AP387" s="4"/>
      <c r="AQ387" s="4"/>
      <c r="AR387" s="4"/>
      <c r="AS387" s="4"/>
      <c r="AT387" s="4"/>
      <c r="AU387" s="4"/>
      <c r="AV387" s="4"/>
      <c r="AW387" s="4"/>
      <c r="AX387" s="4"/>
      <c r="AY387" s="4"/>
      <c r="AZ387" s="4"/>
      <c r="BA387" s="4"/>
      <c r="BB387" s="4"/>
      <c r="BC387" s="4"/>
      <c r="BD387" s="4"/>
      <c r="BE387" s="4"/>
      <c r="BF387" s="4"/>
      <c r="BG387" s="4"/>
    </row>
    <row r="388" ht="15.75" customHeight="1">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O388" s="4"/>
      <c r="AP388" s="4"/>
      <c r="AQ388" s="4"/>
      <c r="AR388" s="4"/>
      <c r="AS388" s="4"/>
      <c r="AT388" s="4"/>
      <c r="AU388" s="4"/>
      <c r="AV388" s="4"/>
      <c r="AW388" s="4"/>
      <c r="AX388" s="4"/>
      <c r="AY388" s="4"/>
      <c r="AZ388" s="4"/>
      <c r="BA388" s="4"/>
      <c r="BB388" s="4"/>
      <c r="BC388" s="4"/>
      <c r="BD388" s="4"/>
      <c r="BE388" s="4"/>
      <c r="BF388" s="4"/>
      <c r="BG388" s="4"/>
    </row>
    <row r="389" ht="15.75" customHeight="1">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O389" s="4"/>
      <c r="AP389" s="4"/>
      <c r="AQ389" s="4"/>
      <c r="AR389" s="4"/>
      <c r="AS389" s="4"/>
      <c r="AT389" s="4"/>
      <c r="AU389" s="4"/>
      <c r="AV389" s="4"/>
      <c r="AW389" s="4"/>
      <c r="AX389" s="4"/>
      <c r="AY389" s="4"/>
      <c r="AZ389" s="4"/>
      <c r="BA389" s="4"/>
      <c r="BB389" s="4"/>
      <c r="BC389" s="4"/>
      <c r="BD389" s="4"/>
      <c r="BE389" s="4"/>
      <c r="BF389" s="4"/>
      <c r="BG389" s="4"/>
    </row>
    <row r="390" ht="15.75" customHeight="1">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O390" s="4"/>
      <c r="AP390" s="4"/>
      <c r="AQ390" s="4"/>
      <c r="AR390" s="4"/>
      <c r="AS390" s="4"/>
      <c r="AT390" s="4"/>
      <c r="AU390" s="4"/>
      <c r="AV390" s="4"/>
      <c r="AW390" s="4"/>
      <c r="AX390" s="4"/>
      <c r="AY390" s="4"/>
      <c r="AZ390" s="4"/>
      <c r="BA390" s="4"/>
      <c r="BB390" s="4"/>
      <c r="BC390" s="4"/>
      <c r="BD390" s="4"/>
      <c r="BE390" s="4"/>
      <c r="BF390" s="4"/>
      <c r="BG390" s="4"/>
    </row>
    <row r="391" ht="15.75" customHeight="1">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O391" s="4"/>
      <c r="AP391" s="4"/>
      <c r="AQ391" s="4"/>
      <c r="AR391" s="4"/>
      <c r="AS391" s="4"/>
      <c r="AT391" s="4"/>
      <c r="AU391" s="4"/>
      <c r="AV391" s="4"/>
      <c r="AW391" s="4"/>
      <c r="AX391" s="4"/>
      <c r="AY391" s="4"/>
      <c r="AZ391" s="4"/>
      <c r="BA391" s="4"/>
      <c r="BB391" s="4"/>
      <c r="BC391" s="4"/>
      <c r="BD391" s="4"/>
      <c r="BE391" s="4"/>
      <c r="BF391" s="4"/>
      <c r="BG391" s="4"/>
    </row>
    <row r="392" ht="15.75" customHeight="1">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O392" s="4"/>
      <c r="AP392" s="4"/>
      <c r="AQ392" s="4"/>
      <c r="AR392" s="4"/>
      <c r="AS392" s="4"/>
      <c r="AT392" s="4"/>
      <c r="AU392" s="4"/>
      <c r="AV392" s="4"/>
      <c r="AW392" s="4"/>
      <c r="AX392" s="4"/>
      <c r="AY392" s="4"/>
      <c r="AZ392" s="4"/>
      <c r="BA392" s="4"/>
      <c r="BB392" s="4"/>
      <c r="BC392" s="4"/>
      <c r="BD392" s="4"/>
      <c r="BE392" s="4"/>
      <c r="BF392" s="4"/>
      <c r="BG392" s="4"/>
    </row>
    <row r="393" ht="15.75" customHeight="1">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O393" s="4"/>
      <c r="AP393" s="4"/>
      <c r="AQ393" s="4"/>
      <c r="AR393" s="4"/>
      <c r="AS393" s="4"/>
      <c r="AT393" s="4"/>
      <c r="AU393" s="4"/>
      <c r="AV393" s="4"/>
      <c r="AW393" s="4"/>
      <c r="AX393" s="4"/>
      <c r="AY393" s="4"/>
      <c r="AZ393" s="4"/>
      <c r="BA393" s="4"/>
      <c r="BB393" s="4"/>
      <c r="BC393" s="4"/>
      <c r="BD393" s="4"/>
      <c r="BE393" s="4"/>
      <c r="BF393" s="4"/>
      <c r="BG393" s="4"/>
    </row>
    <row r="394" ht="15.75" customHeight="1">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O394" s="4"/>
      <c r="AP394" s="4"/>
      <c r="AQ394" s="4"/>
      <c r="AR394" s="4"/>
      <c r="AS394" s="4"/>
      <c r="AT394" s="4"/>
      <c r="AU394" s="4"/>
      <c r="AV394" s="4"/>
      <c r="AW394" s="4"/>
      <c r="AX394" s="4"/>
      <c r="AY394" s="4"/>
      <c r="AZ394" s="4"/>
      <c r="BA394" s="4"/>
      <c r="BB394" s="4"/>
      <c r="BC394" s="4"/>
      <c r="BD394" s="4"/>
      <c r="BE394" s="4"/>
      <c r="BF394" s="4"/>
      <c r="BG394" s="4"/>
    </row>
    <row r="395" ht="15.75" customHeight="1">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O395" s="4"/>
      <c r="AP395" s="4"/>
      <c r="AQ395" s="4"/>
      <c r="AR395" s="4"/>
      <c r="AS395" s="4"/>
      <c r="AT395" s="4"/>
      <c r="AU395" s="4"/>
      <c r="AV395" s="4"/>
      <c r="AW395" s="4"/>
      <c r="AX395" s="4"/>
      <c r="AY395" s="4"/>
      <c r="AZ395" s="4"/>
      <c r="BA395" s="4"/>
      <c r="BB395" s="4"/>
      <c r="BC395" s="4"/>
      <c r="BD395" s="4"/>
      <c r="BE395" s="4"/>
      <c r="BF395" s="4"/>
      <c r="BG395" s="4"/>
    </row>
    <row r="396" ht="15.75" customHeight="1">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O396" s="4"/>
      <c r="AP396" s="4"/>
      <c r="AQ396" s="4"/>
      <c r="AR396" s="4"/>
      <c r="AS396" s="4"/>
      <c r="AT396" s="4"/>
      <c r="AU396" s="4"/>
      <c r="AV396" s="4"/>
      <c r="AW396" s="4"/>
      <c r="AX396" s="4"/>
      <c r="AY396" s="4"/>
      <c r="AZ396" s="4"/>
      <c r="BA396" s="4"/>
      <c r="BB396" s="4"/>
      <c r="BC396" s="4"/>
      <c r="BD396" s="4"/>
      <c r="BE396" s="4"/>
      <c r="BF396" s="4"/>
      <c r="BG396" s="4"/>
    </row>
    <row r="397" ht="15.75" customHeight="1">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O397" s="4"/>
      <c r="AP397" s="4"/>
      <c r="AQ397" s="4"/>
      <c r="AR397" s="4"/>
      <c r="AS397" s="4"/>
      <c r="AT397" s="4"/>
      <c r="AU397" s="4"/>
      <c r="AV397" s="4"/>
      <c r="AW397" s="4"/>
      <c r="AX397" s="4"/>
      <c r="AY397" s="4"/>
      <c r="AZ397" s="4"/>
      <c r="BA397" s="4"/>
      <c r="BB397" s="4"/>
      <c r="BC397" s="4"/>
      <c r="BD397" s="4"/>
      <c r="BE397" s="4"/>
      <c r="BF397" s="4"/>
      <c r="BG397" s="4"/>
    </row>
    <row r="398" ht="15.75" customHeight="1">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O398" s="4"/>
      <c r="AP398" s="4"/>
      <c r="AQ398" s="4"/>
      <c r="AR398" s="4"/>
      <c r="AS398" s="4"/>
      <c r="AT398" s="4"/>
      <c r="AU398" s="4"/>
      <c r="AV398" s="4"/>
      <c r="AW398" s="4"/>
      <c r="AX398" s="4"/>
      <c r="AY398" s="4"/>
      <c r="AZ398" s="4"/>
      <c r="BA398" s="4"/>
      <c r="BB398" s="4"/>
      <c r="BC398" s="4"/>
      <c r="BD398" s="4"/>
      <c r="BE398" s="4"/>
      <c r="BF398" s="4"/>
      <c r="BG398" s="4"/>
    </row>
    <row r="399" ht="15.75" customHeight="1">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O399" s="4"/>
      <c r="AP399" s="4"/>
      <c r="AQ399" s="4"/>
      <c r="AR399" s="4"/>
      <c r="AS399" s="4"/>
      <c r="AT399" s="4"/>
      <c r="AU399" s="4"/>
      <c r="AV399" s="4"/>
      <c r="AW399" s="4"/>
      <c r="AX399" s="4"/>
      <c r="AY399" s="4"/>
      <c r="AZ399" s="4"/>
      <c r="BA399" s="4"/>
      <c r="BB399" s="4"/>
      <c r="BC399" s="4"/>
      <c r="BD399" s="4"/>
      <c r="BE399" s="4"/>
      <c r="BF399" s="4"/>
      <c r="BG399" s="4"/>
    </row>
    <row r="400" ht="15.75" customHeight="1">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O400" s="4"/>
      <c r="AP400" s="4"/>
      <c r="AQ400" s="4"/>
      <c r="AR400" s="4"/>
      <c r="AS400" s="4"/>
      <c r="AT400" s="4"/>
      <c r="AU400" s="4"/>
      <c r="AV400" s="4"/>
      <c r="AW400" s="4"/>
      <c r="AX400" s="4"/>
      <c r="AY400" s="4"/>
      <c r="AZ400" s="4"/>
      <c r="BA400" s="4"/>
      <c r="BB400" s="4"/>
      <c r="BC400" s="4"/>
      <c r="BD400" s="4"/>
      <c r="BE400" s="4"/>
      <c r="BF400" s="4"/>
      <c r="BG400" s="4"/>
    </row>
    <row r="401" ht="15.75" customHeight="1">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O401" s="4"/>
      <c r="AP401" s="4"/>
      <c r="AQ401" s="4"/>
      <c r="AR401" s="4"/>
      <c r="AS401" s="4"/>
      <c r="AT401" s="4"/>
      <c r="AU401" s="4"/>
      <c r="AV401" s="4"/>
      <c r="AW401" s="4"/>
      <c r="AX401" s="4"/>
      <c r="AY401" s="4"/>
      <c r="AZ401" s="4"/>
      <c r="BA401" s="4"/>
      <c r="BB401" s="4"/>
      <c r="BC401" s="4"/>
      <c r="BD401" s="4"/>
      <c r="BE401" s="4"/>
      <c r="BF401" s="4"/>
      <c r="BG401" s="4"/>
    </row>
    <row r="402" ht="15.75" customHeight="1">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O402" s="4"/>
      <c r="AP402" s="4"/>
      <c r="AQ402" s="4"/>
      <c r="AR402" s="4"/>
      <c r="AS402" s="4"/>
      <c r="AT402" s="4"/>
      <c r="AU402" s="4"/>
      <c r="AV402" s="4"/>
      <c r="AW402" s="4"/>
      <c r="AX402" s="4"/>
      <c r="AY402" s="4"/>
      <c r="AZ402" s="4"/>
      <c r="BA402" s="4"/>
      <c r="BB402" s="4"/>
      <c r="BC402" s="4"/>
      <c r="BD402" s="4"/>
      <c r="BE402" s="4"/>
      <c r="BF402" s="4"/>
      <c r="BG402" s="4"/>
    </row>
    <row r="403" ht="15.75" customHeight="1">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O403" s="4"/>
      <c r="AP403" s="4"/>
      <c r="AQ403" s="4"/>
      <c r="AR403" s="4"/>
      <c r="AS403" s="4"/>
      <c r="AT403" s="4"/>
      <c r="AU403" s="4"/>
      <c r="AV403" s="4"/>
      <c r="AW403" s="4"/>
      <c r="AX403" s="4"/>
      <c r="AY403" s="4"/>
      <c r="AZ403" s="4"/>
      <c r="BA403" s="4"/>
      <c r="BB403" s="4"/>
      <c r="BC403" s="4"/>
      <c r="BD403" s="4"/>
      <c r="BE403" s="4"/>
      <c r="BF403" s="4"/>
      <c r="BG403" s="4"/>
    </row>
    <row r="404" ht="15.75" customHeight="1">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O404" s="4"/>
      <c r="AP404" s="4"/>
      <c r="AQ404" s="4"/>
      <c r="AR404" s="4"/>
      <c r="AS404" s="4"/>
      <c r="AT404" s="4"/>
      <c r="AU404" s="4"/>
      <c r="AV404" s="4"/>
      <c r="AW404" s="4"/>
      <c r="AX404" s="4"/>
      <c r="AY404" s="4"/>
      <c r="AZ404" s="4"/>
      <c r="BA404" s="4"/>
      <c r="BB404" s="4"/>
      <c r="BC404" s="4"/>
      <c r="BD404" s="4"/>
      <c r="BE404" s="4"/>
      <c r="BF404" s="4"/>
      <c r="BG404" s="4"/>
    </row>
    <row r="405" ht="15.75" customHeight="1">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O405" s="4"/>
      <c r="AP405" s="4"/>
      <c r="AQ405" s="4"/>
      <c r="AR405" s="4"/>
      <c r="AS405" s="4"/>
      <c r="AT405" s="4"/>
      <c r="AU405" s="4"/>
      <c r="AV405" s="4"/>
      <c r="AW405" s="4"/>
      <c r="AX405" s="4"/>
      <c r="AY405" s="4"/>
      <c r="AZ405" s="4"/>
      <c r="BA405" s="4"/>
      <c r="BB405" s="4"/>
      <c r="BC405" s="4"/>
      <c r="BD405" s="4"/>
      <c r="BE405" s="4"/>
      <c r="BF405" s="4"/>
      <c r="BG405" s="4"/>
    </row>
    <row r="406" ht="15.75" customHeight="1">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O406" s="4"/>
      <c r="AP406" s="4"/>
      <c r="AQ406" s="4"/>
      <c r="AR406" s="4"/>
      <c r="AS406" s="4"/>
      <c r="AT406" s="4"/>
      <c r="AU406" s="4"/>
      <c r="AV406" s="4"/>
      <c r="AW406" s="4"/>
      <c r="AX406" s="4"/>
      <c r="AY406" s="4"/>
      <c r="AZ406" s="4"/>
      <c r="BA406" s="4"/>
      <c r="BB406" s="4"/>
      <c r="BC406" s="4"/>
      <c r="BD406" s="4"/>
      <c r="BE406" s="4"/>
      <c r="BF406" s="4"/>
      <c r="BG406" s="4"/>
    </row>
    <row r="407" ht="15.75" customHeight="1">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O407" s="4"/>
      <c r="AP407" s="4"/>
      <c r="AQ407" s="4"/>
      <c r="AR407" s="4"/>
      <c r="AS407" s="4"/>
      <c r="AT407" s="4"/>
      <c r="AU407" s="4"/>
      <c r="AV407" s="4"/>
      <c r="AW407" s="4"/>
      <c r="AX407" s="4"/>
      <c r="AY407" s="4"/>
      <c r="AZ407" s="4"/>
      <c r="BA407" s="4"/>
      <c r="BB407" s="4"/>
      <c r="BC407" s="4"/>
      <c r="BD407" s="4"/>
      <c r="BE407" s="4"/>
      <c r="BF407" s="4"/>
      <c r="BG407" s="4"/>
    </row>
    <row r="408" ht="15.75" customHeight="1">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O408" s="4"/>
      <c r="AP408" s="4"/>
      <c r="AQ408" s="4"/>
      <c r="AR408" s="4"/>
      <c r="AS408" s="4"/>
      <c r="AT408" s="4"/>
      <c r="AU408" s="4"/>
      <c r="AV408" s="4"/>
      <c r="AW408" s="4"/>
      <c r="AX408" s="4"/>
      <c r="AY408" s="4"/>
      <c r="AZ408" s="4"/>
      <c r="BA408" s="4"/>
      <c r="BB408" s="4"/>
      <c r="BC408" s="4"/>
      <c r="BD408" s="4"/>
      <c r="BE408" s="4"/>
      <c r="BF408" s="4"/>
      <c r="BG408" s="4"/>
    </row>
    <row r="409" ht="15.75" customHeight="1">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O409" s="4"/>
      <c r="AP409" s="4"/>
      <c r="AQ409" s="4"/>
      <c r="AR409" s="4"/>
      <c r="AS409" s="4"/>
      <c r="AT409" s="4"/>
      <c r="AU409" s="4"/>
      <c r="AV409" s="4"/>
      <c r="AW409" s="4"/>
      <c r="AX409" s="4"/>
      <c r="AY409" s="4"/>
      <c r="AZ409" s="4"/>
      <c r="BA409" s="4"/>
      <c r="BB409" s="4"/>
      <c r="BC409" s="4"/>
      <c r="BD409" s="4"/>
      <c r="BE409" s="4"/>
      <c r="BF409" s="4"/>
      <c r="BG409" s="4"/>
    </row>
    <row r="410" ht="15.75" customHeight="1">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O410" s="4"/>
      <c r="AP410" s="4"/>
      <c r="AQ410" s="4"/>
      <c r="AR410" s="4"/>
      <c r="AS410" s="4"/>
      <c r="AT410" s="4"/>
      <c r="AU410" s="4"/>
      <c r="AV410" s="4"/>
      <c r="AW410" s="4"/>
      <c r="AX410" s="4"/>
      <c r="AY410" s="4"/>
      <c r="AZ410" s="4"/>
      <c r="BA410" s="4"/>
      <c r="BB410" s="4"/>
      <c r="BC410" s="4"/>
      <c r="BD410" s="4"/>
      <c r="BE410" s="4"/>
      <c r="BF410" s="4"/>
      <c r="BG410" s="4"/>
    </row>
    <row r="411" ht="15.75" customHeight="1">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O411" s="4"/>
      <c r="AP411" s="4"/>
      <c r="AQ411" s="4"/>
      <c r="AR411" s="4"/>
      <c r="AS411" s="4"/>
      <c r="AT411" s="4"/>
      <c r="AU411" s="4"/>
      <c r="AV411" s="4"/>
      <c r="AW411" s="4"/>
      <c r="AX411" s="4"/>
      <c r="AY411" s="4"/>
      <c r="AZ411" s="4"/>
      <c r="BA411" s="4"/>
      <c r="BB411" s="4"/>
      <c r="BC411" s="4"/>
      <c r="BD411" s="4"/>
      <c r="BE411" s="4"/>
      <c r="BF411" s="4"/>
      <c r="BG411" s="4"/>
    </row>
    <row r="412" ht="15.75" customHeight="1">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O412" s="4"/>
      <c r="AP412" s="4"/>
      <c r="AQ412" s="4"/>
      <c r="AR412" s="4"/>
      <c r="AS412" s="4"/>
      <c r="AT412" s="4"/>
      <c r="AU412" s="4"/>
      <c r="AV412" s="4"/>
      <c r="AW412" s="4"/>
      <c r="AX412" s="4"/>
      <c r="AY412" s="4"/>
      <c r="AZ412" s="4"/>
      <c r="BA412" s="4"/>
      <c r="BB412" s="4"/>
      <c r="BC412" s="4"/>
      <c r="BD412" s="4"/>
      <c r="BE412" s="4"/>
      <c r="BF412" s="4"/>
      <c r="BG412" s="4"/>
    </row>
    <row r="413" ht="15.75" customHeight="1">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O413" s="4"/>
      <c r="AP413" s="4"/>
      <c r="AQ413" s="4"/>
      <c r="AR413" s="4"/>
      <c r="AS413" s="4"/>
      <c r="AT413" s="4"/>
      <c r="AU413" s="4"/>
      <c r="AV413" s="4"/>
      <c r="AW413" s="4"/>
      <c r="AX413" s="4"/>
      <c r="AY413" s="4"/>
      <c r="AZ413" s="4"/>
      <c r="BA413" s="4"/>
      <c r="BB413" s="4"/>
      <c r="BC413" s="4"/>
      <c r="BD413" s="4"/>
      <c r="BE413" s="4"/>
      <c r="BF413" s="4"/>
      <c r="BG413" s="4"/>
    </row>
    <row r="414" ht="15.75" customHeight="1">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O414" s="4"/>
      <c r="AP414" s="4"/>
      <c r="AQ414" s="4"/>
      <c r="AR414" s="4"/>
      <c r="AS414" s="4"/>
      <c r="AT414" s="4"/>
      <c r="AU414" s="4"/>
      <c r="AV414" s="4"/>
      <c r="AW414" s="4"/>
      <c r="AX414" s="4"/>
      <c r="AY414" s="4"/>
      <c r="AZ414" s="4"/>
      <c r="BA414" s="4"/>
      <c r="BB414" s="4"/>
      <c r="BC414" s="4"/>
      <c r="BD414" s="4"/>
      <c r="BE414" s="4"/>
      <c r="BF414" s="4"/>
      <c r="BG414" s="4"/>
    </row>
    <row r="415" ht="15.75" customHeight="1">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O415" s="4"/>
      <c r="AP415" s="4"/>
      <c r="AQ415" s="4"/>
      <c r="AR415" s="4"/>
      <c r="AS415" s="4"/>
      <c r="AT415" s="4"/>
      <c r="AU415" s="4"/>
      <c r="AV415" s="4"/>
      <c r="AW415" s="4"/>
      <c r="AX415" s="4"/>
      <c r="AY415" s="4"/>
      <c r="AZ415" s="4"/>
      <c r="BA415" s="4"/>
      <c r="BB415" s="4"/>
      <c r="BC415" s="4"/>
      <c r="BD415" s="4"/>
      <c r="BE415" s="4"/>
      <c r="BF415" s="4"/>
      <c r="BG415" s="4"/>
    </row>
    <row r="416" ht="15.75" customHeight="1">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O416" s="4"/>
      <c r="AP416" s="4"/>
      <c r="AQ416" s="4"/>
      <c r="AR416" s="4"/>
      <c r="AS416" s="4"/>
      <c r="AT416" s="4"/>
      <c r="AU416" s="4"/>
      <c r="AV416" s="4"/>
      <c r="AW416" s="4"/>
      <c r="AX416" s="4"/>
      <c r="AY416" s="4"/>
      <c r="AZ416" s="4"/>
      <c r="BA416" s="4"/>
      <c r="BB416" s="4"/>
      <c r="BC416" s="4"/>
      <c r="BD416" s="4"/>
      <c r="BE416" s="4"/>
      <c r="BF416" s="4"/>
      <c r="BG416" s="4"/>
    </row>
    <row r="417" ht="15.75" customHeight="1">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O417" s="4"/>
      <c r="AP417" s="4"/>
      <c r="AQ417" s="4"/>
      <c r="AR417" s="4"/>
      <c r="AS417" s="4"/>
      <c r="AT417" s="4"/>
      <c r="AU417" s="4"/>
      <c r="AV417" s="4"/>
      <c r="AW417" s="4"/>
      <c r="AX417" s="4"/>
      <c r="AY417" s="4"/>
      <c r="AZ417" s="4"/>
      <c r="BA417" s="4"/>
      <c r="BB417" s="4"/>
      <c r="BC417" s="4"/>
      <c r="BD417" s="4"/>
      <c r="BE417" s="4"/>
      <c r="BF417" s="4"/>
      <c r="BG417" s="4"/>
    </row>
    <row r="418" ht="15.75" customHeight="1">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O418" s="4"/>
      <c r="AP418" s="4"/>
      <c r="AQ418" s="4"/>
      <c r="AR418" s="4"/>
      <c r="AS418" s="4"/>
      <c r="AT418" s="4"/>
      <c r="AU418" s="4"/>
      <c r="AV418" s="4"/>
      <c r="AW418" s="4"/>
      <c r="AX418" s="4"/>
      <c r="AY418" s="4"/>
      <c r="AZ418" s="4"/>
      <c r="BA418" s="4"/>
      <c r="BB418" s="4"/>
      <c r="BC418" s="4"/>
      <c r="BD418" s="4"/>
      <c r="BE418" s="4"/>
      <c r="BF418" s="4"/>
      <c r="BG418" s="4"/>
    </row>
    <row r="419" ht="15.75" customHeight="1">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O419" s="4"/>
      <c r="AP419" s="4"/>
      <c r="AQ419" s="4"/>
      <c r="AR419" s="4"/>
      <c r="AS419" s="4"/>
      <c r="AT419" s="4"/>
      <c r="AU419" s="4"/>
      <c r="AV419" s="4"/>
      <c r="AW419" s="4"/>
      <c r="AX419" s="4"/>
      <c r="AY419" s="4"/>
      <c r="AZ419" s="4"/>
      <c r="BA419" s="4"/>
      <c r="BB419" s="4"/>
      <c r="BC419" s="4"/>
      <c r="BD419" s="4"/>
      <c r="BE419" s="4"/>
      <c r="BF419" s="4"/>
      <c r="BG419" s="4"/>
    </row>
    <row r="420" ht="15.75" customHeight="1">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O420" s="4"/>
      <c r="AP420" s="4"/>
      <c r="AQ420" s="4"/>
      <c r="AR420" s="4"/>
      <c r="AS420" s="4"/>
      <c r="AT420" s="4"/>
      <c r="AU420" s="4"/>
      <c r="AV420" s="4"/>
      <c r="AW420" s="4"/>
      <c r="AX420" s="4"/>
      <c r="AY420" s="4"/>
      <c r="AZ420" s="4"/>
      <c r="BA420" s="4"/>
      <c r="BB420" s="4"/>
      <c r="BC420" s="4"/>
      <c r="BD420" s="4"/>
      <c r="BE420" s="4"/>
      <c r="BF420" s="4"/>
      <c r="BG420" s="4"/>
    </row>
    <row r="421" ht="15.75" customHeight="1">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O421" s="4"/>
      <c r="AP421" s="4"/>
      <c r="AQ421" s="4"/>
      <c r="AR421" s="4"/>
      <c r="AS421" s="4"/>
      <c r="AT421" s="4"/>
      <c r="AU421" s="4"/>
      <c r="AV421" s="4"/>
      <c r="AW421" s="4"/>
      <c r="AX421" s="4"/>
      <c r="AY421" s="4"/>
      <c r="AZ421" s="4"/>
      <c r="BA421" s="4"/>
      <c r="BB421" s="4"/>
      <c r="BC421" s="4"/>
      <c r="BD421" s="4"/>
      <c r="BE421" s="4"/>
      <c r="BF421" s="4"/>
      <c r="BG421" s="4"/>
    </row>
    <row r="422" ht="15.75" customHeight="1">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O422" s="4"/>
      <c r="AP422" s="4"/>
      <c r="AQ422" s="4"/>
      <c r="AR422" s="4"/>
      <c r="AS422" s="4"/>
      <c r="AT422" s="4"/>
      <c r="AU422" s="4"/>
      <c r="AV422" s="4"/>
      <c r="AW422" s="4"/>
      <c r="AX422" s="4"/>
      <c r="AY422" s="4"/>
      <c r="AZ422" s="4"/>
      <c r="BA422" s="4"/>
      <c r="BB422" s="4"/>
      <c r="BC422" s="4"/>
      <c r="BD422" s="4"/>
      <c r="BE422" s="4"/>
      <c r="BF422" s="4"/>
      <c r="BG422" s="4"/>
    </row>
    <row r="423" ht="15.75" customHeight="1">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O423" s="4"/>
      <c r="AP423" s="4"/>
      <c r="AQ423" s="4"/>
      <c r="AR423" s="4"/>
      <c r="AS423" s="4"/>
      <c r="AT423" s="4"/>
      <c r="AU423" s="4"/>
      <c r="AV423" s="4"/>
      <c r="AW423" s="4"/>
      <c r="AX423" s="4"/>
      <c r="AY423" s="4"/>
      <c r="AZ423" s="4"/>
      <c r="BA423" s="4"/>
      <c r="BB423" s="4"/>
      <c r="BC423" s="4"/>
      <c r="BD423" s="4"/>
      <c r="BE423" s="4"/>
      <c r="BF423" s="4"/>
      <c r="BG423" s="4"/>
    </row>
    <row r="424" ht="15.75" customHeight="1">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O424" s="4"/>
      <c r="AP424" s="4"/>
      <c r="AQ424" s="4"/>
      <c r="AR424" s="4"/>
      <c r="AS424" s="4"/>
      <c r="AT424" s="4"/>
      <c r="AU424" s="4"/>
      <c r="AV424" s="4"/>
      <c r="AW424" s="4"/>
      <c r="AX424" s="4"/>
      <c r="AY424" s="4"/>
      <c r="AZ424" s="4"/>
      <c r="BA424" s="4"/>
      <c r="BB424" s="4"/>
      <c r="BC424" s="4"/>
      <c r="BD424" s="4"/>
      <c r="BE424" s="4"/>
      <c r="BF424" s="4"/>
      <c r="BG424" s="4"/>
    </row>
    <row r="425" ht="15.75" customHeight="1">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O425" s="4"/>
      <c r="AP425" s="4"/>
      <c r="AQ425" s="4"/>
      <c r="AR425" s="4"/>
      <c r="AS425" s="4"/>
      <c r="AT425" s="4"/>
      <c r="AU425" s="4"/>
      <c r="AV425" s="4"/>
      <c r="AW425" s="4"/>
      <c r="AX425" s="4"/>
      <c r="AY425" s="4"/>
      <c r="AZ425" s="4"/>
      <c r="BA425" s="4"/>
      <c r="BB425" s="4"/>
      <c r="BC425" s="4"/>
      <c r="BD425" s="4"/>
      <c r="BE425" s="4"/>
      <c r="BF425" s="4"/>
      <c r="BG425" s="4"/>
    </row>
    <row r="426" ht="15.75" customHeight="1">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O426" s="4"/>
      <c r="AP426" s="4"/>
      <c r="AQ426" s="4"/>
      <c r="AR426" s="4"/>
      <c r="AS426" s="4"/>
      <c r="AT426" s="4"/>
      <c r="AU426" s="4"/>
      <c r="AV426" s="4"/>
      <c r="AW426" s="4"/>
      <c r="AX426" s="4"/>
      <c r="AY426" s="4"/>
      <c r="AZ426" s="4"/>
      <c r="BA426" s="4"/>
      <c r="BB426" s="4"/>
      <c r="BC426" s="4"/>
      <c r="BD426" s="4"/>
      <c r="BE426" s="4"/>
      <c r="BF426" s="4"/>
      <c r="BG426" s="4"/>
    </row>
    <row r="427" ht="15.75" customHeight="1">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O427" s="4"/>
      <c r="AP427" s="4"/>
      <c r="AQ427" s="4"/>
      <c r="AR427" s="4"/>
      <c r="AS427" s="4"/>
      <c r="AT427" s="4"/>
      <c r="AU427" s="4"/>
      <c r="AV427" s="4"/>
      <c r="AW427" s="4"/>
      <c r="AX427" s="4"/>
      <c r="AY427" s="4"/>
      <c r="AZ427" s="4"/>
      <c r="BA427" s="4"/>
      <c r="BB427" s="4"/>
      <c r="BC427" s="4"/>
      <c r="BD427" s="4"/>
      <c r="BE427" s="4"/>
      <c r="BF427" s="4"/>
      <c r="BG427" s="4"/>
    </row>
    <row r="428" ht="15.75" customHeight="1">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O428" s="4"/>
      <c r="AP428" s="4"/>
      <c r="AQ428" s="4"/>
      <c r="AR428" s="4"/>
      <c r="AS428" s="4"/>
      <c r="AT428" s="4"/>
      <c r="AU428" s="4"/>
      <c r="AV428" s="4"/>
      <c r="AW428" s="4"/>
      <c r="AX428" s="4"/>
      <c r="AY428" s="4"/>
      <c r="AZ428" s="4"/>
      <c r="BA428" s="4"/>
      <c r="BB428" s="4"/>
      <c r="BC428" s="4"/>
      <c r="BD428" s="4"/>
      <c r="BE428" s="4"/>
      <c r="BF428" s="4"/>
      <c r="BG428" s="4"/>
    </row>
    <row r="429" ht="15.75" customHeight="1">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O429" s="4"/>
      <c r="AP429" s="4"/>
      <c r="AQ429" s="4"/>
      <c r="AR429" s="4"/>
      <c r="AS429" s="4"/>
      <c r="AT429" s="4"/>
      <c r="AU429" s="4"/>
      <c r="AV429" s="4"/>
      <c r="AW429" s="4"/>
      <c r="AX429" s="4"/>
      <c r="AY429" s="4"/>
      <c r="AZ429" s="4"/>
      <c r="BA429" s="4"/>
      <c r="BB429" s="4"/>
      <c r="BC429" s="4"/>
      <c r="BD429" s="4"/>
      <c r="BE429" s="4"/>
      <c r="BF429" s="4"/>
      <c r="BG429" s="4"/>
    </row>
    <row r="430" ht="15.75" customHeight="1">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O430" s="4"/>
      <c r="AP430" s="4"/>
      <c r="AQ430" s="4"/>
      <c r="AR430" s="4"/>
      <c r="AS430" s="4"/>
      <c r="AT430" s="4"/>
      <c r="AU430" s="4"/>
      <c r="AV430" s="4"/>
      <c r="AW430" s="4"/>
      <c r="AX430" s="4"/>
      <c r="AY430" s="4"/>
      <c r="AZ430" s="4"/>
      <c r="BA430" s="4"/>
      <c r="BB430" s="4"/>
      <c r="BC430" s="4"/>
      <c r="BD430" s="4"/>
      <c r="BE430" s="4"/>
      <c r="BF430" s="4"/>
      <c r="BG430" s="4"/>
    </row>
    <row r="431" ht="15.75" customHeight="1">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O431" s="4"/>
      <c r="AP431" s="4"/>
      <c r="AQ431" s="4"/>
      <c r="AR431" s="4"/>
      <c r="AS431" s="4"/>
      <c r="AT431" s="4"/>
      <c r="AU431" s="4"/>
      <c r="AV431" s="4"/>
      <c r="AW431" s="4"/>
      <c r="AX431" s="4"/>
      <c r="AY431" s="4"/>
      <c r="AZ431" s="4"/>
      <c r="BA431" s="4"/>
      <c r="BB431" s="4"/>
      <c r="BC431" s="4"/>
      <c r="BD431" s="4"/>
      <c r="BE431" s="4"/>
      <c r="BF431" s="4"/>
      <c r="BG431" s="4"/>
    </row>
    <row r="432" ht="15.75" customHeight="1">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O432" s="4"/>
      <c r="AP432" s="4"/>
      <c r="AQ432" s="4"/>
      <c r="AR432" s="4"/>
      <c r="AS432" s="4"/>
      <c r="AT432" s="4"/>
      <c r="AU432" s="4"/>
      <c r="AV432" s="4"/>
      <c r="AW432" s="4"/>
      <c r="AX432" s="4"/>
      <c r="AY432" s="4"/>
      <c r="AZ432" s="4"/>
      <c r="BA432" s="4"/>
      <c r="BB432" s="4"/>
      <c r="BC432" s="4"/>
      <c r="BD432" s="4"/>
      <c r="BE432" s="4"/>
      <c r="BF432" s="4"/>
      <c r="BG432" s="4"/>
    </row>
    <row r="433" ht="15.75" customHeight="1">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O433" s="4"/>
      <c r="AP433" s="4"/>
      <c r="AQ433" s="4"/>
      <c r="AR433" s="4"/>
      <c r="AS433" s="4"/>
      <c r="AT433" s="4"/>
      <c r="AU433" s="4"/>
      <c r="AV433" s="4"/>
      <c r="AW433" s="4"/>
      <c r="AX433" s="4"/>
      <c r="AY433" s="4"/>
      <c r="AZ433" s="4"/>
      <c r="BA433" s="4"/>
      <c r="BB433" s="4"/>
      <c r="BC433" s="4"/>
      <c r="BD433" s="4"/>
      <c r="BE433" s="4"/>
      <c r="BF433" s="4"/>
      <c r="BG433" s="4"/>
    </row>
    <row r="434" ht="15.75" customHeight="1">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O434" s="4"/>
      <c r="AP434" s="4"/>
      <c r="AQ434" s="4"/>
      <c r="AR434" s="4"/>
      <c r="AS434" s="4"/>
      <c r="AT434" s="4"/>
      <c r="AU434" s="4"/>
      <c r="AV434" s="4"/>
      <c r="AW434" s="4"/>
      <c r="AX434" s="4"/>
      <c r="AY434" s="4"/>
      <c r="AZ434" s="4"/>
      <c r="BA434" s="4"/>
      <c r="BB434" s="4"/>
      <c r="BC434" s="4"/>
      <c r="BD434" s="4"/>
      <c r="BE434" s="4"/>
      <c r="BF434" s="4"/>
      <c r="BG434" s="4"/>
    </row>
    <row r="435" ht="15.75" customHeight="1">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O435" s="4"/>
      <c r="AP435" s="4"/>
      <c r="AQ435" s="4"/>
      <c r="AR435" s="4"/>
      <c r="AS435" s="4"/>
      <c r="AT435" s="4"/>
      <c r="AU435" s="4"/>
      <c r="AV435" s="4"/>
      <c r="AW435" s="4"/>
      <c r="AX435" s="4"/>
      <c r="AY435" s="4"/>
      <c r="AZ435" s="4"/>
      <c r="BA435" s="4"/>
      <c r="BB435" s="4"/>
      <c r="BC435" s="4"/>
      <c r="BD435" s="4"/>
      <c r="BE435" s="4"/>
      <c r="BF435" s="4"/>
      <c r="BG435" s="4"/>
    </row>
    <row r="436" ht="15.75" customHeight="1">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O436" s="4"/>
      <c r="AP436" s="4"/>
      <c r="AQ436" s="4"/>
      <c r="AR436" s="4"/>
      <c r="AS436" s="4"/>
      <c r="AT436" s="4"/>
      <c r="AU436" s="4"/>
      <c r="AV436" s="4"/>
      <c r="AW436" s="4"/>
      <c r="AX436" s="4"/>
      <c r="AY436" s="4"/>
      <c r="AZ436" s="4"/>
      <c r="BA436" s="4"/>
      <c r="BB436" s="4"/>
      <c r="BC436" s="4"/>
      <c r="BD436" s="4"/>
      <c r="BE436" s="4"/>
      <c r="BF436" s="4"/>
      <c r="BG436" s="4"/>
    </row>
    <row r="437" ht="15.75" customHeight="1">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O437" s="4"/>
      <c r="AP437" s="4"/>
      <c r="AQ437" s="4"/>
      <c r="AR437" s="4"/>
      <c r="AS437" s="4"/>
      <c r="AT437" s="4"/>
      <c r="AU437" s="4"/>
      <c r="AV437" s="4"/>
      <c r="AW437" s="4"/>
      <c r="AX437" s="4"/>
      <c r="AY437" s="4"/>
      <c r="AZ437" s="4"/>
      <c r="BA437" s="4"/>
      <c r="BB437" s="4"/>
      <c r="BC437" s="4"/>
      <c r="BD437" s="4"/>
      <c r="BE437" s="4"/>
      <c r="BF437" s="4"/>
      <c r="BG437" s="4"/>
    </row>
    <row r="438" ht="15.75" customHeight="1">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O438" s="4"/>
      <c r="AP438" s="4"/>
      <c r="AQ438" s="4"/>
      <c r="AR438" s="4"/>
      <c r="AS438" s="4"/>
      <c r="AT438" s="4"/>
      <c r="AU438" s="4"/>
      <c r="AV438" s="4"/>
      <c r="AW438" s="4"/>
      <c r="AX438" s="4"/>
      <c r="AY438" s="4"/>
      <c r="AZ438" s="4"/>
      <c r="BA438" s="4"/>
      <c r="BB438" s="4"/>
      <c r="BC438" s="4"/>
      <c r="BD438" s="4"/>
      <c r="BE438" s="4"/>
      <c r="BF438" s="4"/>
      <c r="BG438" s="4"/>
    </row>
    <row r="439" ht="15.75" customHeight="1">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O439" s="4"/>
      <c r="AP439" s="4"/>
      <c r="AQ439" s="4"/>
      <c r="AR439" s="4"/>
      <c r="AS439" s="4"/>
      <c r="AT439" s="4"/>
      <c r="AU439" s="4"/>
      <c r="AV439" s="4"/>
      <c r="AW439" s="4"/>
      <c r="AX439" s="4"/>
      <c r="AY439" s="4"/>
      <c r="AZ439" s="4"/>
      <c r="BA439" s="4"/>
      <c r="BB439" s="4"/>
      <c r="BC439" s="4"/>
      <c r="BD439" s="4"/>
      <c r="BE439" s="4"/>
      <c r="BF439" s="4"/>
      <c r="BG439" s="4"/>
    </row>
    <row r="440" ht="15.75" customHeight="1">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O440" s="4"/>
      <c r="AP440" s="4"/>
      <c r="AQ440" s="4"/>
      <c r="AR440" s="4"/>
      <c r="AS440" s="4"/>
      <c r="AT440" s="4"/>
      <c r="AU440" s="4"/>
      <c r="AV440" s="4"/>
      <c r="AW440" s="4"/>
      <c r="AX440" s="4"/>
      <c r="AY440" s="4"/>
      <c r="AZ440" s="4"/>
      <c r="BA440" s="4"/>
      <c r="BB440" s="4"/>
      <c r="BC440" s="4"/>
      <c r="BD440" s="4"/>
      <c r="BE440" s="4"/>
      <c r="BF440" s="4"/>
      <c r="BG440" s="4"/>
    </row>
    <row r="441" ht="15.75" customHeight="1">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O441" s="4"/>
      <c r="AP441" s="4"/>
      <c r="AQ441" s="4"/>
      <c r="AR441" s="4"/>
      <c r="AS441" s="4"/>
      <c r="AT441" s="4"/>
      <c r="AU441" s="4"/>
      <c r="AV441" s="4"/>
      <c r="AW441" s="4"/>
      <c r="AX441" s="4"/>
      <c r="AY441" s="4"/>
      <c r="AZ441" s="4"/>
      <c r="BA441" s="4"/>
      <c r="BB441" s="4"/>
      <c r="BC441" s="4"/>
      <c r="BD441" s="4"/>
      <c r="BE441" s="4"/>
      <c r="BF441" s="4"/>
      <c r="BG441" s="4"/>
    </row>
    <row r="442" ht="15.75" customHeight="1">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O442" s="4"/>
      <c r="AP442" s="4"/>
      <c r="AQ442" s="4"/>
      <c r="AR442" s="4"/>
      <c r="AS442" s="4"/>
      <c r="AT442" s="4"/>
      <c r="AU442" s="4"/>
      <c r="AV442" s="4"/>
      <c r="AW442" s="4"/>
      <c r="AX442" s="4"/>
      <c r="AY442" s="4"/>
      <c r="AZ442" s="4"/>
      <c r="BA442" s="4"/>
      <c r="BB442" s="4"/>
      <c r="BC442" s="4"/>
      <c r="BD442" s="4"/>
      <c r="BE442" s="4"/>
      <c r="BF442" s="4"/>
      <c r="BG442" s="4"/>
    </row>
    <row r="443" ht="15.75" customHeight="1">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O443" s="4"/>
      <c r="AP443" s="4"/>
      <c r="AQ443" s="4"/>
      <c r="AR443" s="4"/>
      <c r="AS443" s="4"/>
      <c r="AT443" s="4"/>
      <c r="AU443" s="4"/>
      <c r="AV443" s="4"/>
      <c r="AW443" s="4"/>
      <c r="AX443" s="4"/>
      <c r="AY443" s="4"/>
      <c r="AZ443" s="4"/>
      <c r="BA443" s="4"/>
      <c r="BB443" s="4"/>
      <c r="BC443" s="4"/>
      <c r="BD443" s="4"/>
      <c r="BE443" s="4"/>
      <c r="BF443" s="4"/>
      <c r="BG443" s="4"/>
    </row>
    <row r="444" ht="15.75" customHeight="1">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O444" s="4"/>
      <c r="AP444" s="4"/>
      <c r="AQ444" s="4"/>
      <c r="AR444" s="4"/>
      <c r="AS444" s="4"/>
      <c r="AT444" s="4"/>
      <c r="AU444" s="4"/>
      <c r="AV444" s="4"/>
      <c r="AW444" s="4"/>
      <c r="AX444" s="4"/>
      <c r="AY444" s="4"/>
      <c r="AZ444" s="4"/>
      <c r="BA444" s="4"/>
      <c r="BB444" s="4"/>
      <c r="BC444" s="4"/>
      <c r="BD444" s="4"/>
      <c r="BE444" s="4"/>
      <c r="BF444" s="4"/>
      <c r="BG444" s="4"/>
    </row>
    <row r="445" ht="15.75" customHeight="1">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O445" s="4"/>
      <c r="AP445" s="4"/>
      <c r="AQ445" s="4"/>
      <c r="AR445" s="4"/>
      <c r="AS445" s="4"/>
      <c r="AT445" s="4"/>
      <c r="AU445" s="4"/>
      <c r="AV445" s="4"/>
      <c r="AW445" s="4"/>
      <c r="AX445" s="4"/>
      <c r="AY445" s="4"/>
      <c r="AZ445" s="4"/>
      <c r="BA445" s="4"/>
      <c r="BB445" s="4"/>
      <c r="BC445" s="4"/>
      <c r="BD445" s="4"/>
      <c r="BE445" s="4"/>
      <c r="BF445" s="4"/>
      <c r="BG445" s="4"/>
    </row>
    <row r="446" ht="15.75" customHeight="1">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O446" s="4"/>
      <c r="AP446" s="4"/>
      <c r="AQ446" s="4"/>
      <c r="AR446" s="4"/>
      <c r="AS446" s="4"/>
      <c r="AT446" s="4"/>
      <c r="AU446" s="4"/>
      <c r="AV446" s="4"/>
      <c r="AW446" s="4"/>
      <c r="AX446" s="4"/>
      <c r="AY446" s="4"/>
      <c r="AZ446" s="4"/>
      <c r="BA446" s="4"/>
      <c r="BB446" s="4"/>
      <c r="BC446" s="4"/>
      <c r="BD446" s="4"/>
      <c r="BE446" s="4"/>
      <c r="BF446" s="4"/>
      <c r="BG446" s="4"/>
    </row>
    <row r="447" ht="15.75" customHeight="1">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O447" s="4"/>
      <c r="AP447" s="4"/>
      <c r="AQ447" s="4"/>
      <c r="AR447" s="4"/>
      <c r="AS447" s="4"/>
      <c r="AT447" s="4"/>
      <c r="AU447" s="4"/>
      <c r="AV447" s="4"/>
      <c r="AW447" s="4"/>
      <c r="AX447" s="4"/>
      <c r="AY447" s="4"/>
      <c r="AZ447" s="4"/>
      <c r="BA447" s="4"/>
      <c r="BB447" s="4"/>
      <c r="BC447" s="4"/>
      <c r="BD447" s="4"/>
      <c r="BE447" s="4"/>
      <c r="BF447" s="4"/>
      <c r="BG447" s="4"/>
    </row>
    <row r="448" ht="15.75" customHeight="1">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O448" s="4"/>
      <c r="AP448" s="4"/>
      <c r="AQ448" s="4"/>
      <c r="AR448" s="4"/>
      <c r="AS448" s="4"/>
      <c r="AT448" s="4"/>
      <c r="AU448" s="4"/>
      <c r="AV448" s="4"/>
      <c r="AW448" s="4"/>
      <c r="AX448" s="4"/>
      <c r="AY448" s="4"/>
      <c r="AZ448" s="4"/>
      <c r="BA448" s="4"/>
      <c r="BB448" s="4"/>
      <c r="BC448" s="4"/>
      <c r="BD448" s="4"/>
      <c r="BE448" s="4"/>
      <c r="BF448" s="4"/>
      <c r="BG448" s="4"/>
    </row>
    <row r="449" ht="15.75" customHeight="1">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O449" s="4"/>
      <c r="AP449" s="4"/>
      <c r="AQ449" s="4"/>
      <c r="AR449" s="4"/>
      <c r="AS449" s="4"/>
      <c r="AT449" s="4"/>
      <c r="AU449" s="4"/>
      <c r="AV449" s="4"/>
      <c r="AW449" s="4"/>
      <c r="AX449" s="4"/>
      <c r="AY449" s="4"/>
      <c r="AZ449" s="4"/>
      <c r="BA449" s="4"/>
      <c r="BB449" s="4"/>
      <c r="BC449" s="4"/>
      <c r="BD449" s="4"/>
      <c r="BE449" s="4"/>
      <c r="BF449" s="4"/>
      <c r="BG449" s="4"/>
    </row>
    <row r="450" ht="15.75" customHeight="1">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O450" s="4"/>
      <c r="AP450" s="4"/>
      <c r="AQ450" s="4"/>
      <c r="AR450" s="4"/>
      <c r="AS450" s="4"/>
      <c r="AT450" s="4"/>
      <c r="AU450" s="4"/>
      <c r="AV450" s="4"/>
      <c r="AW450" s="4"/>
      <c r="AX450" s="4"/>
      <c r="AY450" s="4"/>
      <c r="AZ450" s="4"/>
      <c r="BA450" s="4"/>
      <c r="BB450" s="4"/>
      <c r="BC450" s="4"/>
      <c r="BD450" s="4"/>
      <c r="BE450" s="4"/>
      <c r="BF450" s="4"/>
      <c r="BG450" s="4"/>
    </row>
    <row r="451" ht="15.75" customHeight="1">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O451" s="4"/>
      <c r="AP451" s="4"/>
      <c r="AQ451" s="4"/>
      <c r="AR451" s="4"/>
      <c r="AS451" s="4"/>
      <c r="AT451" s="4"/>
      <c r="AU451" s="4"/>
      <c r="AV451" s="4"/>
      <c r="AW451" s="4"/>
      <c r="AX451" s="4"/>
      <c r="AY451" s="4"/>
      <c r="AZ451" s="4"/>
      <c r="BA451" s="4"/>
      <c r="BB451" s="4"/>
      <c r="BC451" s="4"/>
      <c r="BD451" s="4"/>
      <c r="BE451" s="4"/>
      <c r="BF451" s="4"/>
      <c r="BG451" s="4"/>
    </row>
    <row r="452" ht="15.75" customHeight="1">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O452" s="4"/>
      <c r="AP452" s="4"/>
      <c r="AQ452" s="4"/>
      <c r="AR452" s="4"/>
      <c r="AS452" s="4"/>
      <c r="AT452" s="4"/>
      <c r="AU452" s="4"/>
      <c r="AV452" s="4"/>
      <c r="AW452" s="4"/>
      <c r="AX452" s="4"/>
      <c r="AY452" s="4"/>
      <c r="AZ452" s="4"/>
      <c r="BA452" s="4"/>
      <c r="BB452" s="4"/>
      <c r="BC452" s="4"/>
      <c r="BD452" s="4"/>
      <c r="BE452" s="4"/>
      <c r="BF452" s="4"/>
      <c r="BG452" s="4"/>
    </row>
    <row r="453" ht="15.75" customHeight="1">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O453" s="4"/>
      <c r="AP453" s="4"/>
      <c r="AQ453" s="4"/>
      <c r="AR453" s="4"/>
      <c r="AS453" s="4"/>
      <c r="AT453" s="4"/>
      <c r="AU453" s="4"/>
      <c r="AV453" s="4"/>
      <c r="AW453" s="4"/>
      <c r="AX453" s="4"/>
      <c r="AY453" s="4"/>
      <c r="AZ453" s="4"/>
      <c r="BA453" s="4"/>
      <c r="BB453" s="4"/>
      <c r="BC453" s="4"/>
      <c r="BD453" s="4"/>
      <c r="BE453" s="4"/>
      <c r="BF453" s="4"/>
      <c r="BG453" s="4"/>
    </row>
    <row r="454" ht="15.75" customHeight="1">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O454" s="4"/>
      <c r="AP454" s="4"/>
      <c r="AQ454" s="4"/>
      <c r="AR454" s="4"/>
      <c r="AS454" s="4"/>
      <c r="AT454" s="4"/>
      <c r="AU454" s="4"/>
      <c r="AV454" s="4"/>
      <c r="AW454" s="4"/>
      <c r="AX454" s="4"/>
      <c r="AY454" s="4"/>
      <c r="AZ454" s="4"/>
      <c r="BA454" s="4"/>
      <c r="BB454" s="4"/>
      <c r="BC454" s="4"/>
      <c r="BD454" s="4"/>
      <c r="BE454" s="4"/>
      <c r="BF454" s="4"/>
      <c r="BG454" s="4"/>
    </row>
    <row r="455" ht="15.75" customHeight="1">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O455" s="4"/>
      <c r="AP455" s="4"/>
      <c r="AQ455" s="4"/>
      <c r="AR455" s="4"/>
      <c r="AS455" s="4"/>
      <c r="AT455" s="4"/>
      <c r="AU455" s="4"/>
      <c r="AV455" s="4"/>
      <c r="AW455" s="4"/>
      <c r="AX455" s="4"/>
      <c r="AY455" s="4"/>
      <c r="AZ455" s="4"/>
      <c r="BA455" s="4"/>
      <c r="BB455" s="4"/>
      <c r="BC455" s="4"/>
      <c r="BD455" s="4"/>
      <c r="BE455" s="4"/>
      <c r="BF455" s="4"/>
      <c r="BG455" s="4"/>
    </row>
    <row r="456" ht="15.75" customHeight="1">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O456" s="4"/>
      <c r="AP456" s="4"/>
      <c r="AQ456" s="4"/>
      <c r="AR456" s="4"/>
      <c r="AS456" s="4"/>
      <c r="AT456" s="4"/>
      <c r="AU456" s="4"/>
      <c r="AV456" s="4"/>
      <c r="AW456" s="4"/>
      <c r="AX456" s="4"/>
      <c r="AY456" s="4"/>
      <c r="AZ456" s="4"/>
      <c r="BA456" s="4"/>
      <c r="BB456" s="4"/>
      <c r="BC456" s="4"/>
      <c r="BD456" s="4"/>
      <c r="BE456" s="4"/>
      <c r="BF456" s="4"/>
      <c r="BG456" s="4"/>
    </row>
    <row r="457" ht="15.75" customHeight="1">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O457" s="4"/>
      <c r="AP457" s="4"/>
      <c r="AQ457" s="4"/>
      <c r="AR457" s="4"/>
      <c r="AS457" s="4"/>
      <c r="AT457" s="4"/>
      <c r="AU457" s="4"/>
      <c r="AV457" s="4"/>
      <c r="AW457" s="4"/>
      <c r="AX457" s="4"/>
      <c r="AY457" s="4"/>
      <c r="AZ457" s="4"/>
      <c r="BA457" s="4"/>
      <c r="BB457" s="4"/>
      <c r="BC457" s="4"/>
      <c r="BD457" s="4"/>
      <c r="BE457" s="4"/>
      <c r="BF457" s="4"/>
      <c r="BG457" s="4"/>
    </row>
    <row r="458" ht="15.75" customHeight="1">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O458" s="4"/>
      <c r="AP458" s="4"/>
      <c r="AQ458" s="4"/>
      <c r="AR458" s="4"/>
      <c r="AS458" s="4"/>
      <c r="AT458" s="4"/>
      <c r="AU458" s="4"/>
      <c r="AV458" s="4"/>
      <c r="AW458" s="4"/>
      <c r="AX458" s="4"/>
      <c r="AY458" s="4"/>
      <c r="AZ458" s="4"/>
      <c r="BA458" s="4"/>
      <c r="BB458" s="4"/>
      <c r="BC458" s="4"/>
      <c r="BD458" s="4"/>
      <c r="BE458" s="4"/>
      <c r="BF458" s="4"/>
      <c r="BG458" s="4"/>
    </row>
    <row r="459" ht="15.75" customHeight="1">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O459" s="4"/>
      <c r="AP459" s="4"/>
      <c r="AQ459" s="4"/>
      <c r="AR459" s="4"/>
      <c r="AS459" s="4"/>
      <c r="AT459" s="4"/>
      <c r="AU459" s="4"/>
      <c r="AV459" s="4"/>
      <c r="AW459" s="4"/>
      <c r="AX459" s="4"/>
      <c r="AY459" s="4"/>
      <c r="AZ459" s="4"/>
      <c r="BA459" s="4"/>
      <c r="BB459" s="4"/>
      <c r="BC459" s="4"/>
      <c r="BD459" s="4"/>
      <c r="BE459" s="4"/>
      <c r="BF459" s="4"/>
      <c r="BG459" s="4"/>
    </row>
    <row r="460" ht="15.75" customHeight="1">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O460" s="4"/>
      <c r="AP460" s="4"/>
      <c r="AQ460" s="4"/>
      <c r="AR460" s="4"/>
      <c r="AS460" s="4"/>
      <c r="AT460" s="4"/>
      <c r="AU460" s="4"/>
      <c r="AV460" s="4"/>
      <c r="AW460" s="4"/>
      <c r="AX460" s="4"/>
      <c r="AY460" s="4"/>
      <c r="AZ460" s="4"/>
      <c r="BA460" s="4"/>
      <c r="BB460" s="4"/>
      <c r="BC460" s="4"/>
      <c r="BD460" s="4"/>
      <c r="BE460" s="4"/>
      <c r="BF460" s="4"/>
      <c r="BG460" s="4"/>
    </row>
    <row r="461" ht="15.75" customHeight="1">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O461" s="4"/>
      <c r="AP461" s="4"/>
      <c r="AQ461" s="4"/>
      <c r="AR461" s="4"/>
      <c r="AS461" s="4"/>
      <c r="AT461" s="4"/>
      <c r="AU461" s="4"/>
      <c r="AV461" s="4"/>
      <c r="AW461" s="4"/>
      <c r="AX461" s="4"/>
      <c r="AY461" s="4"/>
      <c r="AZ461" s="4"/>
      <c r="BA461" s="4"/>
      <c r="BB461" s="4"/>
      <c r="BC461" s="4"/>
      <c r="BD461" s="4"/>
      <c r="BE461" s="4"/>
      <c r="BF461" s="4"/>
      <c r="BG461" s="4"/>
    </row>
    <row r="462" ht="15.75" customHeight="1">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O462" s="4"/>
      <c r="AP462" s="4"/>
      <c r="AQ462" s="4"/>
      <c r="AR462" s="4"/>
      <c r="AS462" s="4"/>
      <c r="AT462" s="4"/>
      <c r="AU462" s="4"/>
      <c r="AV462" s="4"/>
      <c r="AW462" s="4"/>
      <c r="AX462" s="4"/>
      <c r="AY462" s="4"/>
      <c r="AZ462" s="4"/>
      <c r="BA462" s="4"/>
      <c r="BB462" s="4"/>
      <c r="BC462" s="4"/>
      <c r="BD462" s="4"/>
      <c r="BE462" s="4"/>
      <c r="BF462" s="4"/>
      <c r="BG462" s="4"/>
    </row>
    <row r="463" ht="15.75" customHeight="1">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O463" s="4"/>
      <c r="AP463" s="4"/>
      <c r="AQ463" s="4"/>
      <c r="AR463" s="4"/>
      <c r="AS463" s="4"/>
      <c r="AT463" s="4"/>
      <c r="AU463" s="4"/>
      <c r="AV463" s="4"/>
      <c r="AW463" s="4"/>
      <c r="AX463" s="4"/>
      <c r="AY463" s="4"/>
      <c r="AZ463" s="4"/>
      <c r="BA463" s="4"/>
      <c r="BB463" s="4"/>
      <c r="BC463" s="4"/>
      <c r="BD463" s="4"/>
      <c r="BE463" s="4"/>
      <c r="BF463" s="4"/>
      <c r="BG463" s="4"/>
    </row>
    <row r="464" ht="15.75" customHeight="1">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O464" s="4"/>
      <c r="AP464" s="4"/>
      <c r="AQ464" s="4"/>
      <c r="AR464" s="4"/>
      <c r="AS464" s="4"/>
      <c r="AT464" s="4"/>
      <c r="AU464" s="4"/>
      <c r="AV464" s="4"/>
      <c r="AW464" s="4"/>
      <c r="AX464" s="4"/>
      <c r="AY464" s="4"/>
      <c r="AZ464" s="4"/>
      <c r="BA464" s="4"/>
      <c r="BB464" s="4"/>
      <c r="BC464" s="4"/>
      <c r="BD464" s="4"/>
      <c r="BE464" s="4"/>
      <c r="BF464" s="4"/>
      <c r="BG464" s="4"/>
    </row>
    <row r="465" ht="15.75" customHeight="1">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O465" s="4"/>
      <c r="AP465" s="4"/>
      <c r="AQ465" s="4"/>
      <c r="AR465" s="4"/>
      <c r="AS465" s="4"/>
      <c r="AT465" s="4"/>
      <c r="AU465" s="4"/>
      <c r="AV465" s="4"/>
      <c r="AW465" s="4"/>
      <c r="AX465" s="4"/>
      <c r="AY465" s="4"/>
      <c r="AZ465" s="4"/>
      <c r="BA465" s="4"/>
      <c r="BB465" s="4"/>
      <c r="BC465" s="4"/>
      <c r="BD465" s="4"/>
      <c r="BE465" s="4"/>
      <c r="BF465" s="4"/>
      <c r="BG465" s="4"/>
    </row>
    <row r="466" ht="15.75" customHeight="1">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O466" s="4"/>
      <c r="AP466" s="4"/>
      <c r="AQ466" s="4"/>
      <c r="AR466" s="4"/>
      <c r="AS466" s="4"/>
      <c r="AT466" s="4"/>
      <c r="AU466" s="4"/>
      <c r="AV466" s="4"/>
      <c r="AW466" s="4"/>
      <c r="AX466" s="4"/>
      <c r="AY466" s="4"/>
      <c r="AZ466" s="4"/>
      <c r="BA466" s="4"/>
      <c r="BB466" s="4"/>
      <c r="BC466" s="4"/>
      <c r="BD466" s="4"/>
      <c r="BE466" s="4"/>
      <c r="BF466" s="4"/>
      <c r="BG466" s="4"/>
    </row>
    <row r="467" ht="15.75" customHeight="1">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O467" s="4"/>
      <c r="AP467" s="4"/>
      <c r="AQ467" s="4"/>
      <c r="AR467" s="4"/>
      <c r="AS467" s="4"/>
      <c r="AT467" s="4"/>
      <c r="AU467" s="4"/>
      <c r="AV467" s="4"/>
      <c r="AW467" s="4"/>
      <c r="AX467" s="4"/>
      <c r="AY467" s="4"/>
      <c r="AZ467" s="4"/>
      <c r="BA467" s="4"/>
      <c r="BB467" s="4"/>
      <c r="BC467" s="4"/>
      <c r="BD467" s="4"/>
      <c r="BE467" s="4"/>
      <c r="BF467" s="4"/>
      <c r="BG467" s="4"/>
    </row>
    <row r="468" ht="15.75" customHeight="1">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O468" s="4"/>
      <c r="AP468" s="4"/>
      <c r="AQ468" s="4"/>
      <c r="AR468" s="4"/>
      <c r="AS468" s="4"/>
      <c r="AT468" s="4"/>
      <c r="AU468" s="4"/>
      <c r="AV468" s="4"/>
      <c r="AW468" s="4"/>
      <c r="AX468" s="4"/>
      <c r="AY468" s="4"/>
      <c r="AZ468" s="4"/>
      <c r="BA468" s="4"/>
      <c r="BB468" s="4"/>
      <c r="BC468" s="4"/>
      <c r="BD468" s="4"/>
      <c r="BE468" s="4"/>
      <c r="BF468" s="4"/>
      <c r="BG468" s="4"/>
    </row>
    <row r="469" ht="15.75" customHeight="1">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O469" s="4"/>
      <c r="AP469" s="4"/>
      <c r="AQ469" s="4"/>
      <c r="AR469" s="4"/>
      <c r="AS469" s="4"/>
      <c r="AT469" s="4"/>
      <c r="AU469" s="4"/>
      <c r="AV469" s="4"/>
      <c r="AW469" s="4"/>
      <c r="AX469" s="4"/>
      <c r="AY469" s="4"/>
      <c r="AZ469" s="4"/>
      <c r="BA469" s="4"/>
      <c r="BB469" s="4"/>
      <c r="BC469" s="4"/>
      <c r="BD469" s="4"/>
      <c r="BE469" s="4"/>
      <c r="BF469" s="4"/>
      <c r="BG469" s="4"/>
    </row>
    <row r="470" ht="15.75" customHeight="1">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O470" s="4"/>
      <c r="AP470" s="4"/>
      <c r="AQ470" s="4"/>
      <c r="AR470" s="4"/>
      <c r="AS470" s="4"/>
      <c r="AT470" s="4"/>
      <c r="AU470" s="4"/>
      <c r="AV470" s="4"/>
      <c r="AW470" s="4"/>
      <c r="AX470" s="4"/>
      <c r="AY470" s="4"/>
      <c r="AZ470" s="4"/>
      <c r="BA470" s="4"/>
      <c r="BB470" s="4"/>
      <c r="BC470" s="4"/>
      <c r="BD470" s="4"/>
      <c r="BE470" s="4"/>
      <c r="BF470" s="4"/>
      <c r="BG470" s="4"/>
    </row>
    <row r="471" ht="15.75" customHeight="1">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O471" s="4"/>
      <c r="AP471" s="4"/>
      <c r="AQ471" s="4"/>
      <c r="AR471" s="4"/>
      <c r="AS471" s="4"/>
      <c r="AT471" s="4"/>
      <c r="AU471" s="4"/>
      <c r="AV471" s="4"/>
      <c r="AW471" s="4"/>
      <c r="AX471" s="4"/>
      <c r="AY471" s="4"/>
      <c r="AZ471" s="4"/>
      <c r="BA471" s="4"/>
      <c r="BB471" s="4"/>
      <c r="BC471" s="4"/>
      <c r="BD471" s="4"/>
      <c r="BE471" s="4"/>
      <c r="BF471" s="4"/>
      <c r="BG471" s="4"/>
    </row>
    <row r="472" ht="15.75" customHeight="1">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O472" s="4"/>
      <c r="AP472" s="4"/>
      <c r="AQ472" s="4"/>
      <c r="AR472" s="4"/>
      <c r="AS472" s="4"/>
      <c r="AT472" s="4"/>
      <c r="AU472" s="4"/>
      <c r="AV472" s="4"/>
      <c r="AW472" s="4"/>
      <c r="AX472" s="4"/>
      <c r="AY472" s="4"/>
      <c r="AZ472" s="4"/>
      <c r="BA472" s="4"/>
      <c r="BB472" s="4"/>
      <c r="BC472" s="4"/>
      <c r="BD472" s="4"/>
      <c r="BE472" s="4"/>
      <c r="BF472" s="4"/>
      <c r="BG472" s="4"/>
    </row>
    <row r="473" ht="15.75" customHeight="1">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O473" s="4"/>
      <c r="AP473" s="4"/>
      <c r="AQ473" s="4"/>
      <c r="AR473" s="4"/>
      <c r="AS473" s="4"/>
      <c r="AT473" s="4"/>
      <c r="AU473" s="4"/>
      <c r="AV473" s="4"/>
      <c r="AW473" s="4"/>
      <c r="AX473" s="4"/>
      <c r="AY473" s="4"/>
      <c r="AZ473" s="4"/>
      <c r="BA473" s="4"/>
      <c r="BB473" s="4"/>
      <c r="BC473" s="4"/>
      <c r="BD473" s="4"/>
      <c r="BE473" s="4"/>
      <c r="BF473" s="4"/>
      <c r="BG473" s="4"/>
    </row>
    <row r="474" ht="15.75" customHeight="1">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O474" s="4"/>
      <c r="AP474" s="4"/>
      <c r="AQ474" s="4"/>
      <c r="AR474" s="4"/>
      <c r="AS474" s="4"/>
      <c r="AT474" s="4"/>
      <c r="AU474" s="4"/>
      <c r="AV474" s="4"/>
      <c r="AW474" s="4"/>
      <c r="AX474" s="4"/>
      <c r="AY474" s="4"/>
      <c r="AZ474" s="4"/>
      <c r="BA474" s="4"/>
      <c r="BB474" s="4"/>
      <c r="BC474" s="4"/>
      <c r="BD474" s="4"/>
      <c r="BE474" s="4"/>
      <c r="BF474" s="4"/>
      <c r="BG474" s="4"/>
    </row>
    <row r="475" ht="15.75" customHeight="1">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O475" s="4"/>
      <c r="AP475" s="4"/>
      <c r="AQ475" s="4"/>
      <c r="AR475" s="4"/>
      <c r="AS475" s="4"/>
      <c r="AT475" s="4"/>
      <c r="AU475" s="4"/>
      <c r="AV475" s="4"/>
      <c r="AW475" s="4"/>
      <c r="AX475" s="4"/>
      <c r="AY475" s="4"/>
      <c r="AZ475" s="4"/>
      <c r="BA475" s="4"/>
      <c r="BB475" s="4"/>
      <c r="BC475" s="4"/>
      <c r="BD475" s="4"/>
      <c r="BE475" s="4"/>
      <c r="BF475" s="4"/>
      <c r="BG475" s="4"/>
    </row>
    <row r="476" ht="15.75" customHeight="1">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O476" s="4"/>
      <c r="AP476" s="4"/>
      <c r="AQ476" s="4"/>
      <c r="AR476" s="4"/>
      <c r="AS476" s="4"/>
      <c r="AT476" s="4"/>
      <c r="AU476" s="4"/>
      <c r="AV476" s="4"/>
      <c r="AW476" s="4"/>
      <c r="AX476" s="4"/>
      <c r="AY476" s="4"/>
      <c r="AZ476" s="4"/>
      <c r="BA476" s="4"/>
      <c r="BB476" s="4"/>
      <c r="BC476" s="4"/>
      <c r="BD476" s="4"/>
      <c r="BE476" s="4"/>
      <c r="BF476" s="4"/>
      <c r="BG476" s="4"/>
    </row>
    <row r="477" ht="15.75" customHeight="1">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O477" s="4"/>
      <c r="AP477" s="4"/>
      <c r="AQ477" s="4"/>
      <c r="AR477" s="4"/>
      <c r="AS477" s="4"/>
      <c r="AT477" s="4"/>
      <c r="AU477" s="4"/>
      <c r="AV477" s="4"/>
      <c r="AW477" s="4"/>
      <c r="AX477" s="4"/>
      <c r="AY477" s="4"/>
      <c r="AZ477" s="4"/>
      <c r="BA477" s="4"/>
      <c r="BB477" s="4"/>
      <c r="BC477" s="4"/>
      <c r="BD477" s="4"/>
      <c r="BE477" s="4"/>
      <c r="BF477" s="4"/>
      <c r="BG477" s="4"/>
    </row>
    <row r="478" ht="15.75" customHeight="1">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O478" s="4"/>
      <c r="AP478" s="4"/>
      <c r="AQ478" s="4"/>
      <c r="AR478" s="4"/>
      <c r="AS478" s="4"/>
      <c r="AT478" s="4"/>
      <c r="AU478" s="4"/>
      <c r="AV478" s="4"/>
      <c r="AW478" s="4"/>
      <c r="AX478" s="4"/>
      <c r="AY478" s="4"/>
      <c r="AZ478" s="4"/>
      <c r="BA478" s="4"/>
      <c r="BB478" s="4"/>
      <c r="BC478" s="4"/>
      <c r="BD478" s="4"/>
      <c r="BE478" s="4"/>
      <c r="BF478" s="4"/>
      <c r="BG478" s="4"/>
    </row>
    <row r="479" ht="15.75" customHeight="1">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O479" s="4"/>
      <c r="AP479" s="4"/>
      <c r="AQ479" s="4"/>
      <c r="AR479" s="4"/>
      <c r="AS479" s="4"/>
      <c r="AT479" s="4"/>
      <c r="AU479" s="4"/>
      <c r="AV479" s="4"/>
      <c r="AW479" s="4"/>
      <c r="AX479" s="4"/>
      <c r="AY479" s="4"/>
      <c r="AZ479" s="4"/>
      <c r="BA479" s="4"/>
      <c r="BB479" s="4"/>
      <c r="BC479" s="4"/>
      <c r="BD479" s="4"/>
      <c r="BE479" s="4"/>
      <c r="BF479" s="4"/>
      <c r="BG479" s="4"/>
    </row>
    <row r="480" ht="15.75" customHeight="1">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O480" s="4"/>
      <c r="AP480" s="4"/>
      <c r="AQ480" s="4"/>
      <c r="AR480" s="4"/>
      <c r="AS480" s="4"/>
      <c r="AT480" s="4"/>
      <c r="AU480" s="4"/>
      <c r="AV480" s="4"/>
      <c r="AW480" s="4"/>
      <c r="AX480" s="4"/>
      <c r="AY480" s="4"/>
      <c r="AZ480" s="4"/>
      <c r="BA480" s="4"/>
      <c r="BB480" s="4"/>
      <c r="BC480" s="4"/>
      <c r="BD480" s="4"/>
      <c r="BE480" s="4"/>
      <c r="BF480" s="4"/>
      <c r="BG480" s="4"/>
    </row>
    <row r="481" ht="15.75" customHeight="1">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O481" s="4"/>
      <c r="AP481" s="4"/>
      <c r="AQ481" s="4"/>
      <c r="AR481" s="4"/>
      <c r="AS481" s="4"/>
      <c r="AT481" s="4"/>
      <c r="AU481" s="4"/>
      <c r="AV481" s="4"/>
      <c r="AW481" s="4"/>
      <c r="AX481" s="4"/>
      <c r="AY481" s="4"/>
      <c r="AZ481" s="4"/>
      <c r="BA481" s="4"/>
      <c r="BB481" s="4"/>
      <c r="BC481" s="4"/>
      <c r="BD481" s="4"/>
      <c r="BE481" s="4"/>
      <c r="BF481" s="4"/>
      <c r="BG481" s="4"/>
    </row>
    <row r="482" ht="15.75" customHeight="1">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O482" s="4"/>
      <c r="AP482" s="4"/>
      <c r="AQ482" s="4"/>
      <c r="AR482" s="4"/>
      <c r="AS482" s="4"/>
      <c r="AT482" s="4"/>
      <c r="AU482" s="4"/>
      <c r="AV482" s="4"/>
      <c r="AW482" s="4"/>
      <c r="AX482" s="4"/>
      <c r="AY482" s="4"/>
      <c r="AZ482" s="4"/>
      <c r="BA482" s="4"/>
      <c r="BB482" s="4"/>
      <c r="BC482" s="4"/>
      <c r="BD482" s="4"/>
      <c r="BE482" s="4"/>
      <c r="BF482" s="4"/>
      <c r="BG482" s="4"/>
    </row>
    <row r="483" ht="15.75" customHeight="1">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O483" s="4"/>
      <c r="AP483" s="4"/>
      <c r="AQ483" s="4"/>
      <c r="AR483" s="4"/>
      <c r="AS483" s="4"/>
      <c r="AT483" s="4"/>
      <c r="AU483" s="4"/>
      <c r="AV483" s="4"/>
      <c r="AW483" s="4"/>
      <c r="AX483" s="4"/>
      <c r="AY483" s="4"/>
      <c r="AZ483" s="4"/>
      <c r="BA483" s="4"/>
      <c r="BB483" s="4"/>
      <c r="BC483" s="4"/>
      <c r="BD483" s="4"/>
      <c r="BE483" s="4"/>
      <c r="BF483" s="4"/>
      <c r="BG483" s="4"/>
    </row>
    <row r="484" ht="15.75" customHeight="1">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O484" s="4"/>
      <c r="AP484" s="4"/>
      <c r="AQ484" s="4"/>
      <c r="AR484" s="4"/>
      <c r="AS484" s="4"/>
      <c r="AT484" s="4"/>
      <c r="AU484" s="4"/>
      <c r="AV484" s="4"/>
      <c r="AW484" s="4"/>
      <c r="AX484" s="4"/>
      <c r="AY484" s="4"/>
      <c r="AZ484" s="4"/>
      <c r="BA484" s="4"/>
      <c r="BB484" s="4"/>
      <c r="BC484" s="4"/>
      <c r="BD484" s="4"/>
      <c r="BE484" s="4"/>
      <c r="BF484" s="4"/>
      <c r="BG484" s="4"/>
    </row>
    <row r="485" ht="15.75" customHeight="1">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O485" s="4"/>
      <c r="AP485" s="4"/>
      <c r="AQ485" s="4"/>
      <c r="AR485" s="4"/>
      <c r="AS485" s="4"/>
      <c r="AT485" s="4"/>
      <c r="AU485" s="4"/>
      <c r="AV485" s="4"/>
      <c r="AW485" s="4"/>
      <c r="AX485" s="4"/>
      <c r="AY485" s="4"/>
      <c r="AZ485" s="4"/>
      <c r="BA485" s="4"/>
      <c r="BB485" s="4"/>
      <c r="BC485" s="4"/>
      <c r="BD485" s="4"/>
      <c r="BE485" s="4"/>
      <c r="BF485" s="4"/>
      <c r="BG485" s="4"/>
    </row>
    <row r="486" ht="15.75" customHeight="1">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O486" s="4"/>
      <c r="AP486" s="4"/>
      <c r="AQ486" s="4"/>
      <c r="AR486" s="4"/>
      <c r="AS486" s="4"/>
      <c r="AT486" s="4"/>
      <c r="AU486" s="4"/>
      <c r="AV486" s="4"/>
      <c r="AW486" s="4"/>
      <c r="AX486" s="4"/>
      <c r="AY486" s="4"/>
      <c r="AZ486" s="4"/>
      <c r="BA486" s="4"/>
      <c r="BB486" s="4"/>
      <c r="BC486" s="4"/>
      <c r="BD486" s="4"/>
      <c r="BE486" s="4"/>
      <c r="BF486" s="4"/>
      <c r="BG486" s="4"/>
    </row>
    <row r="487" ht="15.75" customHeight="1">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O487" s="4"/>
      <c r="AP487" s="4"/>
      <c r="AQ487" s="4"/>
      <c r="AR487" s="4"/>
      <c r="AS487" s="4"/>
      <c r="AT487" s="4"/>
      <c r="AU487" s="4"/>
      <c r="AV487" s="4"/>
      <c r="AW487" s="4"/>
      <c r="AX487" s="4"/>
      <c r="AY487" s="4"/>
      <c r="AZ487" s="4"/>
      <c r="BA487" s="4"/>
      <c r="BB487" s="4"/>
      <c r="BC487" s="4"/>
      <c r="BD487" s="4"/>
      <c r="BE487" s="4"/>
      <c r="BF487" s="4"/>
      <c r="BG487" s="4"/>
    </row>
    <row r="488" ht="15.75" customHeight="1">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O488" s="4"/>
      <c r="AP488" s="4"/>
      <c r="AQ488" s="4"/>
      <c r="AR488" s="4"/>
      <c r="AS488" s="4"/>
      <c r="AT488" s="4"/>
      <c r="AU488" s="4"/>
      <c r="AV488" s="4"/>
      <c r="AW488" s="4"/>
      <c r="AX488" s="4"/>
      <c r="AY488" s="4"/>
      <c r="AZ488" s="4"/>
      <c r="BA488" s="4"/>
      <c r="BB488" s="4"/>
      <c r="BC488" s="4"/>
      <c r="BD488" s="4"/>
      <c r="BE488" s="4"/>
      <c r="BF488" s="4"/>
      <c r="BG488" s="4"/>
    </row>
    <row r="489" ht="15.75" customHeight="1">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O489" s="4"/>
      <c r="AP489" s="4"/>
      <c r="AQ489" s="4"/>
      <c r="AR489" s="4"/>
      <c r="AS489" s="4"/>
      <c r="AT489" s="4"/>
      <c r="AU489" s="4"/>
      <c r="AV489" s="4"/>
      <c r="AW489" s="4"/>
      <c r="AX489" s="4"/>
      <c r="AY489" s="4"/>
      <c r="AZ489" s="4"/>
      <c r="BA489" s="4"/>
      <c r="BB489" s="4"/>
      <c r="BC489" s="4"/>
      <c r="BD489" s="4"/>
      <c r="BE489" s="4"/>
      <c r="BF489" s="4"/>
      <c r="BG489" s="4"/>
    </row>
    <row r="490" ht="15.75" customHeight="1">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O490" s="4"/>
      <c r="AP490" s="4"/>
      <c r="AQ490" s="4"/>
      <c r="AR490" s="4"/>
      <c r="AS490" s="4"/>
      <c r="AT490" s="4"/>
      <c r="AU490" s="4"/>
      <c r="AV490" s="4"/>
      <c r="AW490" s="4"/>
      <c r="AX490" s="4"/>
      <c r="AY490" s="4"/>
      <c r="AZ490" s="4"/>
      <c r="BA490" s="4"/>
      <c r="BB490" s="4"/>
      <c r="BC490" s="4"/>
      <c r="BD490" s="4"/>
      <c r="BE490" s="4"/>
      <c r="BF490" s="4"/>
      <c r="BG490" s="4"/>
    </row>
    <row r="491" ht="15.75" customHeight="1">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O491" s="4"/>
      <c r="AP491" s="4"/>
      <c r="AQ491" s="4"/>
      <c r="AR491" s="4"/>
      <c r="AS491" s="4"/>
      <c r="AT491" s="4"/>
      <c r="AU491" s="4"/>
      <c r="AV491" s="4"/>
      <c r="AW491" s="4"/>
      <c r="AX491" s="4"/>
      <c r="AY491" s="4"/>
      <c r="AZ491" s="4"/>
      <c r="BA491" s="4"/>
      <c r="BB491" s="4"/>
      <c r="BC491" s="4"/>
      <c r="BD491" s="4"/>
      <c r="BE491" s="4"/>
      <c r="BF491" s="4"/>
      <c r="BG491" s="4"/>
    </row>
    <row r="492" ht="15.75" customHeight="1">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O492" s="4"/>
      <c r="AP492" s="4"/>
      <c r="AQ492" s="4"/>
      <c r="AR492" s="4"/>
      <c r="AS492" s="4"/>
      <c r="AT492" s="4"/>
      <c r="AU492" s="4"/>
      <c r="AV492" s="4"/>
      <c r="AW492" s="4"/>
      <c r="AX492" s="4"/>
      <c r="AY492" s="4"/>
      <c r="AZ492" s="4"/>
      <c r="BA492" s="4"/>
      <c r="BB492" s="4"/>
      <c r="BC492" s="4"/>
      <c r="BD492" s="4"/>
      <c r="BE492" s="4"/>
      <c r="BF492" s="4"/>
      <c r="BG492" s="4"/>
    </row>
    <row r="493" ht="15.75" customHeight="1">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O493" s="4"/>
      <c r="AP493" s="4"/>
      <c r="AQ493" s="4"/>
      <c r="AR493" s="4"/>
      <c r="AS493" s="4"/>
      <c r="AT493" s="4"/>
      <c r="AU493" s="4"/>
      <c r="AV493" s="4"/>
      <c r="AW493" s="4"/>
      <c r="AX493" s="4"/>
      <c r="AY493" s="4"/>
      <c r="AZ493" s="4"/>
      <c r="BA493" s="4"/>
      <c r="BB493" s="4"/>
      <c r="BC493" s="4"/>
      <c r="BD493" s="4"/>
      <c r="BE493" s="4"/>
      <c r="BF493" s="4"/>
      <c r="BG493" s="4"/>
    </row>
    <row r="494" ht="15.75" customHeight="1">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O494" s="4"/>
      <c r="AP494" s="4"/>
      <c r="AQ494" s="4"/>
      <c r="AR494" s="4"/>
      <c r="AS494" s="4"/>
      <c r="AT494" s="4"/>
      <c r="AU494" s="4"/>
      <c r="AV494" s="4"/>
      <c r="AW494" s="4"/>
      <c r="AX494" s="4"/>
      <c r="AY494" s="4"/>
      <c r="AZ494" s="4"/>
      <c r="BA494" s="4"/>
      <c r="BB494" s="4"/>
      <c r="BC494" s="4"/>
      <c r="BD494" s="4"/>
      <c r="BE494" s="4"/>
      <c r="BF494" s="4"/>
      <c r="BG494" s="4"/>
    </row>
    <row r="495" ht="15.75" customHeight="1">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O495" s="4"/>
      <c r="AP495" s="4"/>
      <c r="AQ495" s="4"/>
      <c r="AR495" s="4"/>
      <c r="AS495" s="4"/>
      <c r="AT495" s="4"/>
      <c r="AU495" s="4"/>
      <c r="AV495" s="4"/>
      <c r="AW495" s="4"/>
      <c r="AX495" s="4"/>
      <c r="AY495" s="4"/>
      <c r="AZ495" s="4"/>
      <c r="BA495" s="4"/>
      <c r="BB495" s="4"/>
      <c r="BC495" s="4"/>
      <c r="BD495" s="4"/>
      <c r="BE495" s="4"/>
      <c r="BF495" s="4"/>
      <c r="BG495" s="4"/>
    </row>
    <row r="496" ht="15.75" customHeight="1">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O496" s="4"/>
      <c r="AP496" s="4"/>
      <c r="AQ496" s="4"/>
      <c r="AR496" s="4"/>
      <c r="AS496" s="4"/>
      <c r="AT496" s="4"/>
      <c r="AU496" s="4"/>
      <c r="AV496" s="4"/>
      <c r="AW496" s="4"/>
      <c r="AX496" s="4"/>
      <c r="AY496" s="4"/>
      <c r="AZ496" s="4"/>
      <c r="BA496" s="4"/>
      <c r="BB496" s="4"/>
      <c r="BC496" s="4"/>
      <c r="BD496" s="4"/>
      <c r="BE496" s="4"/>
      <c r="BF496" s="4"/>
      <c r="BG496" s="4"/>
    </row>
    <row r="497" ht="15.75" customHeight="1">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O497" s="4"/>
      <c r="AP497" s="4"/>
      <c r="AQ497" s="4"/>
      <c r="AR497" s="4"/>
      <c r="AS497" s="4"/>
      <c r="AT497" s="4"/>
      <c r="AU497" s="4"/>
      <c r="AV497" s="4"/>
      <c r="AW497" s="4"/>
      <c r="AX497" s="4"/>
      <c r="AY497" s="4"/>
      <c r="AZ497" s="4"/>
      <c r="BA497" s="4"/>
      <c r="BB497" s="4"/>
      <c r="BC497" s="4"/>
      <c r="BD497" s="4"/>
      <c r="BE497" s="4"/>
      <c r="BF497" s="4"/>
      <c r="BG497" s="4"/>
    </row>
    <row r="498" ht="15.75" customHeight="1">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O498" s="4"/>
      <c r="AP498" s="4"/>
      <c r="AQ498" s="4"/>
      <c r="AR498" s="4"/>
      <c r="AS498" s="4"/>
      <c r="AT498" s="4"/>
      <c r="AU498" s="4"/>
      <c r="AV498" s="4"/>
      <c r="AW498" s="4"/>
      <c r="AX498" s="4"/>
      <c r="AY498" s="4"/>
      <c r="AZ498" s="4"/>
      <c r="BA498" s="4"/>
      <c r="BB498" s="4"/>
      <c r="BC498" s="4"/>
      <c r="BD498" s="4"/>
      <c r="BE498" s="4"/>
      <c r="BF498" s="4"/>
      <c r="BG498" s="4"/>
    </row>
    <row r="499" ht="15.75" customHeight="1">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O499" s="4"/>
      <c r="AP499" s="4"/>
      <c r="AQ499" s="4"/>
      <c r="AR499" s="4"/>
      <c r="AS499" s="4"/>
      <c r="AT499" s="4"/>
      <c r="AU499" s="4"/>
      <c r="AV499" s="4"/>
      <c r="AW499" s="4"/>
      <c r="AX499" s="4"/>
      <c r="AY499" s="4"/>
      <c r="AZ499" s="4"/>
      <c r="BA499" s="4"/>
      <c r="BB499" s="4"/>
      <c r="BC499" s="4"/>
      <c r="BD499" s="4"/>
      <c r="BE499" s="4"/>
      <c r="BF499" s="4"/>
      <c r="BG499" s="4"/>
    </row>
    <row r="500" ht="15.75" customHeight="1">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O500" s="4"/>
      <c r="AP500" s="4"/>
      <c r="AQ500" s="4"/>
      <c r="AR500" s="4"/>
      <c r="AS500" s="4"/>
      <c r="AT500" s="4"/>
      <c r="AU500" s="4"/>
      <c r="AV500" s="4"/>
      <c r="AW500" s="4"/>
      <c r="AX500" s="4"/>
      <c r="AY500" s="4"/>
      <c r="AZ500" s="4"/>
      <c r="BA500" s="4"/>
      <c r="BB500" s="4"/>
      <c r="BC500" s="4"/>
      <c r="BD500" s="4"/>
      <c r="BE500" s="4"/>
      <c r="BF500" s="4"/>
      <c r="BG500" s="4"/>
    </row>
    <row r="501" ht="15.75" customHeight="1">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O501" s="4"/>
      <c r="AP501" s="4"/>
      <c r="AQ501" s="4"/>
      <c r="AR501" s="4"/>
      <c r="AS501" s="4"/>
      <c r="AT501" s="4"/>
      <c r="AU501" s="4"/>
      <c r="AV501" s="4"/>
      <c r="AW501" s="4"/>
      <c r="AX501" s="4"/>
      <c r="AY501" s="4"/>
      <c r="AZ501" s="4"/>
      <c r="BA501" s="4"/>
      <c r="BB501" s="4"/>
      <c r="BC501" s="4"/>
      <c r="BD501" s="4"/>
      <c r="BE501" s="4"/>
      <c r="BF501" s="4"/>
      <c r="BG501" s="4"/>
    </row>
    <row r="502" ht="15.75" customHeight="1">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O502" s="4"/>
      <c r="AP502" s="4"/>
      <c r="AQ502" s="4"/>
      <c r="AR502" s="4"/>
      <c r="AS502" s="4"/>
      <c r="AT502" s="4"/>
      <c r="AU502" s="4"/>
      <c r="AV502" s="4"/>
      <c r="AW502" s="4"/>
      <c r="AX502" s="4"/>
      <c r="AY502" s="4"/>
      <c r="AZ502" s="4"/>
      <c r="BA502" s="4"/>
      <c r="BB502" s="4"/>
      <c r="BC502" s="4"/>
      <c r="BD502" s="4"/>
      <c r="BE502" s="4"/>
      <c r="BF502" s="4"/>
      <c r="BG502" s="4"/>
    </row>
    <row r="503" ht="15.75" customHeight="1">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O503" s="4"/>
      <c r="AP503" s="4"/>
      <c r="AQ503" s="4"/>
      <c r="AR503" s="4"/>
      <c r="AS503" s="4"/>
      <c r="AT503" s="4"/>
      <c r="AU503" s="4"/>
      <c r="AV503" s="4"/>
      <c r="AW503" s="4"/>
      <c r="AX503" s="4"/>
      <c r="AY503" s="4"/>
      <c r="AZ503" s="4"/>
      <c r="BA503" s="4"/>
      <c r="BB503" s="4"/>
      <c r="BC503" s="4"/>
      <c r="BD503" s="4"/>
      <c r="BE503" s="4"/>
      <c r="BF503" s="4"/>
      <c r="BG503" s="4"/>
    </row>
    <row r="504" ht="15.75" customHeight="1">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O504" s="4"/>
      <c r="AP504" s="4"/>
      <c r="AQ504" s="4"/>
      <c r="AR504" s="4"/>
      <c r="AS504" s="4"/>
      <c r="AT504" s="4"/>
      <c r="AU504" s="4"/>
      <c r="AV504" s="4"/>
      <c r="AW504" s="4"/>
      <c r="AX504" s="4"/>
      <c r="AY504" s="4"/>
      <c r="AZ504" s="4"/>
      <c r="BA504" s="4"/>
      <c r="BB504" s="4"/>
      <c r="BC504" s="4"/>
      <c r="BD504" s="4"/>
      <c r="BE504" s="4"/>
      <c r="BF504" s="4"/>
      <c r="BG504" s="4"/>
    </row>
    <row r="505" ht="15.75" customHeight="1">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O505" s="4"/>
      <c r="AP505" s="4"/>
      <c r="AQ505" s="4"/>
      <c r="AR505" s="4"/>
      <c r="AS505" s="4"/>
      <c r="AT505" s="4"/>
      <c r="AU505" s="4"/>
      <c r="AV505" s="4"/>
      <c r="AW505" s="4"/>
      <c r="AX505" s="4"/>
      <c r="AY505" s="4"/>
      <c r="AZ505" s="4"/>
      <c r="BA505" s="4"/>
      <c r="BB505" s="4"/>
      <c r="BC505" s="4"/>
      <c r="BD505" s="4"/>
      <c r="BE505" s="4"/>
      <c r="BF505" s="4"/>
      <c r="BG505" s="4"/>
    </row>
    <row r="506" ht="15.75" customHeight="1">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O506" s="4"/>
      <c r="AP506" s="4"/>
      <c r="AQ506" s="4"/>
      <c r="AR506" s="4"/>
      <c r="AS506" s="4"/>
      <c r="AT506" s="4"/>
      <c r="AU506" s="4"/>
      <c r="AV506" s="4"/>
      <c r="AW506" s="4"/>
      <c r="AX506" s="4"/>
      <c r="AY506" s="4"/>
      <c r="AZ506" s="4"/>
      <c r="BA506" s="4"/>
      <c r="BB506" s="4"/>
      <c r="BC506" s="4"/>
      <c r="BD506" s="4"/>
      <c r="BE506" s="4"/>
      <c r="BF506" s="4"/>
      <c r="BG506" s="4"/>
    </row>
    <row r="507" ht="15.75" customHeight="1">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O507" s="4"/>
      <c r="AP507" s="4"/>
      <c r="AQ507" s="4"/>
      <c r="AR507" s="4"/>
      <c r="AS507" s="4"/>
      <c r="AT507" s="4"/>
      <c r="AU507" s="4"/>
      <c r="AV507" s="4"/>
      <c r="AW507" s="4"/>
      <c r="AX507" s="4"/>
      <c r="AY507" s="4"/>
      <c r="AZ507" s="4"/>
      <c r="BA507" s="4"/>
      <c r="BB507" s="4"/>
      <c r="BC507" s="4"/>
      <c r="BD507" s="4"/>
      <c r="BE507" s="4"/>
      <c r="BF507" s="4"/>
      <c r="BG507" s="4"/>
    </row>
    <row r="508" ht="15.75" customHeight="1">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O508" s="4"/>
      <c r="AP508" s="4"/>
      <c r="AQ508" s="4"/>
      <c r="AR508" s="4"/>
      <c r="AS508" s="4"/>
      <c r="AT508" s="4"/>
      <c r="AU508" s="4"/>
      <c r="AV508" s="4"/>
      <c r="AW508" s="4"/>
      <c r="AX508" s="4"/>
      <c r="AY508" s="4"/>
      <c r="AZ508" s="4"/>
      <c r="BA508" s="4"/>
      <c r="BB508" s="4"/>
      <c r="BC508" s="4"/>
      <c r="BD508" s="4"/>
      <c r="BE508" s="4"/>
      <c r="BF508" s="4"/>
      <c r="BG508" s="4"/>
    </row>
    <row r="509" ht="15.75" customHeight="1">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O509" s="4"/>
      <c r="AP509" s="4"/>
      <c r="AQ509" s="4"/>
      <c r="AR509" s="4"/>
      <c r="AS509" s="4"/>
      <c r="AT509" s="4"/>
      <c r="AU509" s="4"/>
      <c r="AV509" s="4"/>
      <c r="AW509" s="4"/>
      <c r="AX509" s="4"/>
      <c r="AY509" s="4"/>
      <c r="AZ509" s="4"/>
      <c r="BA509" s="4"/>
      <c r="BB509" s="4"/>
      <c r="BC509" s="4"/>
      <c r="BD509" s="4"/>
      <c r="BE509" s="4"/>
      <c r="BF509" s="4"/>
      <c r="BG509" s="4"/>
    </row>
    <row r="510" ht="15.75" customHeight="1">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O510" s="4"/>
      <c r="AP510" s="4"/>
      <c r="AQ510" s="4"/>
      <c r="AR510" s="4"/>
      <c r="AS510" s="4"/>
      <c r="AT510" s="4"/>
      <c r="AU510" s="4"/>
      <c r="AV510" s="4"/>
      <c r="AW510" s="4"/>
      <c r="AX510" s="4"/>
      <c r="AY510" s="4"/>
      <c r="AZ510" s="4"/>
      <c r="BA510" s="4"/>
      <c r="BB510" s="4"/>
      <c r="BC510" s="4"/>
      <c r="BD510" s="4"/>
      <c r="BE510" s="4"/>
      <c r="BF510" s="4"/>
      <c r="BG510" s="4"/>
    </row>
    <row r="511" ht="15.75" customHeight="1">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O511" s="4"/>
      <c r="AP511" s="4"/>
      <c r="AQ511" s="4"/>
      <c r="AR511" s="4"/>
      <c r="AS511" s="4"/>
      <c r="AT511" s="4"/>
      <c r="AU511" s="4"/>
      <c r="AV511" s="4"/>
      <c r="AW511" s="4"/>
      <c r="AX511" s="4"/>
      <c r="AY511" s="4"/>
      <c r="AZ511" s="4"/>
      <c r="BA511" s="4"/>
      <c r="BB511" s="4"/>
      <c r="BC511" s="4"/>
      <c r="BD511" s="4"/>
      <c r="BE511" s="4"/>
      <c r="BF511" s="4"/>
      <c r="BG511" s="4"/>
    </row>
    <row r="512" ht="15.75" customHeight="1">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O512" s="4"/>
      <c r="AP512" s="4"/>
      <c r="AQ512" s="4"/>
      <c r="AR512" s="4"/>
      <c r="AS512" s="4"/>
      <c r="AT512" s="4"/>
      <c r="AU512" s="4"/>
      <c r="AV512" s="4"/>
      <c r="AW512" s="4"/>
      <c r="AX512" s="4"/>
      <c r="AY512" s="4"/>
      <c r="AZ512" s="4"/>
      <c r="BA512" s="4"/>
      <c r="BB512" s="4"/>
      <c r="BC512" s="4"/>
      <c r="BD512" s="4"/>
      <c r="BE512" s="4"/>
      <c r="BF512" s="4"/>
      <c r="BG512" s="4"/>
    </row>
    <row r="513" ht="15.75" customHeight="1">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O513" s="4"/>
      <c r="AP513" s="4"/>
      <c r="AQ513" s="4"/>
      <c r="AR513" s="4"/>
      <c r="AS513" s="4"/>
      <c r="AT513" s="4"/>
      <c r="AU513" s="4"/>
      <c r="AV513" s="4"/>
      <c r="AW513" s="4"/>
      <c r="AX513" s="4"/>
      <c r="AY513" s="4"/>
      <c r="AZ513" s="4"/>
      <c r="BA513" s="4"/>
      <c r="BB513" s="4"/>
      <c r="BC513" s="4"/>
      <c r="BD513" s="4"/>
      <c r="BE513" s="4"/>
      <c r="BF513" s="4"/>
      <c r="BG513" s="4"/>
    </row>
    <row r="514" ht="15.75" customHeight="1">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O514" s="4"/>
      <c r="AP514" s="4"/>
      <c r="AQ514" s="4"/>
      <c r="AR514" s="4"/>
      <c r="AS514" s="4"/>
      <c r="AT514" s="4"/>
      <c r="AU514" s="4"/>
      <c r="AV514" s="4"/>
      <c r="AW514" s="4"/>
      <c r="AX514" s="4"/>
      <c r="AY514" s="4"/>
      <c r="AZ514" s="4"/>
      <c r="BA514" s="4"/>
      <c r="BB514" s="4"/>
      <c r="BC514" s="4"/>
      <c r="BD514" s="4"/>
      <c r="BE514" s="4"/>
      <c r="BF514" s="4"/>
      <c r="BG514" s="4"/>
    </row>
    <row r="515" ht="15.75" customHeight="1">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O515" s="4"/>
      <c r="AP515" s="4"/>
      <c r="AQ515" s="4"/>
      <c r="AR515" s="4"/>
      <c r="AS515" s="4"/>
      <c r="AT515" s="4"/>
      <c r="AU515" s="4"/>
      <c r="AV515" s="4"/>
      <c r="AW515" s="4"/>
      <c r="AX515" s="4"/>
      <c r="AY515" s="4"/>
      <c r="AZ515" s="4"/>
      <c r="BA515" s="4"/>
      <c r="BB515" s="4"/>
      <c r="BC515" s="4"/>
      <c r="BD515" s="4"/>
      <c r="BE515" s="4"/>
      <c r="BF515" s="4"/>
      <c r="BG515" s="4"/>
    </row>
    <row r="516" ht="15.75" customHeight="1">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O516" s="4"/>
      <c r="AP516" s="4"/>
      <c r="AQ516" s="4"/>
      <c r="AR516" s="4"/>
      <c r="AS516" s="4"/>
      <c r="AT516" s="4"/>
      <c r="AU516" s="4"/>
      <c r="AV516" s="4"/>
      <c r="AW516" s="4"/>
      <c r="AX516" s="4"/>
      <c r="AY516" s="4"/>
      <c r="AZ516" s="4"/>
      <c r="BA516" s="4"/>
      <c r="BB516" s="4"/>
      <c r="BC516" s="4"/>
      <c r="BD516" s="4"/>
      <c r="BE516" s="4"/>
      <c r="BF516" s="4"/>
      <c r="BG516" s="4"/>
    </row>
    <row r="517" ht="15.75" customHeight="1">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O517" s="4"/>
      <c r="AP517" s="4"/>
      <c r="AQ517" s="4"/>
      <c r="AR517" s="4"/>
      <c r="AS517" s="4"/>
      <c r="AT517" s="4"/>
      <c r="AU517" s="4"/>
      <c r="AV517" s="4"/>
      <c r="AW517" s="4"/>
      <c r="AX517" s="4"/>
      <c r="AY517" s="4"/>
      <c r="AZ517" s="4"/>
      <c r="BA517" s="4"/>
      <c r="BB517" s="4"/>
      <c r="BC517" s="4"/>
      <c r="BD517" s="4"/>
      <c r="BE517" s="4"/>
      <c r="BF517" s="4"/>
      <c r="BG517" s="4"/>
    </row>
    <row r="518" ht="15.75" customHeight="1">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O518" s="4"/>
      <c r="AP518" s="4"/>
      <c r="AQ518" s="4"/>
      <c r="AR518" s="4"/>
      <c r="AS518" s="4"/>
      <c r="AT518" s="4"/>
      <c r="AU518" s="4"/>
      <c r="AV518" s="4"/>
      <c r="AW518" s="4"/>
      <c r="AX518" s="4"/>
      <c r="AY518" s="4"/>
      <c r="AZ518" s="4"/>
      <c r="BA518" s="4"/>
      <c r="BB518" s="4"/>
      <c r="BC518" s="4"/>
      <c r="BD518" s="4"/>
      <c r="BE518" s="4"/>
      <c r="BF518" s="4"/>
      <c r="BG518" s="4"/>
    </row>
    <row r="519" ht="15.75" customHeight="1">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O519" s="4"/>
      <c r="AP519" s="4"/>
      <c r="AQ519" s="4"/>
      <c r="AR519" s="4"/>
      <c r="AS519" s="4"/>
      <c r="AT519" s="4"/>
      <c r="AU519" s="4"/>
      <c r="AV519" s="4"/>
      <c r="AW519" s="4"/>
      <c r="AX519" s="4"/>
      <c r="AY519" s="4"/>
      <c r="AZ519" s="4"/>
      <c r="BA519" s="4"/>
      <c r="BB519" s="4"/>
      <c r="BC519" s="4"/>
      <c r="BD519" s="4"/>
      <c r="BE519" s="4"/>
      <c r="BF519" s="4"/>
      <c r="BG519" s="4"/>
    </row>
    <row r="520" ht="15.75" customHeight="1">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O520" s="4"/>
      <c r="AP520" s="4"/>
      <c r="AQ520" s="4"/>
      <c r="AR520" s="4"/>
      <c r="AS520" s="4"/>
      <c r="AT520" s="4"/>
      <c r="AU520" s="4"/>
      <c r="AV520" s="4"/>
      <c r="AW520" s="4"/>
      <c r="AX520" s="4"/>
      <c r="AY520" s="4"/>
      <c r="AZ520" s="4"/>
      <c r="BA520" s="4"/>
      <c r="BB520" s="4"/>
      <c r="BC520" s="4"/>
      <c r="BD520" s="4"/>
      <c r="BE520" s="4"/>
      <c r="BF520" s="4"/>
      <c r="BG520" s="4"/>
    </row>
    <row r="521" ht="15.75" customHeight="1">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O521" s="4"/>
      <c r="AP521" s="4"/>
      <c r="AQ521" s="4"/>
      <c r="AR521" s="4"/>
      <c r="AS521" s="4"/>
      <c r="AT521" s="4"/>
      <c r="AU521" s="4"/>
      <c r="AV521" s="4"/>
      <c r="AW521" s="4"/>
      <c r="AX521" s="4"/>
      <c r="AY521" s="4"/>
      <c r="AZ521" s="4"/>
      <c r="BA521" s="4"/>
      <c r="BB521" s="4"/>
      <c r="BC521" s="4"/>
      <c r="BD521" s="4"/>
      <c r="BE521" s="4"/>
      <c r="BF521" s="4"/>
      <c r="BG521" s="4"/>
    </row>
    <row r="522" ht="15.75" customHeight="1">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O522" s="4"/>
      <c r="AP522" s="4"/>
      <c r="AQ522" s="4"/>
      <c r="AR522" s="4"/>
      <c r="AS522" s="4"/>
      <c r="AT522" s="4"/>
      <c r="AU522" s="4"/>
      <c r="AV522" s="4"/>
      <c r="AW522" s="4"/>
      <c r="AX522" s="4"/>
      <c r="AY522" s="4"/>
      <c r="AZ522" s="4"/>
      <c r="BA522" s="4"/>
      <c r="BB522" s="4"/>
      <c r="BC522" s="4"/>
      <c r="BD522" s="4"/>
      <c r="BE522" s="4"/>
      <c r="BF522" s="4"/>
      <c r="BG522" s="4"/>
    </row>
    <row r="523" ht="15.75" customHeight="1">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O523" s="4"/>
      <c r="AP523" s="4"/>
      <c r="AQ523" s="4"/>
      <c r="AR523" s="4"/>
      <c r="AS523" s="4"/>
      <c r="AT523" s="4"/>
      <c r="AU523" s="4"/>
      <c r="AV523" s="4"/>
      <c r="AW523" s="4"/>
      <c r="AX523" s="4"/>
      <c r="AY523" s="4"/>
      <c r="AZ523" s="4"/>
      <c r="BA523" s="4"/>
      <c r="BB523" s="4"/>
      <c r="BC523" s="4"/>
      <c r="BD523" s="4"/>
      <c r="BE523" s="4"/>
      <c r="BF523" s="4"/>
      <c r="BG523" s="4"/>
    </row>
    <row r="524" ht="15.75" customHeight="1">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O524" s="4"/>
      <c r="AP524" s="4"/>
      <c r="AQ524" s="4"/>
      <c r="AR524" s="4"/>
      <c r="AS524" s="4"/>
      <c r="AT524" s="4"/>
      <c r="AU524" s="4"/>
      <c r="AV524" s="4"/>
      <c r="AW524" s="4"/>
      <c r="AX524" s="4"/>
      <c r="AY524" s="4"/>
      <c r="AZ524" s="4"/>
      <c r="BA524" s="4"/>
      <c r="BB524" s="4"/>
      <c r="BC524" s="4"/>
      <c r="BD524" s="4"/>
      <c r="BE524" s="4"/>
      <c r="BF524" s="4"/>
      <c r="BG524" s="4"/>
    </row>
    <row r="525" ht="15.75" customHeight="1">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O525" s="4"/>
      <c r="AP525" s="4"/>
      <c r="AQ525" s="4"/>
      <c r="AR525" s="4"/>
      <c r="AS525" s="4"/>
      <c r="AT525" s="4"/>
      <c r="AU525" s="4"/>
      <c r="AV525" s="4"/>
      <c r="AW525" s="4"/>
      <c r="AX525" s="4"/>
      <c r="AY525" s="4"/>
      <c r="AZ525" s="4"/>
      <c r="BA525" s="4"/>
      <c r="BB525" s="4"/>
      <c r="BC525" s="4"/>
      <c r="BD525" s="4"/>
      <c r="BE525" s="4"/>
      <c r="BF525" s="4"/>
      <c r="BG525" s="4"/>
    </row>
    <row r="526" ht="15.75" customHeight="1">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O526" s="4"/>
      <c r="AP526" s="4"/>
      <c r="AQ526" s="4"/>
      <c r="AR526" s="4"/>
      <c r="AS526" s="4"/>
      <c r="AT526" s="4"/>
      <c r="AU526" s="4"/>
      <c r="AV526" s="4"/>
      <c r="AW526" s="4"/>
      <c r="AX526" s="4"/>
      <c r="AY526" s="4"/>
      <c r="AZ526" s="4"/>
      <c r="BA526" s="4"/>
      <c r="BB526" s="4"/>
      <c r="BC526" s="4"/>
      <c r="BD526" s="4"/>
      <c r="BE526" s="4"/>
      <c r="BF526" s="4"/>
      <c r="BG526" s="4"/>
    </row>
    <row r="527" ht="15.75" customHeight="1">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O527" s="4"/>
      <c r="AP527" s="4"/>
      <c r="AQ527" s="4"/>
      <c r="AR527" s="4"/>
      <c r="AS527" s="4"/>
      <c r="AT527" s="4"/>
      <c r="AU527" s="4"/>
      <c r="AV527" s="4"/>
      <c r="AW527" s="4"/>
      <c r="AX527" s="4"/>
      <c r="AY527" s="4"/>
      <c r="AZ527" s="4"/>
      <c r="BA527" s="4"/>
      <c r="BB527" s="4"/>
      <c r="BC527" s="4"/>
      <c r="BD527" s="4"/>
      <c r="BE527" s="4"/>
      <c r="BF527" s="4"/>
      <c r="BG527" s="4"/>
    </row>
    <row r="528" ht="15.75" customHeight="1">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O528" s="4"/>
      <c r="AP528" s="4"/>
      <c r="AQ528" s="4"/>
      <c r="AR528" s="4"/>
      <c r="AS528" s="4"/>
      <c r="AT528" s="4"/>
      <c r="AU528" s="4"/>
      <c r="AV528" s="4"/>
      <c r="AW528" s="4"/>
      <c r="AX528" s="4"/>
      <c r="AY528" s="4"/>
      <c r="AZ528" s="4"/>
      <c r="BA528" s="4"/>
      <c r="BB528" s="4"/>
      <c r="BC528" s="4"/>
      <c r="BD528" s="4"/>
      <c r="BE528" s="4"/>
      <c r="BF528" s="4"/>
      <c r="BG528" s="4"/>
    </row>
    <row r="529" ht="15.75" customHeight="1">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O529" s="4"/>
      <c r="AP529" s="4"/>
      <c r="AQ529" s="4"/>
      <c r="AR529" s="4"/>
      <c r="AS529" s="4"/>
      <c r="AT529" s="4"/>
      <c r="AU529" s="4"/>
      <c r="AV529" s="4"/>
      <c r="AW529" s="4"/>
      <c r="AX529" s="4"/>
      <c r="AY529" s="4"/>
      <c r="AZ529" s="4"/>
      <c r="BA529" s="4"/>
      <c r="BB529" s="4"/>
      <c r="BC529" s="4"/>
      <c r="BD529" s="4"/>
      <c r="BE529" s="4"/>
      <c r="BF529" s="4"/>
      <c r="BG529" s="4"/>
    </row>
    <row r="530" ht="15.75" customHeight="1">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O530" s="4"/>
      <c r="AP530" s="4"/>
      <c r="AQ530" s="4"/>
      <c r="AR530" s="4"/>
      <c r="AS530" s="4"/>
      <c r="AT530" s="4"/>
      <c r="AU530" s="4"/>
      <c r="AV530" s="4"/>
      <c r="AW530" s="4"/>
      <c r="AX530" s="4"/>
      <c r="AY530" s="4"/>
      <c r="AZ530" s="4"/>
      <c r="BA530" s="4"/>
      <c r="BB530" s="4"/>
      <c r="BC530" s="4"/>
      <c r="BD530" s="4"/>
      <c r="BE530" s="4"/>
      <c r="BF530" s="4"/>
      <c r="BG530" s="4"/>
    </row>
    <row r="531" ht="15.75" customHeight="1">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O531" s="4"/>
      <c r="AP531" s="4"/>
      <c r="AQ531" s="4"/>
      <c r="AR531" s="4"/>
      <c r="AS531" s="4"/>
      <c r="AT531" s="4"/>
      <c r="AU531" s="4"/>
      <c r="AV531" s="4"/>
      <c r="AW531" s="4"/>
      <c r="AX531" s="4"/>
      <c r="AY531" s="4"/>
      <c r="AZ531" s="4"/>
      <c r="BA531" s="4"/>
      <c r="BB531" s="4"/>
      <c r="BC531" s="4"/>
      <c r="BD531" s="4"/>
      <c r="BE531" s="4"/>
      <c r="BF531" s="4"/>
      <c r="BG531" s="4"/>
    </row>
    <row r="532" ht="15.75" customHeight="1">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O532" s="4"/>
      <c r="AP532" s="4"/>
      <c r="AQ532" s="4"/>
      <c r="AR532" s="4"/>
      <c r="AS532" s="4"/>
      <c r="AT532" s="4"/>
      <c r="AU532" s="4"/>
      <c r="AV532" s="4"/>
      <c r="AW532" s="4"/>
      <c r="AX532" s="4"/>
      <c r="AY532" s="4"/>
      <c r="AZ532" s="4"/>
      <c r="BA532" s="4"/>
      <c r="BB532" s="4"/>
      <c r="BC532" s="4"/>
      <c r="BD532" s="4"/>
      <c r="BE532" s="4"/>
      <c r="BF532" s="4"/>
      <c r="BG532" s="4"/>
    </row>
    <row r="533" ht="15.75" customHeight="1">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O533" s="4"/>
      <c r="AP533" s="4"/>
      <c r="AQ533" s="4"/>
      <c r="AR533" s="4"/>
      <c r="AS533" s="4"/>
      <c r="AT533" s="4"/>
      <c r="AU533" s="4"/>
      <c r="AV533" s="4"/>
      <c r="AW533" s="4"/>
      <c r="AX533" s="4"/>
      <c r="AY533" s="4"/>
      <c r="AZ533" s="4"/>
      <c r="BA533" s="4"/>
      <c r="BB533" s="4"/>
      <c r="BC533" s="4"/>
      <c r="BD533" s="4"/>
      <c r="BE533" s="4"/>
      <c r="BF533" s="4"/>
      <c r="BG533" s="4"/>
    </row>
    <row r="534" ht="15.75" customHeight="1">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O534" s="4"/>
      <c r="AP534" s="4"/>
      <c r="AQ534" s="4"/>
      <c r="AR534" s="4"/>
      <c r="AS534" s="4"/>
      <c r="AT534" s="4"/>
      <c r="AU534" s="4"/>
      <c r="AV534" s="4"/>
      <c r="AW534" s="4"/>
      <c r="AX534" s="4"/>
      <c r="AY534" s="4"/>
      <c r="AZ534" s="4"/>
      <c r="BA534" s="4"/>
      <c r="BB534" s="4"/>
      <c r="BC534" s="4"/>
      <c r="BD534" s="4"/>
      <c r="BE534" s="4"/>
      <c r="BF534" s="4"/>
      <c r="BG534" s="4"/>
    </row>
    <row r="535" ht="15.75" customHeight="1">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O535" s="4"/>
      <c r="AP535" s="4"/>
      <c r="AQ535" s="4"/>
      <c r="AR535" s="4"/>
      <c r="AS535" s="4"/>
      <c r="AT535" s="4"/>
      <c r="AU535" s="4"/>
      <c r="AV535" s="4"/>
      <c r="AW535" s="4"/>
      <c r="AX535" s="4"/>
      <c r="AY535" s="4"/>
      <c r="AZ535" s="4"/>
      <c r="BA535" s="4"/>
      <c r="BB535" s="4"/>
      <c r="BC535" s="4"/>
      <c r="BD535" s="4"/>
      <c r="BE535" s="4"/>
      <c r="BF535" s="4"/>
      <c r="BG535" s="4"/>
    </row>
    <row r="536" ht="15.75" customHeight="1">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O536" s="4"/>
      <c r="AP536" s="4"/>
      <c r="AQ536" s="4"/>
      <c r="AR536" s="4"/>
      <c r="AS536" s="4"/>
      <c r="AT536" s="4"/>
      <c r="AU536" s="4"/>
      <c r="AV536" s="4"/>
      <c r="AW536" s="4"/>
      <c r="AX536" s="4"/>
      <c r="AY536" s="4"/>
      <c r="AZ536" s="4"/>
      <c r="BA536" s="4"/>
      <c r="BB536" s="4"/>
      <c r="BC536" s="4"/>
      <c r="BD536" s="4"/>
      <c r="BE536" s="4"/>
      <c r="BF536" s="4"/>
      <c r="BG536" s="4"/>
    </row>
    <row r="537" ht="15.75" customHeight="1">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O537" s="4"/>
      <c r="AP537" s="4"/>
      <c r="AQ537" s="4"/>
      <c r="AR537" s="4"/>
      <c r="AS537" s="4"/>
      <c r="AT537" s="4"/>
      <c r="AU537" s="4"/>
      <c r="AV537" s="4"/>
      <c r="AW537" s="4"/>
      <c r="AX537" s="4"/>
      <c r="AY537" s="4"/>
      <c r="AZ537" s="4"/>
      <c r="BA537" s="4"/>
      <c r="BB537" s="4"/>
      <c r="BC537" s="4"/>
      <c r="BD537" s="4"/>
      <c r="BE537" s="4"/>
      <c r="BF537" s="4"/>
      <c r="BG537" s="4"/>
    </row>
    <row r="538" ht="15.75" customHeight="1">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O538" s="4"/>
      <c r="AP538" s="4"/>
      <c r="AQ538" s="4"/>
      <c r="AR538" s="4"/>
      <c r="AS538" s="4"/>
      <c r="AT538" s="4"/>
      <c r="AU538" s="4"/>
      <c r="AV538" s="4"/>
      <c r="AW538" s="4"/>
      <c r="AX538" s="4"/>
      <c r="AY538" s="4"/>
      <c r="AZ538" s="4"/>
      <c r="BA538" s="4"/>
      <c r="BB538" s="4"/>
      <c r="BC538" s="4"/>
      <c r="BD538" s="4"/>
      <c r="BE538" s="4"/>
      <c r="BF538" s="4"/>
      <c r="BG538" s="4"/>
    </row>
    <row r="539" ht="15.75" customHeight="1">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O539" s="4"/>
      <c r="AP539" s="4"/>
      <c r="AQ539" s="4"/>
      <c r="AR539" s="4"/>
      <c r="AS539" s="4"/>
      <c r="AT539" s="4"/>
      <c r="AU539" s="4"/>
      <c r="AV539" s="4"/>
      <c r="AW539" s="4"/>
      <c r="AX539" s="4"/>
      <c r="AY539" s="4"/>
      <c r="AZ539" s="4"/>
      <c r="BA539" s="4"/>
      <c r="BB539" s="4"/>
      <c r="BC539" s="4"/>
      <c r="BD539" s="4"/>
      <c r="BE539" s="4"/>
      <c r="BF539" s="4"/>
      <c r="BG539" s="4"/>
    </row>
    <row r="540" ht="15.75" customHeight="1">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O540" s="4"/>
      <c r="AP540" s="4"/>
      <c r="AQ540" s="4"/>
      <c r="AR540" s="4"/>
      <c r="AS540" s="4"/>
      <c r="AT540" s="4"/>
      <c r="AU540" s="4"/>
      <c r="AV540" s="4"/>
      <c r="AW540" s="4"/>
      <c r="AX540" s="4"/>
      <c r="AY540" s="4"/>
      <c r="AZ540" s="4"/>
      <c r="BA540" s="4"/>
      <c r="BB540" s="4"/>
      <c r="BC540" s="4"/>
      <c r="BD540" s="4"/>
      <c r="BE540" s="4"/>
      <c r="BF540" s="4"/>
      <c r="BG540" s="4"/>
    </row>
    <row r="541" ht="15.75" customHeight="1">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O541" s="4"/>
      <c r="AP541" s="4"/>
      <c r="AQ541" s="4"/>
      <c r="AR541" s="4"/>
      <c r="AS541" s="4"/>
      <c r="AT541" s="4"/>
      <c r="AU541" s="4"/>
      <c r="AV541" s="4"/>
      <c r="AW541" s="4"/>
      <c r="AX541" s="4"/>
      <c r="AY541" s="4"/>
      <c r="AZ541" s="4"/>
      <c r="BA541" s="4"/>
      <c r="BB541" s="4"/>
      <c r="BC541" s="4"/>
      <c r="BD541" s="4"/>
      <c r="BE541" s="4"/>
      <c r="BF541" s="4"/>
      <c r="BG541" s="4"/>
    </row>
    <row r="542" ht="15.75" customHeight="1">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O542" s="4"/>
      <c r="AP542" s="4"/>
      <c r="AQ542" s="4"/>
      <c r="AR542" s="4"/>
      <c r="AS542" s="4"/>
      <c r="AT542" s="4"/>
      <c r="AU542" s="4"/>
      <c r="AV542" s="4"/>
      <c r="AW542" s="4"/>
      <c r="AX542" s="4"/>
      <c r="AY542" s="4"/>
      <c r="AZ542" s="4"/>
      <c r="BA542" s="4"/>
      <c r="BB542" s="4"/>
      <c r="BC542" s="4"/>
      <c r="BD542" s="4"/>
      <c r="BE542" s="4"/>
      <c r="BF542" s="4"/>
      <c r="BG542" s="4"/>
    </row>
    <row r="543" ht="15.75" customHeight="1">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O543" s="4"/>
      <c r="AP543" s="4"/>
      <c r="AQ543" s="4"/>
      <c r="AR543" s="4"/>
      <c r="AS543" s="4"/>
      <c r="AT543" s="4"/>
      <c r="AU543" s="4"/>
      <c r="AV543" s="4"/>
      <c r="AW543" s="4"/>
      <c r="AX543" s="4"/>
      <c r="AY543" s="4"/>
      <c r="AZ543" s="4"/>
      <c r="BA543" s="4"/>
      <c r="BB543" s="4"/>
      <c r="BC543" s="4"/>
      <c r="BD543" s="4"/>
      <c r="BE543" s="4"/>
      <c r="BF543" s="4"/>
      <c r="BG543" s="4"/>
    </row>
    <row r="544" ht="15.75" customHeight="1">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O544" s="4"/>
      <c r="AP544" s="4"/>
      <c r="AQ544" s="4"/>
      <c r="AR544" s="4"/>
      <c r="AS544" s="4"/>
      <c r="AT544" s="4"/>
      <c r="AU544" s="4"/>
      <c r="AV544" s="4"/>
      <c r="AW544" s="4"/>
      <c r="AX544" s="4"/>
      <c r="AY544" s="4"/>
      <c r="AZ544" s="4"/>
      <c r="BA544" s="4"/>
      <c r="BB544" s="4"/>
      <c r="BC544" s="4"/>
      <c r="BD544" s="4"/>
      <c r="BE544" s="4"/>
      <c r="BF544" s="4"/>
      <c r="BG544" s="4"/>
    </row>
    <row r="545" ht="15.75" customHeight="1">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O545" s="4"/>
      <c r="AP545" s="4"/>
      <c r="AQ545" s="4"/>
      <c r="AR545" s="4"/>
      <c r="AS545" s="4"/>
      <c r="AT545" s="4"/>
      <c r="AU545" s="4"/>
      <c r="AV545" s="4"/>
      <c r="AW545" s="4"/>
      <c r="AX545" s="4"/>
      <c r="AY545" s="4"/>
      <c r="AZ545" s="4"/>
      <c r="BA545" s="4"/>
      <c r="BB545" s="4"/>
      <c r="BC545" s="4"/>
      <c r="BD545" s="4"/>
      <c r="BE545" s="4"/>
      <c r="BF545" s="4"/>
      <c r="BG545" s="4"/>
    </row>
    <row r="546" ht="15.75" customHeight="1">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O546" s="4"/>
      <c r="AP546" s="4"/>
      <c r="AQ546" s="4"/>
      <c r="AR546" s="4"/>
      <c r="AS546" s="4"/>
      <c r="AT546" s="4"/>
      <c r="AU546" s="4"/>
      <c r="AV546" s="4"/>
      <c r="AW546" s="4"/>
      <c r="AX546" s="4"/>
      <c r="AY546" s="4"/>
      <c r="AZ546" s="4"/>
      <c r="BA546" s="4"/>
      <c r="BB546" s="4"/>
      <c r="BC546" s="4"/>
      <c r="BD546" s="4"/>
      <c r="BE546" s="4"/>
      <c r="BF546" s="4"/>
      <c r="BG546" s="4"/>
    </row>
    <row r="547" ht="15.75" customHeight="1">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O547" s="4"/>
      <c r="AP547" s="4"/>
      <c r="AQ547" s="4"/>
      <c r="AR547" s="4"/>
      <c r="AS547" s="4"/>
      <c r="AT547" s="4"/>
      <c r="AU547" s="4"/>
      <c r="AV547" s="4"/>
      <c r="AW547" s="4"/>
      <c r="AX547" s="4"/>
      <c r="AY547" s="4"/>
      <c r="AZ547" s="4"/>
      <c r="BA547" s="4"/>
      <c r="BB547" s="4"/>
      <c r="BC547" s="4"/>
      <c r="BD547" s="4"/>
      <c r="BE547" s="4"/>
      <c r="BF547" s="4"/>
      <c r="BG547" s="4"/>
    </row>
    <row r="548" ht="15.75" customHeight="1">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O548" s="4"/>
      <c r="AP548" s="4"/>
      <c r="AQ548" s="4"/>
      <c r="AR548" s="4"/>
      <c r="AS548" s="4"/>
      <c r="AT548" s="4"/>
      <c r="AU548" s="4"/>
      <c r="AV548" s="4"/>
      <c r="AW548" s="4"/>
      <c r="AX548" s="4"/>
      <c r="AY548" s="4"/>
      <c r="AZ548" s="4"/>
      <c r="BA548" s="4"/>
      <c r="BB548" s="4"/>
      <c r="BC548" s="4"/>
      <c r="BD548" s="4"/>
      <c r="BE548" s="4"/>
      <c r="BF548" s="4"/>
      <c r="BG548" s="4"/>
    </row>
    <row r="549" ht="15.75" customHeight="1">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O549" s="4"/>
      <c r="AP549" s="4"/>
      <c r="AQ549" s="4"/>
      <c r="AR549" s="4"/>
      <c r="AS549" s="4"/>
      <c r="AT549" s="4"/>
      <c r="AU549" s="4"/>
      <c r="AV549" s="4"/>
      <c r="AW549" s="4"/>
      <c r="AX549" s="4"/>
      <c r="AY549" s="4"/>
      <c r="AZ549" s="4"/>
      <c r="BA549" s="4"/>
      <c r="BB549" s="4"/>
      <c r="BC549" s="4"/>
      <c r="BD549" s="4"/>
      <c r="BE549" s="4"/>
      <c r="BF549" s="4"/>
      <c r="BG549" s="4"/>
    </row>
    <row r="550" ht="15.75" customHeight="1">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O550" s="4"/>
      <c r="AP550" s="4"/>
      <c r="AQ550" s="4"/>
      <c r="AR550" s="4"/>
      <c r="AS550" s="4"/>
      <c r="AT550" s="4"/>
      <c r="AU550" s="4"/>
      <c r="AV550" s="4"/>
      <c r="AW550" s="4"/>
      <c r="AX550" s="4"/>
      <c r="AY550" s="4"/>
      <c r="AZ550" s="4"/>
      <c r="BA550" s="4"/>
      <c r="BB550" s="4"/>
      <c r="BC550" s="4"/>
      <c r="BD550" s="4"/>
      <c r="BE550" s="4"/>
      <c r="BF550" s="4"/>
      <c r="BG550" s="4"/>
    </row>
    <row r="551" ht="15.75" customHeight="1">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O551" s="4"/>
      <c r="AP551" s="4"/>
      <c r="AQ551" s="4"/>
      <c r="AR551" s="4"/>
      <c r="AS551" s="4"/>
      <c r="AT551" s="4"/>
      <c r="AU551" s="4"/>
      <c r="AV551" s="4"/>
      <c r="AW551" s="4"/>
      <c r="AX551" s="4"/>
      <c r="AY551" s="4"/>
      <c r="AZ551" s="4"/>
      <c r="BA551" s="4"/>
      <c r="BB551" s="4"/>
      <c r="BC551" s="4"/>
      <c r="BD551" s="4"/>
      <c r="BE551" s="4"/>
      <c r="BF551" s="4"/>
      <c r="BG551" s="4"/>
    </row>
    <row r="552" ht="15.75" customHeight="1">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O552" s="4"/>
      <c r="AP552" s="4"/>
      <c r="AQ552" s="4"/>
      <c r="AR552" s="4"/>
      <c r="AS552" s="4"/>
      <c r="AT552" s="4"/>
      <c r="AU552" s="4"/>
      <c r="AV552" s="4"/>
      <c r="AW552" s="4"/>
      <c r="AX552" s="4"/>
      <c r="AY552" s="4"/>
      <c r="AZ552" s="4"/>
      <c r="BA552" s="4"/>
      <c r="BB552" s="4"/>
      <c r="BC552" s="4"/>
      <c r="BD552" s="4"/>
      <c r="BE552" s="4"/>
      <c r="BF552" s="4"/>
      <c r="BG552" s="4"/>
    </row>
    <row r="553" ht="15.75" customHeight="1">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O553" s="4"/>
      <c r="AP553" s="4"/>
      <c r="AQ553" s="4"/>
      <c r="AR553" s="4"/>
      <c r="AS553" s="4"/>
      <c r="AT553" s="4"/>
      <c r="AU553" s="4"/>
      <c r="AV553" s="4"/>
      <c r="AW553" s="4"/>
      <c r="AX553" s="4"/>
      <c r="AY553" s="4"/>
      <c r="AZ553" s="4"/>
      <c r="BA553" s="4"/>
      <c r="BB553" s="4"/>
      <c r="BC553" s="4"/>
      <c r="BD553" s="4"/>
      <c r="BE553" s="4"/>
      <c r="BF553" s="4"/>
      <c r="BG553" s="4"/>
    </row>
    <row r="554" ht="15.75" customHeight="1">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O554" s="4"/>
      <c r="AP554" s="4"/>
      <c r="AQ554" s="4"/>
      <c r="AR554" s="4"/>
      <c r="AS554" s="4"/>
      <c r="AT554" s="4"/>
      <c r="AU554" s="4"/>
      <c r="AV554" s="4"/>
      <c r="AW554" s="4"/>
      <c r="AX554" s="4"/>
      <c r="AY554" s="4"/>
      <c r="AZ554" s="4"/>
      <c r="BA554" s="4"/>
      <c r="BB554" s="4"/>
      <c r="BC554" s="4"/>
      <c r="BD554" s="4"/>
      <c r="BE554" s="4"/>
      <c r="BF554" s="4"/>
      <c r="BG554" s="4"/>
    </row>
    <row r="555" ht="15.75" customHeight="1">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O555" s="4"/>
      <c r="AP555" s="4"/>
      <c r="AQ555" s="4"/>
      <c r="AR555" s="4"/>
      <c r="AS555" s="4"/>
      <c r="AT555" s="4"/>
      <c r="AU555" s="4"/>
      <c r="AV555" s="4"/>
      <c r="AW555" s="4"/>
      <c r="AX555" s="4"/>
      <c r="AY555" s="4"/>
      <c r="AZ555" s="4"/>
      <c r="BA555" s="4"/>
      <c r="BB555" s="4"/>
      <c r="BC555" s="4"/>
      <c r="BD555" s="4"/>
      <c r="BE555" s="4"/>
      <c r="BF555" s="4"/>
      <c r="BG555" s="4"/>
    </row>
    <row r="556" ht="15.75" customHeight="1">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O556" s="4"/>
      <c r="AP556" s="4"/>
      <c r="AQ556" s="4"/>
      <c r="AR556" s="4"/>
      <c r="AS556" s="4"/>
      <c r="AT556" s="4"/>
      <c r="AU556" s="4"/>
      <c r="AV556" s="4"/>
      <c r="AW556" s="4"/>
      <c r="AX556" s="4"/>
      <c r="AY556" s="4"/>
      <c r="AZ556" s="4"/>
      <c r="BA556" s="4"/>
      <c r="BB556" s="4"/>
      <c r="BC556" s="4"/>
      <c r="BD556" s="4"/>
      <c r="BE556" s="4"/>
      <c r="BF556" s="4"/>
      <c r="BG556" s="4"/>
    </row>
    <row r="557" ht="15.75" customHeight="1">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O557" s="4"/>
      <c r="AP557" s="4"/>
      <c r="AQ557" s="4"/>
      <c r="AR557" s="4"/>
      <c r="AS557" s="4"/>
      <c r="AT557" s="4"/>
      <c r="AU557" s="4"/>
      <c r="AV557" s="4"/>
      <c r="AW557" s="4"/>
      <c r="AX557" s="4"/>
      <c r="AY557" s="4"/>
      <c r="AZ557" s="4"/>
      <c r="BA557" s="4"/>
      <c r="BB557" s="4"/>
      <c r="BC557" s="4"/>
      <c r="BD557" s="4"/>
      <c r="BE557" s="4"/>
      <c r="BF557" s="4"/>
      <c r="BG557" s="4"/>
    </row>
    <row r="558" ht="15.75" customHeight="1">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O558" s="4"/>
      <c r="AP558" s="4"/>
      <c r="AQ558" s="4"/>
      <c r="AR558" s="4"/>
      <c r="AS558" s="4"/>
      <c r="AT558" s="4"/>
      <c r="AU558" s="4"/>
      <c r="AV558" s="4"/>
      <c r="AW558" s="4"/>
      <c r="AX558" s="4"/>
      <c r="AY558" s="4"/>
      <c r="AZ558" s="4"/>
      <c r="BA558" s="4"/>
      <c r="BB558" s="4"/>
      <c r="BC558" s="4"/>
      <c r="BD558" s="4"/>
      <c r="BE558" s="4"/>
      <c r="BF558" s="4"/>
      <c r="BG558" s="4"/>
    </row>
    <row r="559" ht="15.75" customHeight="1">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O559" s="4"/>
      <c r="AP559" s="4"/>
      <c r="AQ559" s="4"/>
      <c r="AR559" s="4"/>
      <c r="AS559" s="4"/>
      <c r="AT559" s="4"/>
      <c r="AU559" s="4"/>
      <c r="AV559" s="4"/>
      <c r="AW559" s="4"/>
      <c r="AX559" s="4"/>
      <c r="AY559" s="4"/>
      <c r="AZ559" s="4"/>
      <c r="BA559" s="4"/>
      <c r="BB559" s="4"/>
      <c r="BC559" s="4"/>
      <c r="BD559" s="4"/>
      <c r="BE559" s="4"/>
      <c r="BF559" s="4"/>
      <c r="BG559" s="4"/>
    </row>
    <row r="560" ht="15.75" customHeight="1">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O560" s="4"/>
      <c r="AP560" s="4"/>
      <c r="AQ560" s="4"/>
      <c r="AR560" s="4"/>
      <c r="AS560" s="4"/>
      <c r="AT560" s="4"/>
      <c r="AU560" s="4"/>
      <c r="AV560" s="4"/>
      <c r="AW560" s="4"/>
      <c r="AX560" s="4"/>
      <c r="AY560" s="4"/>
      <c r="AZ560" s="4"/>
      <c r="BA560" s="4"/>
      <c r="BB560" s="4"/>
      <c r="BC560" s="4"/>
      <c r="BD560" s="4"/>
      <c r="BE560" s="4"/>
      <c r="BF560" s="4"/>
      <c r="BG560" s="4"/>
    </row>
    <row r="561" ht="15.75" customHeight="1">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O561" s="4"/>
      <c r="AP561" s="4"/>
      <c r="AQ561" s="4"/>
      <c r="AR561" s="4"/>
      <c r="AS561" s="4"/>
      <c r="AT561" s="4"/>
      <c r="AU561" s="4"/>
      <c r="AV561" s="4"/>
      <c r="AW561" s="4"/>
      <c r="AX561" s="4"/>
      <c r="AY561" s="4"/>
      <c r="AZ561" s="4"/>
      <c r="BA561" s="4"/>
      <c r="BB561" s="4"/>
      <c r="BC561" s="4"/>
      <c r="BD561" s="4"/>
      <c r="BE561" s="4"/>
      <c r="BF561" s="4"/>
      <c r="BG561" s="4"/>
    </row>
    <row r="562" ht="15.75" customHeight="1">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O562" s="4"/>
      <c r="AP562" s="4"/>
      <c r="AQ562" s="4"/>
      <c r="AR562" s="4"/>
      <c r="AS562" s="4"/>
      <c r="AT562" s="4"/>
      <c r="AU562" s="4"/>
      <c r="AV562" s="4"/>
      <c r="AW562" s="4"/>
      <c r="AX562" s="4"/>
      <c r="AY562" s="4"/>
      <c r="AZ562" s="4"/>
      <c r="BA562" s="4"/>
      <c r="BB562" s="4"/>
      <c r="BC562" s="4"/>
      <c r="BD562" s="4"/>
      <c r="BE562" s="4"/>
      <c r="BF562" s="4"/>
      <c r="BG562" s="4"/>
    </row>
    <row r="563" ht="15.75" customHeight="1">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O563" s="4"/>
      <c r="AP563" s="4"/>
      <c r="AQ563" s="4"/>
      <c r="AR563" s="4"/>
      <c r="AS563" s="4"/>
      <c r="AT563" s="4"/>
      <c r="AU563" s="4"/>
      <c r="AV563" s="4"/>
      <c r="AW563" s="4"/>
      <c r="AX563" s="4"/>
      <c r="AY563" s="4"/>
      <c r="AZ563" s="4"/>
      <c r="BA563" s="4"/>
      <c r="BB563" s="4"/>
      <c r="BC563" s="4"/>
      <c r="BD563" s="4"/>
      <c r="BE563" s="4"/>
      <c r="BF563" s="4"/>
      <c r="BG563" s="4"/>
    </row>
    <row r="564" ht="15.75" customHeight="1">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O564" s="4"/>
      <c r="AP564" s="4"/>
      <c r="AQ564" s="4"/>
      <c r="AR564" s="4"/>
      <c r="AS564" s="4"/>
      <c r="AT564" s="4"/>
      <c r="AU564" s="4"/>
      <c r="AV564" s="4"/>
      <c r="AW564" s="4"/>
      <c r="AX564" s="4"/>
      <c r="AY564" s="4"/>
      <c r="AZ564" s="4"/>
      <c r="BA564" s="4"/>
      <c r="BB564" s="4"/>
      <c r="BC564" s="4"/>
      <c r="BD564" s="4"/>
      <c r="BE564" s="4"/>
      <c r="BF564" s="4"/>
      <c r="BG564" s="4"/>
    </row>
    <row r="565" ht="15.75" customHeight="1">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O565" s="4"/>
      <c r="AP565" s="4"/>
      <c r="AQ565" s="4"/>
      <c r="AR565" s="4"/>
      <c r="AS565" s="4"/>
      <c r="AT565" s="4"/>
      <c r="AU565" s="4"/>
      <c r="AV565" s="4"/>
      <c r="AW565" s="4"/>
      <c r="AX565" s="4"/>
      <c r="AY565" s="4"/>
      <c r="AZ565" s="4"/>
      <c r="BA565" s="4"/>
      <c r="BB565" s="4"/>
      <c r="BC565" s="4"/>
      <c r="BD565" s="4"/>
      <c r="BE565" s="4"/>
      <c r="BF565" s="4"/>
      <c r="BG565" s="4"/>
    </row>
    <row r="566" ht="15.75" customHeight="1">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O566" s="4"/>
      <c r="AP566" s="4"/>
      <c r="AQ566" s="4"/>
      <c r="AR566" s="4"/>
      <c r="AS566" s="4"/>
      <c r="AT566" s="4"/>
      <c r="AU566" s="4"/>
      <c r="AV566" s="4"/>
      <c r="AW566" s="4"/>
      <c r="AX566" s="4"/>
      <c r="AY566" s="4"/>
      <c r="AZ566" s="4"/>
      <c r="BA566" s="4"/>
      <c r="BB566" s="4"/>
      <c r="BC566" s="4"/>
      <c r="BD566" s="4"/>
      <c r="BE566" s="4"/>
      <c r="BF566" s="4"/>
      <c r="BG566" s="4"/>
    </row>
    <row r="567" ht="15.75" customHeight="1">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O567" s="4"/>
      <c r="AP567" s="4"/>
      <c r="AQ567" s="4"/>
      <c r="AR567" s="4"/>
      <c r="AS567" s="4"/>
      <c r="AT567" s="4"/>
      <c r="AU567" s="4"/>
      <c r="AV567" s="4"/>
      <c r="AW567" s="4"/>
      <c r="AX567" s="4"/>
      <c r="AY567" s="4"/>
      <c r="AZ567" s="4"/>
      <c r="BA567" s="4"/>
      <c r="BB567" s="4"/>
      <c r="BC567" s="4"/>
      <c r="BD567" s="4"/>
      <c r="BE567" s="4"/>
      <c r="BF567" s="4"/>
      <c r="BG567" s="4"/>
    </row>
    <row r="568" ht="15.75" customHeight="1">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O568" s="4"/>
      <c r="AP568" s="4"/>
      <c r="AQ568" s="4"/>
      <c r="AR568" s="4"/>
      <c r="AS568" s="4"/>
      <c r="AT568" s="4"/>
      <c r="AU568" s="4"/>
      <c r="AV568" s="4"/>
      <c r="AW568" s="4"/>
      <c r="AX568" s="4"/>
      <c r="AY568" s="4"/>
      <c r="AZ568" s="4"/>
      <c r="BA568" s="4"/>
      <c r="BB568" s="4"/>
      <c r="BC568" s="4"/>
      <c r="BD568" s="4"/>
      <c r="BE568" s="4"/>
      <c r="BF568" s="4"/>
      <c r="BG568" s="4"/>
    </row>
    <row r="569" ht="15.75" customHeight="1">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O569" s="4"/>
      <c r="AP569" s="4"/>
      <c r="AQ569" s="4"/>
      <c r="AR569" s="4"/>
      <c r="AS569" s="4"/>
      <c r="AT569" s="4"/>
      <c r="AU569" s="4"/>
      <c r="AV569" s="4"/>
      <c r="AW569" s="4"/>
      <c r="AX569" s="4"/>
      <c r="AY569" s="4"/>
      <c r="AZ569" s="4"/>
      <c r="BA569" s="4"/>
      <c r="BB569" s="4"/>
      <c r="BC569" s="4"/>
      <c r="BD569" s="4"/>
      <c r="BE569" s="4"/>
      <c r="BF569" s="4"/>
      <c r="BG569" s="4"/>
    </row>
    <row r="570" ht="15.75" customHeight="1">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O570" s="4"/>
      <c r="AP570" s="4"/>
      <c r="AQ570" s="4"/>
      <c r="AR570" s="4"/>
      <c r="AS570" s="4"/>
      <c r="AT570" s="4"/>
      <c r="AU570" s="4"/>
      <c r="AV570" s="4"/>
      <c r="AW570" s="4"/>
      <c r="AX570" s="4"/>
      <c r="AY570" s="4"/>
      <c r="AZ570" s="4"/>
      <c r="BA570" s="4"/>
      <c r="BB570" s="4"/>
      <c r="BC570" s="4"/>
      <c r="BD570" s="4"/>
      <c r="BE570" s="4"/>
      <c r="BF570" s="4"/>
      <c r="BG570" s="4"/>
    </row>
    <row r="571" ht="15.75" customHeight="1">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O571" s="4"/>
      <c r="AP571" s="4"/>
      <c r="AQ571" s="4"/>
      <c r="AR571" s="4"/>
      <c r="AS571" s="4"/>
      <c r="AT571" s="4"/>
      <c r="AU571" s="4"/>
      <c r="AV571" s="4"/>
      <c r="AW571" s="4"/>
      <c r="AX571" s="4"/>
      <c r="AY571" s="4"/>
      <c r="AZ571" s="4"/>
      <c r="BA571" s="4"/>
      <c r="BB571" s="4"/>
      <c r="BC571" s="4"/>
      <c r="BD571" s="4"/>
      <c r="BE571" s="4"/>
      <c r="BF571" s="4"/>
      <c r="BG571" s="4"/>
    </row>
    <row r="572" ht="15.75" customHeight="1">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O572" s="4"/>
      <c r="AP572" s="4"/>
      <c r="AQ572" s="4"/>
      <c r="AR572" s="4"/>
      <c r="AS572" s="4"/>
      <c r="AT572" s="4"/>
      <c r="AU572" s="4"/>
      <c r="AV572" s="4"/>
      <c r="AW572" s="4"/>
      <c r="AX572" s="4"/>
      <c r="AY572" s="4"/>
      <c r="AZ572" s="4"/>
      <c r="BA572" s="4"/>
      <c r="BB572" s="4"/>
      <c r="BC572" s="4"/>
      <c r="BD572" s="4"/>
      <c r="BE572" s="4"/>
      <c r="BF572" s="4"/>
      <c r="BG572" s="4"/>
    </row>
    <row r="573" ht="15.75" customHeight="1">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O573" s="4"/>
      <c r="AP573" s="4"/>
      <c r="AQ573" s="4"/>
      <c r="AR573" s="4"/>
      <c r="AS573" s="4"/>
      <c r="AT573" s="4"/>
      <c r="AU573" s="4"/>
      <c r="AV573" s="4"/>
      <c r="AW573" s="4"/>
      <c r="AX573" s="4"/>
      <c r="AY573" s="4"/>
      <c r="AZ573" s="4"/>
      <c r="BA573" s="4"/>
      <c r="BB573" s="4"/>
      <c r="BC573" s="4"/>
      <c r="BD573" s="4"/>
      <c r="BE573" s="4"/>
      <c r="BF573" s="4"/>
      <c r="BG573" s="4"/>
    </row>
    <row r="574" ht="15.75" customHeight="1">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O574" s="4"/>
      <c r="AP574" s="4"/>
      <c r="AQ574" s="4"/>
      <c r="AR574" s="4"/>
      <c r="AS574" s="4"/>
      <c r="AT574" s="4"/>
      <c r="AU574" s="4"/>
      <c r="AV574" s="4"/>
      <c r="AW574" s="4"/>
      <c r="AX574" s="4"/>
      <c r="AY574" s="4"/>
      <c r="AZ574" s="4"/>
      <c r="BA574" s="4"/>
      <c r="BB574" s="4"/>
      <c r="BC574" s="4"/>
      <c r="BD574" s="4"/>
      <c r="BE574" s="4"/>
      <c r="BF574" s="4"/>
      <c r="BG574" s="4"/>
    </row>
    <row r="575" ht="15.75" customHeight="1">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O575" s="4"/>
      <c r="AP575" s="4"/>
      <c r="AQ575" s="4"/>
      <c r="AR575" s="4"/>
      <c r="AS575" s="4"/>
      <c r="AT575" s="4"/>
      <c r="AU575" s="4"/>
      <c r="AV575" s="4"/>
      <c r="AW575" s="4"/>
      <c r="AX575" s="4"/>
      <c r="AY575" s="4"/>
      <c r="AZ575" s="4"/>
      <c r="BA575" s="4"/>
      <c r="BB575" s="4"/>
      <c r="BC575" s="4"/>
      <c r="BD575" s="4"/>
      <c r="BE575" s="4"/>
      <c r="BF575" s="4"/>
      <c r="BG575" s="4"/>
    </row>
    <row r="576" ht="15.75" customHeight="1">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O576" s="4"/>
      <c r="AP576" s="4"/>
      <c r="AQ576" s="4"/>
      <c r="AR576" s="4"/>
      <c r="AS576" s="4"/>
      <c r="AT576" s="4"/>
      <c r="AU576" s="4"/>
      <c r="AV576" s="4"/>
      <c r="AW576" s="4"/>
      <c r="AX576" s="4"/>
      <c r="AY576" s="4"/>
      <c r="AZ576" s="4"/>
      <c r="BA576" s="4"/>
      <c r="BB576" s="4"/>
      <c r="BC576" s="4"/>
      <c r="BD576" s="4"/>
      <c r="BE576" s="4"/>
      <c r="BF576" s="4"/>
      <c r="BG576" s="4"/>
    </row>
    <row r="577" ht="15.75" customHeight="1">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O577" s="4"/>
      <c r="AP577" s="4"/>
      <c r="AQ577" s="4"/>
      <c r="AR577" s="4"/>
      <c r="AS577" s="4"/>
      <c r="AT577" s="4"/>
      <c r="AU577" s="4"/>
      <c r="AV577" s="4"/>
      <c r="AW577" s="4"/>
      <c r="AX577" s="4"/>
      <c r="AY577" s="4"/>
      <c r="AZ577" s="4"/>
      <c r="BA577" s="4"/>
      <c r="BB577" s="4"/>
      <c r="BC577" s="4"/>
      <c r="BD577" s="4"/>
      <c r="BE577" s="4"/>
      <c r="BF577" s="4"/>
      <c r="BG577" s="4"/>
    </row>
    <row r="578" ht="15.75" customHeight="1">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O578" s="4"/>
      <c r="AP578" s="4"/>
      <c r="AQ578" s="4"/>
      <c r="AR578" s="4"/>
      <c r="AS578" s="4"/>
      <c r="AT578" s="4"/>
      <c r="AU578" s="4"/>
      <c r="AV578" s="4"/>
      <c r="AW578" s="4"/>
      <c r="AX578" s="4"/>
      <c r="AY578" s="4"/>
      <c r="AZ578" s="4"/>
      <c r="BA578" s="4"/>
      <c r="BB578" s="4"/>
      <c r="BC578" s="4"/>
      <c r="BD578" s="4"/>
      <c r="BE578" s="4"/>
      <c r="BF578" s="4"/>
      <c r="BG578" s="4"/>
    </row>
    <row r="579" ht="15.75" customHeight="1">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O579" s="4"/>
      <c r="AP579" s="4"/>
      <c r="AQ579" s="4"/>
      <c r="AR579" s="4"/>
      <c r="AS579" s="4"/>
      <c r="AT579" s="4"/>
      <c r="AU579" s="4"/>
      <c r="AV579" s="4"/>
      <c r="AW579" s="4"/>
      <c r="AX579" s="4"/>
      <c r="AY579" s="4"/>
      <c r="AZ579" s="4"/>
      <c r="BA579" s="4"/>
      <c r="BB579" s="4"/>
      <c r="BC579" s="4"/>
      <c r="BD579" s="4"/>
      <c r="BE579" s="4"/>
      <c r="BF579" s="4"/>
      <c r="BG579" s="4"/>
    </row>
    <row r="580" ht="15.75" customHeight="1">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O580" s="4"/>
      <c r="AP580" s="4"/>
      <c r="AQ580" s="4"/>
      <c r="AR580" s="4"/>
      <c r="AS580" s="4"/>
      <c r="AT580" s="4"/>
      <c r="AU580" s="4"/>
      <c r="AV580" s="4"/>
      <c r="AW580" s="4"/>
      <c r="AX580" s="4"/>
      <c r="AY580" s="4"/>
      <c r="AZ580" s="4"/>
      <c r="BA580" s="4"/>
      <c r="BB580" s="4"/>
      <c r="BC580" s="4"/>
      <c r="BD580" s="4"/>
      <c r="BE580" s="4"/>
      <c r="BF580" s="4"/>
      <c r="BG580" s="4"/>
    </row>
    <row r="581" ht="15.75" customHeight="1">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O581" s="4"/>
      <c r="AP581" s="4"/>
      <c r="AQ581" s="4"/>
      <c r="AR581" s="4"/>
      <c r="AS581" s="4"/>
      <c r="AT581" s="4"/>
      <c r="AU581" s="4"/>
      <c r="AV581" s="4"/>
      <c r="AW581" s="4"/>
      <c r="AX581" s="4"/>
      <c r="AY581" s="4"/>
      <c r="AZ581" s="4"/>
      <c r="BA581" s="4"/>
      <c r="BB581" s="4"/>
      <c r="BC581" s="4"/>
      <c r="BD581" s="4"/>
      <c r="BE581" s="4"/>
      <c r="BF581" s="4"/>
      <c r="BG581" s="4"/>
    </row>
    <row r="582" ht="15.75" customHeight="1">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O582" s="4"/>
      <c r="AP582" s="4"/>
      <c r="AQ582" s="4"/>
      <c r="AR582" s="4"/>
      <c r="AS582" s="4"/>
      <c r="AT582" s="4"/>
      <c r="AU582" s="4"/>
      <c r="AV582" s="4"/>
      <c r="AW582" s="4"/>
      <c r="AX582" s="4"/>
      <c r="AY582" s="4"/>
      <c r="AZ582" s="4"/>
      <c r="BA582" s="4"/>
      <c r="BB582" s="4"/>
      <c r="BC582" s="4"/>
      <c r="BD582" s="4"/>
      <c r="BE582" s="4"/>
      <c r="BF582" s="4"/>
      <c r="BG582" s="4"/>
    </row>
    <row r="583" ht="15.75" customHeight="1">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O583" s="4"/>
      <c r="AP583" s="4"/>
      <c r="AQ583" s="4"/>
      <c r="AR583" s="4"/>
      <c r="AS583" s="4"/>
      <c r="AT583" s="4"/>
      <c r="AU583" s="4"/>
      <c r="AV583" s="4"/>
      <c r="AW583" s="4"/>
      <c r="AX583" s="4"/>
      <c r="AY583" s="4"/>
      <c r="AZ583" s="4"/>
      <c r="BA583" s="4"/>
      <c r="BB583" s="4"/>
      <c r="BC583" s="4"/>
      <c r="BD583" s="4"/>
      <c r="BE583" s="4"/>
      <c r="BF583" s="4"/>
      <c r="BG583" s="4"/>
    </row>
    <row r="584" ht="15.75" customHeight="1">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O584" s="4"/>
      <c r="AP584" s="4"/>
      <c r="AQ584" s="4"/>
      <c r="AR584" s="4"/>
      <c r="AS584" s="4"/>
      <c r="AT584" s="4"/>
      <c r="AU584" s="4"/>
      <c r="AV584" s="4"/>
      <c r="AW584" s="4"/>
      <c r="AX584" s="4"/>
      <c r="AY584" s="4"/>
      <c r="AZ584" s="4"/>
      <c r="BA584" s="4"/>
      <c r="BB584" s="4"/>
      <c r="BC584" s="4"/>
      <c r="BD584" s="4"/>
      <c r="BE584" s="4"/>
      <c r="BF584" s="4"/>
      <c r="BG584" s="4"/>
    </row>
    <row r="585" ht="15.75" customHeight="1">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O585" s="4"/>
      <c r="AP585" s="4"/>
      <c r="AQ585" s="4"/>
      <c r="AR585" s="4"/>
      <c r="AS585" s="4"/>
      <c r="AT585" s="4"/>
      <c r="AU585" s="4"/>
      <c r="AV585" s="4"/>
      <c r="AW585" s="4"/>
      <c r="AX585" s="4"/>
      <c r="AY585" s="4"/>
      <c r="AZ585" s="4"/>
      <c r="BA585" s="4"/>
      <c r="BB585" s="4"/>
      <c r="BC585" s="4"/>
      <c r="BD585" s="4"/>
      <c r="BE585" s="4"/>
      <c r="BF585" s="4"/>
      <c r="BG585" s="4"/>
    </row>
    <row r="586" ht="15.75" customHeight="1">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O586" s="4"/>
      <c r="AP586" s="4"/>
      <c r="AQ586" s="4"/>
      <c r="AR586" s="4"/>
      <c r="AS586" s="4"/>
      <c r="AT586" s="4"/>
      <c r="AU586" s="4"/>
      <c r="AV586" s="4"/>
      <c r="AW586" s="4"/>
      <c r="AX586" s="4"/>
      <c r="AY586" s="4"/>
      <c r="AZ586" s="4"/>
      <c r="BA586" s="4"/>
      <c r="BB586" s="4"/>
      <c r="BC586" s="4"/>
      <c r="BD586" s="4"/>
      <c r="BE586" s="4"/>
      <c r="BF586" s="4"/>
      <c r="BG586" s="4"/>
    </row>
    <row r="587" ht="15.75" customHeight="1">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O587" s="4"/>
      <c r="AP587" s="4"/>
      <c r="AQ587" s="4"/>
      <c r="AR587" s="4"/>
      <c r="AS587" s="4"/>
      <c r="AT587" s="4"/>
      <c r="AU587" s="4"/>
      <c r="AV587" s="4"/>
      <c r="AW587" s="4"/>
      <c r="AX587" s="4"/>
      <c r="AY587" s="4"/>
      <c r="AZ587" s="4"/>
      <c r="BA587" s="4"/>
      <c r="BB587" s="4"/>
      <c r="BC587" s="4"/>
      <c r="BD587" s="4"/>
      <c r="BE587" s="4"/>
      <c r="BF587" s="4"/>
      <c r="BG587" s="4"/>
    </row>
    <row r="588" ht="15.75" customHeight="1">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O588" s="4"/>
      <c r="AP588" s="4"/>
      <c r="AQ588" s="4"/>
      <c r="AR588" s="4"/>
      <c r="AS588" s="4"/>
      <c r="AT588" s="4"/>
      <c r="AU588" s="4"/>
      <c r="AV588" s="4"/>
      <c r="AW588" s="4"/>
      <c r="AX588" s="4"/>
      <c r="AY588" s="4"/>
      <c r="AZ588" s="4"/>
      <c r="BA588" s="4"/>
      <c r="BB588" s="4"/>
      <c r="BC588" s="4"/>
      <c r="BD588" s="4"/>
      <c r="BE588" s="4"/>
      <c r="BF588" s="4"/>
      <c r="BG588" s="4"/>
    </row>
    <row r="589" ht="15.75" customHeight="1">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O589" s="4"/>
      <c r="AP589" s="4"/>
      <c r="AQ589" s="4"/>
      <c r="AR589" s="4"/>
      <c r="AS589" s="4"/>
      <c r="AT589" s="4"/>
      <c r="AU589" s="4"/>
      <c r="AV589" s="4"/>
      <c r="AW589" s="4"/>
      <c r="AX589" s="4"/>
      <c r="AY589" s="4"/>
      <c r="AZ589" s="4"/>
      <c r="BA589" s="4"/>
      <c r="BB589" s="4"/>
      <c r="BC589" s="4"/>
      <c r="BD589" s="4"/>
      <c r="BE589" s="4"/>
      <c r="BF589" s="4"/>
      <c r="BG589" s="4"/>
    </row>
    <row r="590" ht="15.75" customHeight="1">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O590" s="4"/>
      <c r="AP590" s="4"/>
      <c r="AQ590" s="4"/>
      <c r="AR590" s="4"/>
      <c r="AS590" s="4"/>
      <c r="AT590" s="4"/>
      <c r="AU590" s="4"/>
      <c r="AV590" s="4"/>
      <c r="AW590" s="4"/>
      <c r="AX590" s="4"/>
      <c r="AY590" s="4"/>
      <c r="AZ590" s="4"/>
      <c r="BA590" s="4"/>
      <c r="BB590" s="4"/>
      <c r="BC590" s="4"/>
      <c r="BD590" s="4"/>
      <c r="BE590" s="4"/>
      <c r="BF590" s="4"/>
      <c r="BG590" s="4"/>
    </row>
    <row r="591" ht="15.75" customHeight="1">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O591" s="4"/>
      <c r="AP591" s="4"/>
      <c r="AQ591" s="4"/>
      <c r="AR591" s="4"/>
      <c r="AS591" s="4"/>
      <c r="AT591" s="4"/>
      <c r="AU591" s="4"/>
      <c r="AV591" s="4"/>
      <c r="AW591" s="4"/>
      <c r="AX591" s="4"/>
      <c r="AY591" s="4"/>
      <c r="AZ591" s="4"/>
      <c r="BA591" s="4"/>
      <c r="BB591" s="4"/>
      <c r="BC591" s="4"/>
      <c r="BD591" s="4"/>
      <c r="BE591" s="4"/>
      <c r="BF591" s="4"/>
      <c r="BG591" s="4"/>
    </row>
    <row r="592" ht="15.75" customHeight="1">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O592" s="4"/>
      <c r="AP592" s="4"/>
      <c r="AQ592" s="4"/>
      <c r="AR592" s="4"/>
      <c r="AS592" s="4"/>
      <c r="AT592" s="4"/>
      <c r="AU592" s="4"/>
      <c r="AV592" s="4"/>
      <c r="AW592" s="4"/>
      <c r="AX592" s="4"/>
      <c r="AY592" s="4"/>
      <c r="AZ592" s="4"/>
      <c r="BA592" s="4"/>
      <c r="BB592" s="4"/>
      <c r="BC592" s="4"/>
      <c r="BD592" s="4"/>
      <c r="BE592" s="4"/>
      <c r="BF592" s="4"/>
      <c r="BG592" s="4"/>
    </row>
    <row r="593" ht="15.75" customHeight="1">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O593" s="4"/>
      <c r="AP593" s="4"/>
      <c r="AQ593" s="4"/>
      <c r="AR593" s="4"/>
      <c r="AS593" s="4"/>
      <c r="AT593" s="4"/>
      <c r="AU593" s="4"/>
      <c r="AV593" s="4"/>
      <c r="AW593" s="4"/>
      <c r="AX593" s="4"/>
      <c r="AY593" s="4"/>
      <c r="AZ593" s="4"/>
      <c r="BA593" s="4"/>
      <c r="BB593" s="4"/>
      <c r="BC593" s="4"/>
      <c r="BD593" s="4"/>
      <c r="BE593" s="4"/>
      <c r="BF593" s="4"/>
      <c r="BG593" s="4"/>
    </row>
    <row r="594" ht="15.75" customHeight="1">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O594" s="4"/>
      <c r="AP594" s="4"/>
      <c r="AQ594" s="4"/>
      <c r="AR594" s="4"/>
      <c r="AS594" s="4"/>
      <c r="AT594" s="4"/>
      <c r="AU594" s="4"/>
      <c r="AV594" s="4"/>
      <c r="AW594" s="4"/>
      <c r="AX594" s="4"/>
      <c r="AY594" s="4"/>
      <c r="AZ594" s="4"/>
      <c r="BA594" s="4"/>
      <c r="BB594" s="4"/>
      <c r="BC594" s="4"/>
      <c r="BD594" s="4"/>
      <c r="BE594" s="4"/>
      <c r="BF594" s="4"/>
      <c r="BG594" s="4"/>
    </row>
    <row r="595" ht="15.75" customHeight="1">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O595" s="4"/>
      <c r="AP595" s="4"/>
      <c r="AQ595" s="4"/>
      <c r="AR595" s="4"/>
      <c r="AS595" s="4"/>
      <c r="AT595" s="4"/>
      <c r="AU595" s="4"/>
      <c r="AV595" s="4"/>
      <c r="AW595" s="4"/>
      <c r="AX595" s="4"/>
      <c r="AY595" s="4"/>
      <c r="AZ595" s="4"/>
      <c r="BA595" s="4"/>
      <c r="BB595" s="4"/>
      <c r="BC595" s="4"/>
      <c r="BD595" s="4"/>
      <c r="BE595" s="4"/>
      <c r="BF595" s="4"/>
      <c r="BG595" s="4"/>
    </row>
    <row r="596" ht="15.75" customHeight="1">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O596" s="4"/>
      <c r="AP596" s="4"/>
      <c r="AQ596" s="4"/>
      <c r="AR596" s="4"/>
      <c r="AS596" s="4"/>
      <c r="AT596" s="4"/>
      <c r="AU596" s="4"/>
      <c r="AV596" s="4"/>
      <c r="AW596" s="4"/>
      <c r="AX596" s="4"/>
      <c r="AY596" s="4"/>
      <c r="AZ596" s="4"/>
      <c r="BA596" s="4"/>
      <c r="BB596" s="4"/>
      <c r="BC596" s="4"/>
      <c r="BD596" s="4"/>
      <c r="BE596" s="4"/>
      <c r="BF596" s="4"/>
      <c r="BG596" s="4"/>
    </row>
    <row r="597" ht="15.75" customHeight="1">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O597" s="4"/>
      <c r="AP597" s="4"/>
      <c r="AQ597" s="4"/>
      <c r="AR597" s="4"/>
      <c r="AS597" s="4"/>
      <c r="AT597" s="4"/>
      <c r="AU597" s="4"/>
      <c r="AV597" s="4"/>
      <c r="AW597" s="4"/>
      <c r="AX597" s="4"/>
      <c r="AY597" s="4"/>
      <c r="AZ597" s="4"/>
      <c r="BA597" s="4"/>
      <c r="BB597" s="4"/>
      <c r="BC597" s="4"/>
      <c r="BD597" s="4"/>
      <c r="BE597" s="4"/>
      <c r="BF597" s="4"/>
      <c r="BG597" s="4"/>
    </row>
    <row r="598" ht="15.75" customHeight="1">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O598" s="4"/>
      <c r="AP598" s="4"/>
      <c r="AQ598" s="4"/>
      <c r="AR598" s="4"/>
      <c r="AS598" s="4"/>
      <c r="AT598" s="4"/>
      <c r="AU598" s="4"/>
      <c r="AV598" s="4"/>
      <c r="AW598" s="4"/>
      <c r="AX598" s="4"/>
      <c r="AY598" s="4"/>
      <c r="AZ598" s="4"/>
      <c r="BA598" s="4"/>
      <c r="BB598" s="4"/>
      <c r="BC598" s="4"/>
      <c r="BD598" s="4"/>
      <c r="BE598" s="4"/>
      <c r="BF598" s="4"/>
      <c r="BG598" s="4"/>
    </row>
    <row r="599" ht="15.75" customHeight="1">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O599" s="4"/>
      <c r="AP599" s="4"/>
      <c r="AQ599" s="4"/>
      <c r="AR599" s="4"/>
      <c r="AS599" s="4"/>
      <c r="AT599" s="4"/>
      <c r="AU599" s="4"/>
      <c r="AV599" s="4"/>
      <c r="AW599" s="4"/>
      <c r="AX599" s="4"/>
      <c r="AY599" s="4"/>
      <c r="AZ599" s="4"/>
      <c r="BA599" s="4"/>
      <c r="BB599" s="4"/>
      <c r="BC599" s="4"/>
      <c r="BD599" s="4"/>
      <c r="BE599" s="4"/>
      <c r="BF599" s="4"/>
      <c r="BG599" s="4"/>
    </row>
    <row r="600" ht="15.75" customHeight="1">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O600" s="4"/>
      <c r="AP600" s="4"/>
      <c r="AQ600" s="4"/>
      <c r="AR600" s="4"/>
      <c r="AS600" s="4"/>
      <c r="AT600" s="4"/>
      <c r="AU600" s="4"/>
      <c r="AV600" s="4"/>
      <c r="AW600" s="4"/>
      <c r="AX600" s="4"/>
      <c r="AY600" s="4"/>
      <c r="AZ600" s="4"/>
      <c r="BA600" s="4"/>
      <c r="BB600" s="4"/>
      <c r="BC600" s="4"/>
      <c r="BD600" s="4"/>
      <c r="BE600" s="4"/>
      <c r="BF600" s="4"/>
      <c r="BG600" s="4"/>
    </row>
    <row r="601" ht="15.75" customHeight="1">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O601" s="4"/>
      <c r="AP601" s="4"/>
      <c r="AQ601" s="4"/>
      <c r="AR601" s="4"/>
      <c r="AS601" s="4"/>
      <c r="AT601" s="4"/>
      <c r="AU601" s="4"/>
      <c r="AV601" s="4"/>
      <c r="AW601" s="4"/>
      <c r="AX601" s="4"/>
      <c r="AY601" s="4"/>
      <c r="AZ601" s="4"/>
      <c r="BA601" s="4"/>
      <c r="BB601" s="4"/>
      <c r="BC601" s="4"/>
      <c r="BD601" s="4"/>
      <c r="BE601" s="4"/>
      <c r="BF601" s="4"/>
      <c r="BG601" s="4"/>
    </row>
    <row r="602" ht="15.75" customHeight="1">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O602" s="4"/>
      <c r="AP602" s="4"/>
      <c r="AQ602" s="4"/>
      <c r="AR602" s="4"/>
      <c r="AS602" s="4"/>
      <c r="AT602" s="4"/>
      <c r="AU602" s="4"/>
      <c r="AV602" s="4"/>
      <c r="AW602" s="4"/>
      <c r="AX602" s="4"/>
      <c r="AY602" s="4"/>
      <c r="AZ602" s="4"/>
      <c r="BA602" s="4"/>
      <c r="BB602" s="4"/>
      <c r="BC602" s="4"/>
      <c r="BD602" s="4"/>
      <c r="BE602" s="4"/>
      <c r="BF602" s="4"/>
      <c r="BG602" s="4"/>
    </row>
    <row r="603" ht="15.75" customHeight="1">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O603" s="4"/>
      <c r="AP603" s="4"/>
      <c r="AQ603" s="4"/>
      <c r="AR603" s="4"/>
      <c r="AS603" s="4"/>
      <c r="AT603" s="4"/>
      <c r="AU603" s="4"/>
      <c r="AV603" s="4"/>
      <c r="AW603" s="4"/>
      <c r="AX603" s="4"/>
      <c r="AY603" s="4"/>
      <c r="AZ603" s="4"/>
      <c r="BA603" s="4"/>
      <c r="BB603" s="4"/>
      <c r="BC603" s="4"/>
      <c r="BD603" s="4"/>
      <c r="BE603" s="4"/>
      <c r="BF603" s="4"/>
      <c r="BG603" s="4"/>
    </row>
    <row r="604" ht="15.75" customHeight="1">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O604" s="4"/>
      <c r="AP604" s="4"/>
      <c r="AQ604" s="4"/>
      <c r="AR604" s="4"/>
      <c r="AS604" s="4"/>
      <c r="AT604" s="4"/>
      <c r="AU604" s="4"/>
      <c r="AV604" s="4"/>
      <c r="AW604" s="4"/>
      <c r="AX604" s="4"/>
      <c r="AY604" s="4"/>
      <c r="AZ604" s="4"/>
      <c r="BA604" s="4"/>
      <c r="BB604" s="4"/>
      <c r="BC604" s="4"/>
      <c r="BD604" s="4"/>
      <c r="BE604" s="4"/>
      <c r="BF604" s="4"/>
      <c r="BG604" s="4"/>
    </row>
    <row r="605" ht="15.75" customHeight="1">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O605" s="4"/>
      <c r="AP605" s="4"/>
      <c r="AQ605" s="4"/>
      <c r="AR605" s="4"/>
      <c r="AS605" s="4"/>
      <c r="AT605" s="4"/>
      <c r="AU605" s="4"/>
      <c r="AV605" s="4"/>
      <c r="AW605" s="4"/>
      <c r="AX605" s="4"/>
      <c r="AY605" s="4"/>
      <c r="AZ605" s="4"/>
      <c r="BA605" s="4"/>
      <c r="BB605" s="4"/>
      <c r="BC605" s="4"/>
      <c r="BD605" s="4"/>
      <c r="BE605" s="4"/>
      <c r="BF605" s="4"/>
      <c r="BG605" s="4"/>
    </row>
    <row r="606" ht="15.75" customHeight="1">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O606" s="4"/>
      <c r="AP606" s="4"/>
      <c r="AQ606" s="4"/>
      <c r="AR606" s="4"/>
      <c r="AS606" s="4"/>
      <c r="AT606" s="4"/>
      <c r="AU606" s="4"/>
      <c r="AV606" s="4"/>
      <c r="AW606" s="4"/>
      <c r="AX606" s="4"/>
      <c r="AY606" s="4"/>
      <c r="AZ606" s="4"/>
      <c r="BA606" s="4"/>
      <c r="BB606" s="4"/>
      <c r="BC606" s="4"/>
      <c r="BD606" s="4"/>
      <c r="BE606" s="4"/>
      <c r="BF606" s="4"/>
      <c r="BG606" s="4"/>
    </row>
    <row r="607" ht="15.75" customHeight="1">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O607" s="4"/>
      <c r="AP607" s="4"/>
      <c r="AQ607" s="4"/>
      <c r="AR607" s="4"/>
      <c r="AS607" s="4"/>
      <c r="AT607" s="4"/>
      <c r="AU607" s="4"/>
      <c r="AV607" s="4"/>
      <c r="AW607" s="4"/>
      <c r="AX607" s="4"/>
      <c r="AY607" s="4"/>
      <c r="AZ607" s="4"/>
      <c r="BA607" s="4"/>
      <c r="BB607" s="4"/>
      <c r="BC607" s="4"/>
      <c r="BD607" s="4"/>
      <c r="BE607" s="4"/>
      <c r="BF607" s="4"/>
      <c r="BG607" s="4"/>
    </row>
    <row r="608" ht="15.75" customHeight="1">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O608" s="4"/>
      <c r="AP608" s="4"/>
      <c r="AQ608" s="4"/>
      <c r="AR608" s="4"/>
      <c r="AS608" s="4"/>
      <c r="AT608" s="4"/>
      <c r="AU608" s="4"/>
      <c r="AV608" s="4"/>
      <c r="AW608" s="4"/>
      <c r="AX608" s="4"/>
      <c r="AY608" s="4"/>
      <c r="AZ608" s="4"/>
      <c r="BA608" s="4"/>
      <c r="BB608" s="4"/>
      <c r="BC608" s="4"/>
      <c r="BD608" s="4"/>
      <c r="BE608" s="4"/>
      <c r="BF608" s="4"/>
      <c r="BG608" s="4"/>
    </row>
    <row r="609" ht="15.75" customHeight="1">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O609" s="4"/>
      <c r="AP609" s="4"/>
      <c r="AQ609" s="4"/>
      <c r="AR609" s="4"/>
      <c r="AS609" s="4"/>
      <c r="AT609" s="4"/>
      <c r="AU609" s="4"/>
      <c r="AV609" s="4"/>
      <c r="AW609" s="4"/>
      <c r="AX609" s="4"/>
      <c r="AY609" s="4"/>
      <c r="AZ609" s="4"/>
      <c r="BA609" s="4"/>
      <c r="BB609" s="4"/>
      <c r="BC609" s="4"/>
      <c r="BD609" s="4"/>
      <c r="BE609" s="4"/>
      <c r="BF609" s="4"/>
      <c r="BG609" s="4"/>
    </row>
    <row r="610" ht="15.75" customHeight="1">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O610" s="4"/>
      <c r="AP610" s="4"/>
      <c r="AQ610" s="4"/>
      <c r="AR610" s="4"/>
      <c r="AS610" s="4"/>
      <c r="AT610" s="4"/>
      <c r="AU610" s="4"/>
      <c r="AV610" s="4"/>
      <c r="AW610" s="4"/>
      <c r="AX610" s="4"/>
      <c r="AY610" s="4"/>
      <c r="AZ610" s="4"/>
      <c r="BA610" s="4"/>
      <c r="BB610" s="4"/>
      <c r="BC610" s="4"/>
      <c r="BD610" s="4"/>
      <c r="BE610" s="4"/>
      <c r="BF610" s="4"/>
      <c r="BG610" s="4"/>
    </row>
    <row r="611" ht="15.75" customHeight="1">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O611" s="4"/>
      <c r="AP611" s="4"/>
      <c r="AQ611" s="4"/>
      <c r="AR611" s="4"/>
      <c r="AS611" s="4"/>
      <c r="AT611" s="4"/>
      <c r="AU611" s="4"/>
      <c r="AV611" s="4"/>
      <c r="AW611" s="4"/>
      <c r="AX611" s="4"/>
      <c r="AY611" s="4"/>
      <c r="AZ611" s="4"/>
      <c r="BA611" s="4"/>
      <c r="BB611" s="4"/>
      <c r="BC611" s="4"/>
      <c r="BD611" s="4"/>
      <c r="BE611" s="4"/>
      <c r="BF611" s="4"/>
      <c r="BG611" s="4"/>
    </row>
    <row r="612" ht="15.75" customHeight="1">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O612" s="4"/>
      <c r="AP612" s="4"/>
      <c r="AQ612" s="4"/>
      <c r="AR612" s="4"/>
      <c r="AS612" s="4"/>
      <c r="AT612" s="4"/>
      <c r="AU612" s="4"/>
      <c r="AV612" s="4"/>
      <c r="AW612" s="4"/>
      <c r="AX612" s="4"/>
      <c r="AY612" s="4"/>
      <c r="AZ612" s="4"/>
      <c r="BA612" s="4"/>
      <c r="BB612" s="4"/>
      <c r="BC612" s="4"/>
      <c r="BD612" s="4"/>
      <c r="BE612" s="4"/>
      <c r="BF612" s="4"/>
      <c r="BG612" s="4"/>
    </row>
    <row r="613" ht="15.75" customHeight="1">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O613" s="4"/>
      <c r="AP613" s="4"/>
      <c r="AQ613" s="4"/>
      <c r="AR613" s="4"/>
      <c r="AS613" s="4"/>
      <c r="AT613" s="4"/>
      <c r="AU613" s="4"/>
      <c r="AV613" s="4"/>
      <c r="AW613" s="4"/>
      <c r="AX613" s="4"/>
      <c r="AY613" s="4"/>
      <c r="AZ613" s="4"/>
      <c r="BA613" s="4"/>
      <c r="BB613" s="4"/>
      <c r="BC613" s="4"/>
      <c r="BD613" s="4"/>
      <c r="BE613" s="4"/>
      <c r="BF613" s="4"/>
      <c r="BG613" s="4"/>
    </row>
    <row r="614" ht="15.75" customHeight="1">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O614" s="4"/>
      <c r="AP614" s="4"/>
      <c r="AQ614" s="4"/>
      <c r="AR614" s="4"/>
      <c r="AS614" s="4"/>
      <c r="AT614" s="4"/>
      <c r="AU614" s="4"/>
      <c r="AV614" s="4"/>
      <c r="AW614" s="4"/>
      <c r="AX614" s="4"/>
      <c r="AY614" s="4"/>
      <c r="AZ614" s="4"/>
      <c r="BA614" s="4"/>
      <c r="BB614" s="4"/>
      <c r="BC614" s="4"/>
      <c r="BD614" s="4"/>
      <c r="BE614" s="4"/>
      <c r="BF614" s="4"/>
      <c r="BG614" s="4"/>
    </row>
    <row r="615" ht="15.75" customHeight="1">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O615" s="4"/>
      <c r="AP615" s="4"/>
      <c r="AQ615" s="4"/>
      <c r="AR615" s="4"/>
      <c r="AS615" s="4"/>
      <c r="AT615" s="4"/>
      <c r="AU615" s="4"/>
      <c r="AV615" s="4"/>
      <c r="AW615" s="4"/>
      <c r="AX615" s="4"/>
      <c r="AY615" s="4"/>
      <c r="AZ615" s="4"/>
      <c r="BA615" s="4"/>
      <c r="BB615" s="4"/>
      <c r="BC615" s="4"/>
      <c r="BD615" s="4"/>
      <c r="BE615" s="4"/>
      <c r="BF615" s="4"/>
      <c r="BG615" s="4"/>
    </row>
    <row r="616" ht="15.75" customHeight="1">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O616" s="4"/>
      <c r="AP616" s="4"/>
      <c r="AQ616" s="4"/>
      <c r="AR616" s="4"/>
      <c r="AS616" s="4"/>
      <c r="AT616" s="4"/>
      <c r="AU616" s="4"/>
      <c r="AV616" s="4"/>
      <c r="AW616" s="4"/>
      <c r="AX616" s="4"/>
      <c r="AY616" s="4"/>
      <c r="AZ616" s="4"/>
      <c r="BA616" s="4"/>
      <c r="BB616" s="4"/>
      <c r="BC616" s="4"/>
      <c r="BD616" s="4"/>
      <c r="BE616" s="4"/>
      <c r="BF616" s="4"/>
      <c r="BG616" s="4"/>
    </row>
    <row r="617" ht="15.75" customHeight="1">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O617" s="4"/>
      <c r="AP617" s="4"/>
      <c r="AQ617" s="4"/>
      <c r="AR617" s="4"/>
      <c r="AS617" s="4"/>
      <c r="AT617" s="4"/>
      <c r="AU617" s="4"/>
      <c r="AV617" s="4"/>
      <c r="AW617" s="4"/>
      <c r="AX617" s="4"/>
      <c r="AY617" s="4"/>
      <c r="AZ617" s="4"/>
      <c r="BA617" s="4"/>
      <c r="BB617" s="4"/>
      <c r="BC617" s="4"/>
      <c r="BD617" s="4"/>
      <c r="BE617" s="4"/>
      <c r="BF617" s="4"/>
      <c r="BG617" s="4"/>
    </row>
    <row r="618" ht="15.75" customHeight="1">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O618" s="4"/>
      <c r="AP618" s="4"/>
      <c r="AQ618" s="4"/>
      <c r="AR618" s="4"/>
      <c r="AS618" s="4"/>
      <c r="AT618" s="4"/>
      <c r="AU618" s="4"/>
      <c r="AV618" s="4"/>
      <c r="AW618" s="4"/>
      <c r="AX618" s="4"/>
      <c r="AY618" s="4"/>
      <c r="AZ618" s="4"/>
      <c r="BA618" s="4"/>
      <c r="BB618" s="4"/>
      <c r="BC618" s="4"/>
      <c r="BD618" s="4"/>
      <c r="BE618" s="4"/>
      <c r="BF618" s="4"/>
      <c r="BG618" s="4"/>
    </row>
    <row r="619" ht="15.75" customHeight="1">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O619" s="4"/>
      <c r="AP619" s="4"/>
      <c r="AQ619" s="4"/>
      <c r="AR619" s="4"/>
      <c r="AS619" s="4"/>
      <c r="AT619" s="4"/>
      <c r="AU619" s="4"/>
      <c r="AV619" s="4"/>
      <c r="AW619" s="4"/>
      <c r="AX619" s="4"/>
      <c r="AY619" s="4"/>
      <c r="AZ619" s="4"/>
      <c r="BA619" s="4"/>
      <c r="BB619" s="4"/>
      <c r="BC619" s="4"/>
      <c r="BD619" s="4"/>
      <c r="BE619" s="4"/>
      <c r="BF619" s="4"/>
      <c r="BG619" s="4"/>
    </row>
    <row r="620" ht="15.75" customHeight="1">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O620" s="4"/>
      <c r="AP620" s="4"/>
      <c r="AQ620" s="4"/>
      <c r="AR620" s="4"/>
      <c r="AS620" s="4"/>
      <c r="AT620" s="4"/>
      <c r="AU620" s="4"/>
      <c r="AV620" s="4"/>
      <c r="AW620" s="4"/>
      <c r="AX620" s="4"/>
      <c r="AY620" s="4"/>
      <c r="AZ620" s="4"/>
      <c r="BA620" s="4"/>
      <c r="BB620" s="4"/>
      <c r="BC620" s="4"/>
      <c r="BD620" s="4"/>
      <c r="BE620" s="4"/>
      <c r="BF620" s="4"/>
      <c r="BG620" s="4"/>
    </row>
    <row r="621" ht="15.75" customHeight="1">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O621" s="4"/>
      <c r="AP621" s="4"/>
      <c r="AQ621" s="4"/>
      <c r="AR621" s="4"/>
      <c r="AS621" s="4"/>
      <c r="AT621" s="4"/>
      <c r="AU621" s="4"/>
      <c r="AV621" s="4"/>
      <c r="AW621" s="4"/>
      <c r="AX621" s="4"/>
      <c r="AY621" s="4"/>
      <c r="AZ621" s="4"/>
      <c r="BA621" s="4"/>
      <c r="BB621" s="4"/>
      <c r="BC621" s="4"/>
      <c r="BD621" s="4"/>
      <c r="BE621" s="4"/>
      <c r="BF621" s="4"/>
      <c r="BG621" s="4"/>
    </row>
    <row r="622" ht="15.75" customHeight="1">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O622" s="4"/>
      <c r="AP622" s="4"/>
      <c r="AQ622" s="4"/>
      <c r="AR622" s="4"/>
      <c r="AS622" s="4"/>
      <c r="AT622" s="4"/>
      <c r="AU622" s="4"/>
      <c r="AV622" s="4"/>
      <c r="AW622" s="4"/>
      <c r="AX622" s="4"/>
      <c r="AY622" s="4"/>
      <c r="AZ622" s="4"/>
      <c r="BA622" s="4"/>
      <c r="BB622" s="4"/>
      <c r="BC622" s="4"/>
      <c r="BD622" s="4"/>
      <c r="BE622" s="4"/>
      <c r="BF622" s="4"/>
      <c r="BG622" s="4"/>
    </row>
    <row r="623" ht="15.75" customHeight="1">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O623" s="4"/>
      <c r="AP623" s="4"/>
      <c r="AQ623" s="4"/>
      <c r="AR623" s="4"/>
      <c r="AS623" s="4"/>
      <c r="AT623" s="4"/>
      <c r="AU623" s="4"/>
      <c r="AV623" s="4"/>
      <c r="AW623" s="4"/>
      <c r="AX623" s="4"/>
      <c r="AY623" s="4"/>
      <c r="AZ623" s="4"/>
      <c r="BA623" s="4"/>
      <c r="BB623" s="4"/>
      <c r="BC623" s="4"/>
      <c r="BD623" s="4"/>
      <c r="BE623" s="4"/>
      <c r="BF623" s="4"/>
      <c r="BG623" s="4"/>
    </row>
    <row r="624" ht="15.75" customHeight="1">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O624" s="4"/>
      <c r="AP624" s="4"/>
      <c r="AQ624" s="4"/>
      <c r="AR624" s="4"/>
      <c r="AS624" s="4"/>
      <c r="AT624" s="4"/>
      <c r="AU624" s="4"/>
      <c r="AV624" s="4"/>
      <c r="AW624" s="4"/>
      <c r="AX624" s="4"/>
      <c r="AY624" s="4"/>
      <c r="AZ624" s="4"/>
      <c r="BA624" s="4"/>
      <c r="BB624" s="4"/>
      <c r="BC624" s="4"/>
      <c r="BD624" s="4"/>
      <c r="BE624" s="4"/>
      <c r="BF624" s="4"/>
      <c r="BG624" s="4"/>
    </row>
    <row r="625" ht="15.75" customHeight="1">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O625" s="4"/>
      <c r="AP625" s="4"/>
      <c r="AQ625" s="4"/>
      <c r="AR625" s="4"/>
      <c r="AS625" s="4"/>
      <c r="AT625" s="4"/>
      <c r="AU625" s="4"/>
      <c r="AV625" s="4"/>
      <c r="AW625" s="4"/>
      <c r="AX625" s="4"/>
      <c r="AY625" s="4"/>
      <c r="AZ625" s="4"/>
      <c r="BA625" s="4"/>
      <c r="BB625" s="4"/>
      <c r="BC625" s="4"/>
      <c r="BD625" s="4"/>
      <c r="BE625" s="4"/>
      <c r="BF625" s="4"/>
      <c r="BG625" s="4"/>
    </row>
    <row r="626" ht="15.75" customHeight="1">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O626" s="4"/>
      <c r="AP626" s="4"/>
      <c r="AQ626" s="4"/>
      <c r="AR626" s="4"/>
      <c r="AS626" s="4"/>
      <c r="AT626" s="4"/>
      <c r="AU626" s="4"/>
      <c r="AV626" s="4"/>
      <c r="AW626" s="4"/>
      <c r="AX626" s="4"/>
      <c r="AY626" s="4"/>
      <c r="AZ626" s="4"/>
      <c r="BA626" s="4"/>
      <c r="BB626" s="4"/>
      <c r="BC626" s="4"/>
      <c r="BD626" s="4"/>
      <c r="BE626" s="4"/>
      <c r="BF626" s="4"/>
      <c r="BG626" s="4"/>
    </row>
    <row r="627" ht="15.75" customHeight="1">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O627" s="4"/>
      <c r="AP627" s="4"/>
      <c r="AQ627" s="4"/>
      <c r="AR627" s="4"/>
      <c r="AS627" s="4"/>
      <c r="AT627" s="4"/>
      <c r="AU627" s="4"/>
      <c r="AV627" s="4"/>
      <c r="AW627" s="4"/>
      <c r="AX627" s="4"/>
      <c r="AY627" s="4"/>
      <c r="AZ627" s="4"/>
      <c r="BA627" s="4"/>
      <c r="BB627" s="4"/>
      <c r="BC627" s="4"/>
      <c r="BD627" s="4"/>
      <c r="BE627" s="4"/>
      <c r="BF627" s="4"/>
      <c r="BG627" s="4"/>
    </row>
    <row r="628" ht="15.75" customHeight="1">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O628" s="4"/>
      <c r="AP628" s="4"/>
      <c r="AQ628" s="4"/>
      <c r="AR628" s="4"/>
      <c r="AS628" s="4"/>
      <c r="AT628" s="4"/>
      <c r="AU628" s="4"/>
      <c r="AV628" s="4"/>
      <c r="AW628" s="4"/>
      <c r="AX628" s="4"/>
      <c r="AY628" s="4"/>
      <c r="AZ628" s="4"/>
      <c r="BA628" s="4"/>
      <c r="BB628" s="4"/>
      <c r="BC628" s="4"/>
      <c r="BD628" s="4"/>
      <c r="BE628" s="4"/>
      <c r="BF628" s="4"/>
      <c r="BG628" s="4"/>
    </row>
    <row r="629" ht="15.75" customHeight="1">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O629" s="4"/>
      <c r="AP629" s="4"/>
      <c r="AQ629" s="4"/>
      <c r="AR629" s="4"/>
      <c r="AS629" s="4"/>
      <c r="AT629" s="4"/>
      <c r="AU629" s="4"/>
      <c r="AV629" s="4"/>
      <c r="AW629" s="4"/>
      <c r="AX629" s="4"/>
      <c r="AY629" s="4"/>
      <c r="AZ629" s="4"/>
      <c r="BA629" s="4"/>
      <c r="BB629" s="4"/>
      <c r="BC629" s="4"/>
      <c r="BD629" s="4"/>
      <c r="BE629" s="4"/>
      <c r="BF629" s="4"/>
      <c r="BG629" s="4"/>
    </row>
    <row r="630" ht="15.75" customHeight="1">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O630" s="4"/>
      <c r="AP630" s="4"/>
      <c r="AQ630" s="4"/>
      <c r="AR630" s="4"/>
      <c r="AS630" s="4"/>
      <c r="AT630" s="4"/>
      <c r="AU630" s="4"/>
      <c r="AV630" s="4"/>
      <c r="AW630" s="4"/>
      <c r="AX630" s="4"/>
      <c r="AY630" s="4"/>
      <c r="AZ630" s="4"/>
      <c r="BA630" s="4"/>
      <c r="BB630" s="4"/>
      <c r="BC630" s="4"/>
      <c r="BD630" s="4"/>
      <c r="BE630" s="4"/>
      <c r="BF630" s="4"/>
      <c r="BG630" s="4"/>
    </row>
    <row r="631" ht="15.75" customHeight="1">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O631" s="4"/>
      <c r="AP631" s="4"/>
      <c r="AQ631" s="4"/>
      <c r="AR631" s="4"/>
      <c r="AS631" s="4"/>
      <c r="AT631" s="4"/>
      <c r="AU631" s="4"/>
      <c r="AV631" s="4"/>
      <c r="AW631" s="4"/>
      <c r="AX631" s="4"/>
      <c r="AY631" s="4"/>
      <c r="AZ631" s="4"/>
      <c r="BA631" s="4"/>
      <c r="BB631" s="4"/>
      <c r="BC631" s="4"/>
      <c r="BD631" s="4"/>
      <c r="BE631" s="4"/>
      <c r="BF631" s="4"/>
      <c r="BG631" s="4"/>
    </row>
    <row r="632" ht="15.75" customHeight="1">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O632" s="4"/>
      <c r="AP632" s="4"/>
      <c r="AQ632" s="4"/>
      <c r="AR632" s="4"/>
      <c r="AS632" s="4"/>
      <c r="AT632" s="4"/>
      <c r="AU632" s="4"/>
      <c r="AV632" s="4"/>
      <c r="AW632" s="4"/>
      <c r="AX632" s="4"/>
      <c r="AY632" s="4"/>
      <c r="AZ632" s="4"/>
      <c r="BA632" s="4"/>
      <c r="BB632" s="4"/>
      <c r="BC632" s="4"/>
      <c r="BD632" s="4"/>
      <c r="BE632" s="4"/>
      <c r="BF632" s="4"/>
      <c r="BG632" s="4"/>
    </row>
    <row r="633" ht="15.75" customHeight="1">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O633" s="4"/>
      <c r="AP633" s="4"/>
      <c r="AQ633" s="4"/>
      <c r="AR633" s="4"/>
      <c r="AS633" s="4"/>
      <c r="AT633" s="4"/>
      <c r="AU633" s="4"/>
      <c r="AV633" s="4"/>
      <c r="AW633" s="4"/>
      <c r="AX633" s="4"/>
      <c r="AY633" s="4"/>
      <c r="AZ633" s="4"/>
      <c r="BA633" s="4"/>
      <c r="BB633" s="4"/>
      <c r="BC633" s="4"/>
      <c r="BD633" s="4"/>
      <c r="BE633" s="4"/>
      <c r="BF633" s="4"/>
      <c r="BG633" s="4"/>
    </row>
    <row r="634" ht="15.75" customHeight="1">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O634" s="4"/>
      <c r="AP634" s="4"/>
      <c r="AQ634" s="4"/>
      <c r="AR634" s="4"/>
      <c r="AS634" s="4"/>
      <c r="AT634" s="4"/>
      <c r="AU634" s="4"/>
      <c r="AV634" s="4"/>
      <c r="AW634" s="4"/>
      <c r="AX634" s="4"/>
      <c r="AY634" s="4"/>
      <c r="AZ634" s="4"/>
      <c r="BA634" s="4"/>
      <c r="BB634" s="4"/>
      <c r="BC634" s="4"/>
      <c r="BD634" s="4"/>
      <c r="BE634" s="4"/>
      <c r="BF634" s="4"/>
      <c r="BG634" s="4"/>
    </row>
    <row r="635" ht="15.75" customHeight="1">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O635" s="4"/>
      <c r="AP635" s="4"/>
      <c r="AQ635" s="4"/>
      <c r="AR635" s="4"/>
      <c r="AS635" s="4"/>
      <c r="AT635" s="4"/>
      <c r="AU635" s="4"/>
      <c r="AV635" s="4"/>
      <c r="AW635" s="4"/>
      <c r="AX635" s="4"/>
      <c r="AY635" s="4"/>
      <c r="AZ635" s="4"/>
      <c r="BA635" s="4"/>
      <c r="BB635" s="4"/>
      <c r="BC635" s="4"/>
      <c r="BD635" s="4"/>
      <c r="BE635" s="4"/>
      <c r="BF635" s="4"/>
      <c r="BG635" s="4"/>
    </row>
    <row r="636" ht="15.75" customHeight="1">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O636" s="4"/>
      <c r="AP636" s="4"/>
      <c r="AQ636" s="4"/>
      <c r="AR636" s="4"/>
      <c r="AS636" s="4"/>
      <c r="AT636" s="4"/>
      <c r="AU636" s="4"/>
      <c r="AV636" s="4"/>
      <c r="AW636" s="4"/>
      <c r="AX636" s="4"/>
      <c r="AY636" s="4"/>
      <c r="AZ636" s="4"/>
      <c r="BA636" s="4"/>
      <c r="BB636" s="4"/>
      <c r="BC636" s="4"/>
      <c r="BD636" s="4"/>
      <c r="BE636" s="4"/>
      <c r="BF636" s="4"/>
      <c r="BG636" s="4"/>
    </row>
    <row r="637" ht="15.75" customHeight="1">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O637" s="4"/>
      <c r="AP637" s="4"/>
      <c r="AQ637" s="4"/>
      <c r="AR637" s="4"/>
      <c r="AS637" s="4"/>
      <c r="AT637" s="4"/>
      <c r="AU637" s="4"/>
      <c r="AV637" s="4"/>
      <c r="AW637" s="4"/>
      <c r="AX637" s="4"/>
      <c r="AY637" s="4"/>
      <c r="AZ637" s="4"/>
      <c r="BA637" s="4"/>
      <c r="BB637" s="4"/>
      <c r="BC637" s="4"/>
      <c r="BD637" s="4"/>
      <c r="BE637" s="4"/>
      <c r="BF637" s="4"/>
      <c r="BG637" s="4"/>
    </row>
    <row r="638" ht="15.75" customHeight="1">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O638" s="4"/>
      <c r="AP638" s="4"/>
      <c r="AQ638" s="4"/>
      <c r="AR638" s="4"/>
      <c r="AS638" s="4"/>
      <c r="AT638" s="4"/>
      <c r="AU638" s="4"/>
      <c r="AV638" s="4"/>
      <c r="AW638" s="4"/>
      <c r="AX638" s="4"/>
      <c r="AY638" s="4"/>
      <c r="AZ638" s="4"/>
      <c r="BA638" s="4"/>
      <c r="BB638" s="4"/>
      <c r="BC638" s="4"/>
      <c r="BD638" s="4"/>
      <c r="BE638" s="4"/>
      <c r="BF638" s="4"/>
      <c r="BG638" s="4"/>
    </row>
    <row r="639" ht="15.75" customHeight="1">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O639" s="4"/>
      <c r="AP639" s="4"/>
      <c r="AQ639" s="4"/>
      <c r="AR639" s="4"/>
      <c r="AS639" s="4"/>
      <c r="AT639" s="4"/>
      <c r="AU639" s="4"/>
      <c r="AV639" s="4"/>
      <c r="AW639" s="4"/>
      <c r="AX639" s="4"/>
      <c r="AY639" s="4"/>
      <c r="AZ639" s="4"/>
      <c r="BA639" s="4"/>
      <c r="BB639" s="4"/>
      <c r="BC639" s="4"/>
      <c r="BD639" s="4"/>
      <c r="BE639" s="4"/>
      <c r="BF639" s="4"/>
      <c r="BG639" s="4"/>
    </row>
    <row r="640" ht="15.75" customHeight="1">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O640" s="4"/>
      <c r="AP640" s="4"/>
      <c r="AQ640" s="4"/>
      <c r="AR640" s="4"/>
      <c r="AS640" s="4"/>
      <c r="AT640" s="4"/>
      <c r="AU640" s="4"/>
      <c r="AV640" s="4"/>
      <c r="AW640" s="4"/>
      <c r="AX640" s="4"/>
      <c r="AY640" s="4"/>
      <c r="AZ640" s="4"/>
      <c r="BA640" s="4"/>
      <c r="BB640" s="4"/>
      <c r="BC640" s="4"/>
      <c r="BD640" s="4"/>
      <c r="BE640" s="4"/>
      <c r="BF640" s="4"/>
      <c r="BG640" s="4"/>
    </row>
    <row r="641" ht="15.75" customHeight="1">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O641" s="4"/>
      <c r="AP641" s="4"/>
      <c r="AQ641" s="4"/>
      <c r="AR641" s="4"/>
      <c r="AS641" s="4"/>
      <c r="AT641" s="4"/>
      <c r="AU641" s="4"/>
      <c r="AV641" s="4"/>
      <c r="AW641" s="4"/>
      <c r="AX641" s="4"/>
      <c r="AY641" s="4"/>
      <c r="AZ641" s="4"/>
      <c r="BA641" s="4"/>
      <c r="BB641" s="4"/>
      <c r="BC641" s="4"/>
      <c r="BD641" s="4"/>
      <c r="BE641" s="4"/>
      <c r="BF641" s="4"/>
      <c r="BG641" s="4"/>
    </row>
    <row r="642" ht="15.75" customHeight="1">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O642" s="4"/>
      <c r="AP642" s="4"/>
      <c r="AQ642" s="4"/>
      <c r="AR642" s="4"/>
      <c r="AS642" s="4"/>
      <c r="AT642" s="4"/>
      <c r="AU642" s="4"/>
      <c r="AV642" s="4"/>
      <c r="AW642" s="4"/>
      <c r="AX642" s="4"/>
      <c r="AY642" s="4"/>
      <c r="AZ642" s="4"/>
      <c r="BA642" s="4"/>
      <c r="BB642" s="4"/>
      <c r="BC642" s="4"/>
      <c r="BD642" s="4"/>
      <c r="BE642" s="4"/>
      <c r="BF642" s="4"/>
      <c r="BG642" s="4"/>
    </row>
    <row r="643" ht="15.75" customHeight="1">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O643" s="4"/>
      <c r="AP643" s="4"/>
      <c r="AQ643" s="4"/>
      <c r="AR643" s="4"/>
      <c r="AS643" s="4"/>
      <c r="AT643" s="4"/>
      <c r="AU643" s="4"/>
      <c r="AV643" s="4"/>
      <c r="AW643" s="4"/>
      <c r="AX643" s="4"/>
      <c r="AY643" s="4"/>
      <c r="AZ643" s="4"/>
      <c r="BA643" s="4"/>
      <c r="BB643" s="4"/>
      <c r="BC643" s="4"/>
      <c r="BD643" s="4"/>
      <c r="BE643" s="4"/>
      <c r="BF643" s="4"/>
      <c r="BG643" s="4"/>
    </row>
    <row r="644" ht="15.75" customHeight="1">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O644" s="4"/>
      <c r="AP644" s="4"/>
      <c r="AQ644" s="4"/>
      <c r="AR644" s="4"/>
      <c r="AS644" s="4"/>
      <c r="AT644" s="4"/>
      <c r="AU644" s="4"/>
      <c r="AV644" s="4"/>
      <c r="AW644" s="4"/>
      <c r="AX644" s="4"/>
      <c r="AY644" s="4"/>
      <c r="AZ644" s="4"/>
      <c r="BA644" s="4"/>
      <c r="BB644" s="4"/>
      <c r="BC644" s="4"/>
      <c r="BD644" s="4"/>
      <c r="BE644" s="4"/>
      <c r="BF644" s="4"/>
      <c r="BG644" s="4"/>
    </row>
    <row r="645" ht="15.75" customHeight="1">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O645" s="4"/>
      <c r="AP645" s="4"/>
      <c r="AQ645" s="4"/>
      <c r="AR645" s="4"/>
      <c r="AS645" s="4"/>
      <c r="AT645" s="4"/>
      <c r="AU645" s="4"/>
      <c r="AV645" s="4"/>
      <c r="AW645" s="4"/>
      <c r="AX645" s="4"/>
      <c r="AY645" s="4"/>
      <c r="AZ645" s="4"/>
      <c r="BA645" s="4"/>
      <c r="BB645" s="4"/>
      <c r="BC645" s="4"/>
      <c r="BD645" s="4"/>
      <c r="BE645" s="4"/>
      <c r="BF645" s="4"/>
      <c r="BG645" s="4"/>
    </row>
    <row r="646" ht="15.75" customHeight="1">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O646" s="4"/>
      <c r="AP646" s="4"/>
      <c r="AQ646" s="4"/>
      <c r="AR646" s="4"/>
      <c r="AS646" s="4"/>
      <c r="AT646" s="4"/>
      <c r="AU646" s="4"/>
      <c r="AV646" s="4"/>
      <c r="AW646" s="4"/>
      <c r="AX646" s="4"/>
      <c r="AY646" s="4"/>
      <c r="AZ646" s="4"/>
      <c r="BA646" s="4"/>
      <c r="BB646" s="4"/>
      <c r="BC646" s="4"/>
      <c r="BD646" s="4"/>
      <c r="BE646" s="4"/>
      <c r="BF646" s="4"/>
      <c r="BG646" s="4"/>
    </row>
    <row r="647" ht="15.75" customHeight="1">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O647" s="4"/>
      <c r="AP647" s="4"/>
      <c r="AQ647" s="4"/>
      <c r="AR647" s="4"/>
      <c r="AS647" s="4"/>
      <c r="AT647" s="4"/>
      <c r="AU647" s="4"/>
      <c r="AV647" s="4"/>
      <c r="AW647" s="4"/>
      <c r="AX647" s="4"/>
      <c r="AY647" s="4"/>
      <c r="AZ647" s="4"/>
      <c r="BA647" s="4"/>
      <c r="BB647" s="4"/>
      <c r="BC647" s="4"/>
      <c r="BD647" s="4"/>
      <c r="BE647" s="4"/>
      <c r="BF647" s="4"/>
      <c r="BG647" s="4"/>
    </row>
    <row r="648" ht="15.75" customHeight="1">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O648" s="4"/>
      <c r="AP648" s="4"/>
      <c r="AQ648" s="4"/>
      <c r="AR648" s="4"/>
      <c r="AS648" s="4"/>
      <c r="AT648" s="4"/>
      <c r="AU648" s="4"/>
      <c r="AV648" s="4"/>
      <c r="AW648" s="4"/>
      <c r="AX648" s="4"/>
      <c r="AY648" s="4"/>
      <c r="AZ648" s="4"/>
      <c r="BA648" s="4"/>
      <c r="BB648" s="4"/>
      <c r="BC648" s="4"/>
      <c r="BD648" s="4"/>
      <c r="BE648" s="4"/>
      <c r="BF648" s="4"/>
      <c r="BG648" s="4"/>
    </row>
    <row r="649" ht="15.75" customHeight="1">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O649" s="4"/>
      <c r="AP649" s="4"/>
      <c r="AQ649" s="4"/>
      <c r="AR649" s="4"/>
      <c r="AS649" s="4"/>
      <c r="AT649" s="4"/>
      <c r="AU649" s="4"/>
      <c r="AV649" s="4"/>
      <c r="AW649" s="4"/>
      <c r="AX649" s="4"/>
      <c r="AY649" s="4"/>
      <c r="AZ649" s="4"/>
      <c r="BA649" s="4"/>
      <c r="BB649" s="4"/>
      <c r="BC649" s="4"/>
      <c r="BD649" s="4"/>
      <c r="BE649" s="4"/>
      <c r="BF649" s="4"/>
      <c r="BG649" s="4"/>
    </row>
    <row r="650" ht="15.75" customHeight="1">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O650" s="4"/>
      <c r="AP650" s="4"/>
      <c r="AQ650" s="4"/>
      <c r="AR650" s="4"/>
      <c r="AS650" s="4"/>
      <c r="AT650" s="4"/>
      <c r="AU650" s="4"/>
      <c r="AV650" s="4"/>
      <c r="AW650" s="4"/>
      <c r="AX650" s="4"/>
      <c r="AY650" s="4"/>
      <c r="AZ650" s="4"/>
      <c r="BA650" s="4"/>
      <c r="BB650" s="4"/>
      <c r="BC650" s="4"/>
      <c r="BD650" s="4"/>
      <c r="BE650" s="4"/>
      <c r="BF650" s="4"/>
      <c r="BG650" s="4"/>
    </row>
    <row r="651" ht="15.75" customHeight="1">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O651" s="4"/>
      <c r="AP651" s="4"/>
      <c r="AQ651" s="4"/>
      <c r="AR651" s="4"/>
      <c r="AS651" s="4"/>
      <c r="AT651" s="4"/>
      <c r="AU651" s="4"/>
      <c r="AV651" s="4"/>
      <c r="AW651" s="4"/>
      <c r="AX651" s="4"/>
      <c r="AY651" s="4"/>
      <c r="AZ651" s="4"/>
      <c r="BA651" s="4"/>
      <c r="BB651" s="4"/>
      <c r="BC651" s="4"/>
      <c r="BD651" s="4"/>
      <c r="BE651" s="4"/>
      <c r="BF651" s="4"/>
      <c r="BG651" s="4"/>
    </row>
    <row r="652" ht="15.75" customHeight="1">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O652" s="4"/>
      <c r="AP652" s="4"/>
      <c r="AQ652" s="4"/>
      <c r="AR652" s="4"/>
      <c r="AS652" s="4"/>
      <c r="AT652" s="4"/>
      <c r="AU652" s="4"/>
      <c r="AV652" s="4"/>
      <c r="AW652" s="4"/>
      <c r="AX652" s="4"/>
      <c r="AY652" s="4"/>
      <c r="AZ652" s="4"/>
      <c r="BA652" s="4"/>
      <c r="BB652" s="4"/>
      <c r="BC652" s="4"/>
      <c r="BD652" s="4"/>
      <c r="BE652" s="4"/>
      <c r="BF652" s="4"/>
      <c r="BG652" s="4"/>
    </row>
    <row r="653" ht="15.75" customHeight="1">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O653" s="4"/>
      <c r="AP653" s="4"/>
      <c r="AQ653" s="4"/>
      <c r="AR653" s="4"/>
      <c r="AS653" s="4"/>
      <c r="AT653" s="4"/>
      <c r="AU653" s="4"/>
      <c r="AV653" s="4"/>
      <c r="AW653" s="4"/>
      <c r="AX653" s="4"/>
      <c r="AY653" s="4"/>
      <c r="AZ653" s="4"/>
      <c r="BA653" s="4"/>
      <c r="BB653" s="4"/>
      <c r="BC653" s="4"/>
      <c r="BD653" s="4"/>
      <c r="BE653" s="4"/>
      <c r="BF653" s="4"/>
      <c r="BG653" s="4"/>
    </row>
    <row r="654" ht="15.75" customHeight="1">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O654" s="4"/>
      <c r="AP654" s="4"/>
      <c r="AQ654" s="4"/>
      <c r="AR654" s="4"/>
      <c r="AS654" s="4"/>
      <c r="AT654" s="4"/>
      <c r="AU654" s="4"/>
      <c r="AV654" s="4"/>
      <c r="AW654" s="4"/>
      <c r="AX654" s="4"/>
      <c r="AY654" s="4"/>
      <c r="AZ654" s="4"/>
      <c r="BA654" s="4"/>
      <c r="BB654" s="4"/>
      <c r="BC654" s="4"/>
      <c r="BD654" s="4"/>
      <c r="BE654" s="4"/>
      <c r="BF654" s="4"/>
      <c r="BG654" s="4"/>
    </row>
    <row r="655" ht="15.75" customHeight="1">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O655" s="4"/>
      <c r="AP655" s="4"/>
      <c r="AQ655" s="4"/>
      <c r="AR655" s="4"/>
      <c r="AS655" s="4"/>
      <c r="AT655" s="4"/>
      <c r="AU655" s="4"/>
      <c r="AV655" s="4"/>
      <c r="AW655" s="4"/>
      <c r="AX655" s="4"/>
      <c r="AY655" s="4"/>
      <c r="AZ655" s="4"/>
      <c r="BA655" s="4"/>
      <c r="BB655" s="4"/>
      <c r="BC655" s="4"/>
      <c r="BD655" s="4"/>
      <c r="BE655" s="4"/>
      <c r="BF655" s="4"/>
      <c r="BG655" s="4"/>
    </row>
    <row r="656" ht="15.75" customHeight="1">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O656" s="4"/>
      <c r="AP656" s="4"/>
      <c r="AQ656" s="4"/>
      <c r="AR656" s="4"/>
      <c r="AS656" s="4"/>
      <c r="AT656" s="4"/>
      <c r="AU656" s="4"/>
      <c r="AV656" s="4"/>
      <c r="AW656" s="4"/>
      <c r="AX656" s="4"/>
      <c r="AY656" s="4"/>
      <c r="AZ656" s="4"/>
      <c r="BA656" s="4"/>
      <c r="BB656" s="4"/>
      <c r="BC656" s="4"/>
      <c r="BD656" s="4"/>
      <c r="BE656" s="4"/>
      <c r="BF656" s="4"/>
      <c r="BG656" s="4"/>
    </row>
    <row r="657" ht="15.75" customHeight="1">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O657" s="4"/>
      <c r="AP657" s="4"/>
      <c r="AQ657" s="4"/>
      <c r="AR657" s="4"/>
      <c r="AS657" s="4"/>
      <c r="AT657" s="4"/>
      <c r="AU657" s="4"/>
      <c r="AV657" s="4"/>
      <c r="AW657" s="4"/>
      <c r="AX657" s="4"/>
      <c r="AY657" s="4"/>
      <c r="AZ657" s="4"/>
      <c r="BA657" s="4"/>
      <c r="BB657" s="4"/>
      <c r="BC657" s="4"/>
      <c r="BD657" s="4"/>
      <c r="BE657" s="4"/>
      <c r="BF657" s="4"/>
      <c r="BG657" s="4"/>
    </row>
    <row r="658" ht="15.75" customHeight="1">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O658" s="4"/>
      <c r="AP658" s="4"/>
      <c r="AQ658" s="4"/>
      <c r="AR658" s="4"/>
      <c r="AS658" s="4"/>
      <c r="AT658" s="4"/>
      <c r="AU658" s="4"/>
      <c r="AV658" s="4"/>
      <c r="AW658" s="4"/>
      <c r="AX658" s="4"/>
      <c r="AY658" s="4"/>
      <c r="AZ658" s="4"/>
      <c r="BA658" s="4"/>
      <c r="BB658" s="4"/>
      <c r="BC658" s="4"/>
      <c r="BD658" s="4"/>
      <c r="BE658" s="4"/>
      <c r="BF658" s="4"/>
      <c r="BG658" s="4"/>
    </row>
    <row r="659" ht="15.75" customHeight="1">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O659" s="4"/>
      <c r="AP659" s="4"/>
      <c r="AQ659" s="4"/>
      <c r="AR659" s="4"/>
      <c r="AS659" s="4"/>
      <c r="AT659" s="4"/>
      <c r="AU659" s="4"/>
      <c r="AV659" s="4"/>
      <c r="AW659" s="4"/>
      <c r="AX659" s="4"/>
      <c r="AY659" s="4"/>
      <c r="AZ659" s="4"/>
      <c r="BA659" s="4"/>
      <c r="BB659" s="4"/>
      <c r="BC659" s="4"/>
      <c r="BD659" s="4"/>
      <c r="BE659" s="4"/>
      <c r="BF659" s="4"/>
      <c r="BG659" s="4"/>
    </row>
    <row r="660" ht="15.75" customHeight="1">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O660" s="4"/>
      <c r="AP660" s="4"/>
      <c r="AQ660" s="4"/>
      <c r="AR660" s="4"/>
      <c r="AS660" s="4"/>
      <c r="AT660" s="4"/>
      <c r="AU660" s="4"/>
      <c r="AV660" s="4"/>
      <c r="AW660" s="4"/>
      <c r="AX660" s="4"/>
      <c r="AY660" s="4"/>
      <c r="AZ660" s="4"/>
      <c r="BA660" s="4"/>
      <c r="BB660" s="4"/>
      <c r="BC660" s="4"/>
      <c r="BD660" s="4"/>
      <c r="BE660" s="4"/>
      <c r="BF660" s="4"/>
      <c r="BG660" s="4"/>
    </row>
    <row r="661" ht="15.75" customHeight="1">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O661" s="4"/>
      <c r="AP661" s="4"/>
      <c r="AQ661" s="4"/>
      <c r="AR661" s="4"/>
      <c r="AS661" s="4"/>
      <c r="AT661" s="4"/>
      <c r="AU661" s="4"/>
      <c r="AV661" s="4"/>
      <c r="AW661" s="4"/>
      <c r="AX661" s="4"/>
      <c r="AY661" s="4"/>
      <c r="AZ661" s="4"/>
      <c r="BA661" s="4"/>
      <c r="BB661" s="4"/>
      <c r="BC661" s="4"/>
      <c r="BD661" s="4"/>
      <c r="BE661" s="4"/>
      <c r="BF661" s="4"/>
      <c r="BG661" s="4"/>
    </row>
    <row r="662" ht="15.75" customHeight="1">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O662" s="4"/>
      <c r="AP662" s="4"/>
      <c r="AQ662" s="4"/>
      <c r="AR662" s="4"/>
      <c r="AS662" s="4"/>
      <c r="AT662" s="4"/>
      <c r="AU662" s="4"/>
      <c r="AV662" s="4"/>
      <c r="AW662" s="4"/>
      <c r="AX662" s="4"/>
      <c r="AY662" s="4"/>
      <c r="AZ662" s="4"/>
      <c r="BA662" s="4"/>
      <c r="BB662" s="4"/>
      <c r="BC662" s="4"/>
      <c r="BD662" s="4"/>
      <c r="BE662" s="4"/>
      <c r="BF662" s="4"/>
      <c r="BG662" s="4"/>
    </row>
    <row r="663" ht="15.75" customHeight="1">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O663" s="4"/>
      <c r="AP663" s="4"/>
      <c r="AQ663" s="4"/>
      <c r="AR663" s="4"/>
      <c r="AS663" s="4"/>
      <c r="AT663" s="4"/>
      <c r="AU663" s="4"/>
      <c r="AV663" s="4"/>
      <c r="AW663" s="4"/>
      <c r="AX663" s="4"/>
      <c r="AY663" s="4"/>
      <c r="AZ663" s="4"/>
      <c r="BA663" s="4"/>
      <c r="BB663" s="4"/>
      <c r="BC663" s="4"/>
      <c r="BD663" s="4"/>
      <c r="BE663" s="4"/>
      <c r="BF663" s="4"/>
      <c r="BG663" s="4"/>
    </row>
    <row r="664" ht="15.75" customHeight="1">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O664" s="4"/>
      <c r="AP664" s="4"/>
      <c r="AQ664" s="4"/>
      <c r="AR664" s="4"/>
      <c r="AS664" s="4"/>
      <c r="AT664" s="4"/>
      <c r="AU664" s="4"/>
      <c r="AV664" s="4"/>
      <c r="AW664" s="4"/>
      <c r="AX664" s="4"/>
      <c r="AY664" s="4"/>
      <c r="AZ664" s="4"/>
      <c r="BA664" s="4"/>
      <c r="BB664" s="4"/>
      <c r="BC664" s="4"/>
      <c r="BD664" s="4"/>
      <c r="BE664" s="4"/>
      <c r="BF664" s="4"/>
      <c r="BG664" s="4"/>
    </row>
    <row r="665" ht="15.75" customHeight="1">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O665" s="4"/>
      <c r="AP665" s="4"/>
      <c r="AQ665" s="4"/>
      <c r="AR665" s="4"/>
      <c r="AS665" s="4"/>
      <c r="AT665" s="4"/>
      <c r="AU665" s="4"/>
      <c r="AV665" s="4"/>
      <c r="AW665" s="4"/>
      <c r="AX665" s="4"/>
      <c r="AY665" s="4"/>
      <c r="AZ665" s="4"/>
      <c r="BA665" s="4"/>
      <c r="BB665" s="4"/>
      <c r="BC665" s="4"/>
      <c r="BD665" s="4"/>
      <c r="BE665" s="4"/>
      <c r="BF665" s="4"/>
      <c r="BG665" s="4"/>
    </row>
    <row r="666" ht="15.75" customHeight="1">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O666" s="4"/>
      <c r="AP666" s="4"/>
      <c r="AQ666" s="4"/>
      <c r="AR666" s="4"/>
      <c r="AS666" s="4"/>
      <c r="AT666" s="4"/>
      <c r="AU666" s="4"/>
      <c r="AV666" s="4"/>
      <c r="AW666" s="4"/>
      <c r="AX666" s="4"/>
      <c r="AY666" s="4"/>
      <c r="AZ666" s="4"/>
      <c r="BA666" s="4"/>
      <c r="BB666" s="4"/>
      <c r="BC666" s="4"/>
      <c r="BD666" s="4"/>
      <c r="BE666" s="4"/>
      <c r="BF666" s="4"/>
      <c r="BG666" s="4"/>
    </row>
    <row r="667" ht="15.75" customHeight="1">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O667" s="4"/>
      <c r="AP667" s="4"/>
      <c r="AQ667" s="4"/>
      <c r="AR667" s="4"/>
      <c r="AS667" s="4"/>
      <c r="AT667" s="4"/>
      <c r="AU667" s="4"/>
      <c r="AV667" s="4"/>
      <c r="AW667" s="4"/>
      <c r="AX667" s="4"/>
      <c r="AY667" s="4"/>
      <c r="AZ667" s="4"/>
      <c r="BA667" s="4"/>
      <c r="BB667" s="4"/>
      <c r="BC667" s="4"/>
      <c r="BD667" s="4"/>
      <c r="BE667" s="4"/>
      <c r="BF667" s="4"/>
      <c r="BG667" s="4"/>
    </row>
    <row r="668" ht="15.75" customHeight="1">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O668" s="4"/>
      <c r="AP668" s="4"/>
      <c r="AQ668" s="4"/>
      <c r="AR668" s="4"/>
      <c r="AS668" s="4"/>
      <c r="AT668" s="4"/>
      <c r="AU668" s="4"/>
      <c r="AV668" s="4"/>
      <c r="AW668" s="4"/>
      <c r="AX668" s="4"/>
      <c r="AY668" s="4"/>
      <c r="AZ668" s="4"/>
      <c r="BA668" s="4"/>
      <c r="BB668" s="4"/>
      <c r="BC668" s="4"/>
      <c r="BD668" s="4"/>
      <c r="BE668" s="4"/>
      <c r="BF668" s="4"/>
      <c r="BG668" s="4"/>
    </row>
    <row r="669" ht="15.75" customHeight="1">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O669" s="4"/>
      <c r="AP669" s="4"/>
      <c r="AQ669" s="4"/>
      <c r="AR669" s="4"/>
      <c r="AS669" s="4"/>
      <c r="AT669" s="4"/>
      <c r="AU669" s="4"/>
      <c r="AV669" s="4"/>
      <c r="AW669" s="4"/>
      <c r="AX669" s="4"/>
      <c r="AY669" s="4"/>
      <c r="AZ669" s="4"/>
      <c r="BA669" s="4"/>
      <c r="BB669" s="4"/>
      <c r="BC669" s="4"/>
      <c r="BD669" s="4"/>
      <c r="BE669" s="4"/>
      <c r="BF669" s="4"/>
      <c r="BG669" s="4"/>
    </row>
    <row r="670" ht="15.75" customHeight="1">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O670" s="4"/>
      <c r="AP670" s="4"/>
      <c r="AQ670" s="4"/>
      <c r="AR670" s="4"/>
      <c r="AS670" s="4"/>
      <c r="AT670" s="4"/>
      <c r="AU670" s="4"/>
      <c r="AV670" s="4"/>
      <c r="AW670" s="4"/>
      <c r="AX670" s="4"/>
      <c r="AY670" s="4"/>
      <c r="AZ670" s="4"/>
      <c r="BA670" s="4"/>
      <c r="BB670" s="4"/>
      <c r="BC670" s="4"/>
      <c r="BD670" s="4"/>
      <c r="BE670" s="4"/>
      <c r="BF670" s="4"/>
      <c r="BG670" s="4"/>
    </row>
    <row r="671" ht="15.75" customHeight="1">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O671" s="4"/>
      <c r="AP671" s="4"/>
      <c r="AQ671" s="4"/>
      <c r="AR671" s="4"/>
      <c r="AS671" s="4"/>
      <c r="AT671" s="4"/>
      <c r="AU671" s="4"/>
      <c r="AV671" s="4"/>
      <c r="AW671" s="4"/>
      <c r="AX671" s="4"/>
      <c r="AY671" s="4"/>
      <c r="AZ671" s="4"/>
      <c r="BA671" s="4"/>
      <c r="BB671" s="4"/>
      <c r="BC671" s="4"/>
      <c r="BD671" s="4"/>
      <c r="BE671" s="4"/>
      <c r="BF671" s="4"/>
      <c r="BG671" s="4"/>
    </row>
    <row r="672" ht="15.75" customHeight="1">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O672" s="4"/>
      <c r="AP672" s="4"/>
      <c r="AQ672" s="4"/>
      <c r="AR672" s="4"/>
      <c r="AS672" s="4"/>
      <c r="AT672" s="4"/>
      <c r="AU672" s="4"/>
      <c r="AV672" s="4"/>
      <c r="AW672" s="4"/>
      <c r="AX672" s="4"/>
      <c r="AY672" s="4"/>
      <c r="AZ672" s="4"/>
      <c r="BA672" s="4"/>
      <c r="BB672" s="4"/>
      <c r="BC672" s="4"/>
      <c r="BD672" s="4"/>
      <c r="BE672" s="4"/>
      <c r="BF672" s="4"/>
      <c r="BG672" s="4"/>
    </row>
    <row r="673" ht="15.75" customHeight="1">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O673" s="4"/>
      <c r="AP673" s="4"/>
      <c r="AQ673" s="4"/>
      <c r="AR673" s="4"/>
      <c r="AS673" s="4"/>
      <c r="AT673" s="4"/>
      <c r="AU673" s="4"/>
      <c r="AV673" s="4"/>
      <c r="AW673" s="4"/>
      <c r="AX673" s="4"/>
      <c r="AY673" s="4"/>
      <c r="AZ673" s="4"/>
      <c r="BA673" s="4"/>
      <c r="BB673" s="4"/>
      <c r="BC673" s="4"/>
      <c r="BD673" s="4"/>
      <c r="BE673" s="4"/>
      <c r="BF673" s="4"/>
      <c r="BG673" s="4"/>
    </row>
    <row r="674" ht="15.75" customHeight="1">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O674" s="4"/>
      <c r="AP674" s="4"/>
      <c r="AQ674" s="4"/>
      <c r="AR674" s="4"/>
      <c r="AS674" s="4"/>
      <c r="AT674" s="4"/>
      <c r="AU674" s="4"/>
      <c r="AV674" s="4"/>
      <c r="AW674" s="4"/>
      <c r="AX674" s="4"/>
      <c r="AY674" s="4"/>
      <c r="AZ674" s="4"/>
      <c r="BA674" s="4"/>
      <c r="BB674" s="4"/>
      <c r="BC674" s="4"/>
      <c r="BD674" s="4"/>
      <c r="BE674" s="4"/>
      <c r="BF674" s="4"/>
      <c r="BG674" s="4"/>
    </row>
    <row r="675" ht="15.75" customHeight="1">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O675" s="4"/>
      <c r="AP675" s="4"/>
      <c r="AQ675" s="4"/>
      <c r="AR675" s="4"/>
      <c r="AS675" s="4"/>
      <c r="AT675" s="4"/>
      <c r="AU675" s="4"/>
      <c r="AV675" s="4"/>
      <c r="AW675" s="4"/>
      <c r="AX675" s="4"/>
      <c r="AY675" s="4"/>
      <c r="AZ675" s="4"/>
      <c r="BA675" s="4"/>
      <c r="BB675" s="4"/>
      <c r="BC675" s="4"/>
      <c r="BD675" s="4"/>
      <c r="BE675" s="4"/>
      <c r="BF675" s="4"/>
      <c r="BG675" s="4"/>
    </row>
    <row r="676" ht="15.75" customHeight="1">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O676" s="4"/>
      <c r="AP676" s="4"/>
      <c r="AQ676" s="4"/>
      <c r="AR676" s="4"/>
      <c r="AS676" s="4"/>
      <c r="AT676" s="4"/>
      <c r="AU676" s="4"/>
      <c r="AV676" s="4"/>
      <c r="AW676" s="4"/>
      <c r="AX676" s="4"/>
      <c r="AY676" s="4"/>
      <c r="AZ676" s="4"/>
      <c r="BA676" s="4"/>
      <c r="BB676" s="4"/>
      <c r="BC676" s="4"/>
      <c r="BD676" s="4"/>
      <c r="BE676" s="4"/>
      <c r="BF676" s="4"/>
      <c r="BG676" s="4"/>
    </row>
    <row r="677" ht="15.75" customHeight="1">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O677" s="4"/>
      <c r="AP677" s="4"/>
      <c r="AQ677" s="4"/>
      <c r="AR677" s="4"/>
      <c r="AS677" s="4"/>
      <c r="AT677" s="4"/>
      <c r="AU677" s="4"/>
      <c r="AV677" s="4"/>
      <c r="AW677" s="4"/>
      <c r="AX677" s="4"/>
      <c r="AY677" s="4"/>
      <c r="AZ677" s="4"/>
      <c r="BA677" s="4"/>
      <c r="BB677" s="4"/>
      <c r="BC677" s="4"/>
      <c r="BD677" s="4"/>
      <c r="BE677" s="4"/>
      <c r="BF677" s="4"/>
      <c r="BG677" s="4"/>
    </row>
    <row r="678" ht="15.75" customHeight="1">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O678" s="4"/>
      <c r="AP678" s="4"/>
      <c r="AQ678" s="4"/>
      <c r="AR678" s="4"/>
      <c r="AS678" s="4"/>
      <c r="AT678" s="4"/>
      <c r="AU678" s="4"/>
      <c r="AV678" s="4"/>
      <c r="AW678" s="4"/>
      <c r="AX678" s="4"/>
      <c r="AY678" s="4"/>
      <c r="AZ678" s="4"/>
      <c r="BA678" s="4"/>
      <c r="BB678" s="4"/>
      <c r="BC678" s="4"/>
      <c r="BD678" s="4"/>
      <c r="BE678" s="4"/>
      <c r="BF678" s="4"/>
      <c r="BG678" s="4"/>
    </row>
    <row r="679" ht="15.75" customHeight="1">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O679" s="4"/>
      <c r="AP679" s="4"/>
      <c r="AQ679" s="4"/>
      <c r="AR679" s="4"/>
      <c r="AS679" s="4"/>
      <c r="AT679" s="4"/>
      <c r="AU679" s="4"/>
      <c r="AV679" s="4"/>
      <c r="AW679" s="4"/>
      <c r="AX679" s="4"/>
      <c r="AY679" s="4"/>
      <c r="AZ679" s="4"/>
      <c r="BA679" s="4"/>
      <c r="BB679" s="4"/>
      <c r="BC679" s="4"/>
      <c r="BD679" s="4"/>
      <c r="BE679" s="4"/>
      <c r="BF679" s="4"/>
      <c r="BG679" s="4"/>
    </row>
    <row r="680" ht="15.75" customHeight="1">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O680" s="4"/>
      <c r="AP680" s="4"/>
      <c r="AQ680" s="4"/>
      <c r="AR680" s="4"/>
      <c r="AS680" s="4"/>
      <c r="AT680" s="4"/>
      <c r="AU680" s="4"/>
      <c r="AV680" s="4"/>
      <c r="AW680" s="4"/>
      <c r="AX680" s="4"/>
      <c r="AY680" s="4"/>
      <c r="AZ680" s="4"/>
      <c r="BA680" s="4"/>
      <c r="BB680" s="4"/>
      <c r="BC680" s="4"/>
      <c r="BD680" s="4"/>
      <c r="BE680" s="4"/>
      <c r="BF680" s="4"/>
      <c r="BG680" s="4"/>
    </row>
    <row r="681" ht="15.75" customHeight="1">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O681" s="4"/>
      <c r="AP681" s="4"/>
      <c r="AQ681" s="4"/>
      <c r="AR681" s="4"/>
      <c r="AS681" s="4"/>
      <c r="AT681" s="4"/>
      <c r="AU681" s="4"/>
      <c r="AV681" s="4"/>
      <c r="AW681" s="4"/>
      <c r="AX681" s="4"/>
      <c r="AY681" s="4"/>
      <c r="AZ681" s="4"/>
      <c r="BA681" s="4"/>
      <c r="BB681" s="4"/>
      <c r="BC681" s="4"/>
      <c r="BD681" s="4"/>
      <c r="BE681" s="4"/>
      <c r="BF681" s="4"/>
      <c r="BG681" s="4"/>
    </row>
    <row r="682" ht="15.75" customHeight="1">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O682" s="4"/>
      <c r="AP682" s="4"/>
      <c r="AQ682" s="4"/>
      <c r="AR682" s="4"/>
      <c r="AS682" s="4"/>
      <c r="AT682" s="4"/>
      <c r="AU682" s="4"/>
      <c r="AV682" s="4"/>
      <c r="AW682" s="4"/>
      <c r="AX682" s="4"/>
      <c r="AY682" s="4"/>
      <c r="AZ682" s="4"/>
      <c r="BA682" s="4"/>
      <c r="BB682" s="4"/>
      <c r="BC682" s="4"/>
      <c r="BD682" s="4"/>
      <c r="BE682" s="4"/>
      <c r="BF682" s="4"/>
      <c r="BG682" s="4"/>
    </row>
    <row r="683" ht="15.75" customHeight="1">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O683" s="4"/>
      <c r="AP683" s="4"/>
      <c r="AQ683" s="4"/>
      <c r="AR683" s="4"/>
      <c r="AS683" s="4"/>
      <c r="AT683" s="4"/>
      <c r="AU683" s="4"/>
      <c r="AV683" s="4"/>
      <c r="AW683" s="4"/>
      <c r="AX683" s="4"/>
      <c r="AY683" s="4"/>
      <c r="AZ683" s="4"/>
      <c r="BA683" s="4"/>
      <c r="BB683" s="4"/>
      <c r="BC683" s="4"/>
      <c r="BD683" s="4"/>
      <c r="BE683" s="4"/>
      <c r="BF683" s="4"/>
      <c r="BG683" s="4"/>
    </row>
    <row r="684" ht="15.75" customHeight="1">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O684" s="4"/>
      <c r="AP684" s="4"/>
      <c r="AQ684" s="4"/>
      <c r="AR684" s="4"/>
      <c r="AS684" s="4"/>
      <c r="AT684" s="4"/>
      <c r="AU684" s="4"/>
      <c r="AV684" s="4"/>
      <c r="AW684" s="4"/>
      <c r="AX684" s="4"/>
      <c r="AY684" s="4"/>
      <c r="AZ684" s="4"/>
      <c r="BA684" s="4"/>
      <c r="BB684" s="4"/>
      <c r="BC684" s="4"/>
      <c r="BD684" s="4"/>
      <c r="BE684" s="4"/>
      <c r="BF684" s="4"/>
      <c r="BG684" s="4"/>
    </row>
    <row r="685" ht="15.75" customHeight="1">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O685" s="4"/>
      <c r="AP685" s="4"/>
      <c r="AQ685" s="4"/>
      <c r="AR685" s="4"/>
      <c r="AS685" s="4"/>
      <c r="AT685" s="4"/>
      <c r="AU685" s="4"/>
      <c r="AV685" s="4"/>
      <c r="AW685" s="4"/>
      <c r="AX685" s="4"/>
      <c r="AY685" s="4"/>
      <c r="AZ685" s="4"/>
      <c r="BA685" s="4"/>
      <c r="BB685" s="4"/>
      <c r="BC685" s="4"/>
      <c r="BD685" s="4"/>
      <c r="BE685" s="4"/>
      <c r="BF685" s="4"/>
      <c r="BG685" s="4"/>
    </row>
    <row r="686" ht="15.75" customHeight="1">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O686" s="4"/>
      <c r="AP686" s="4"/>
      <c r="AQ686" s="4"/>
      <c r="AR686" s="4"/>
      <c r="AS686" s="4"/>
      <c r="AT686" s="4"/>
      <c r="AU686" s="4"/>
      <c r="AV686" s="4"/>
      <c r="AW686" s="4"/>
      <c r="AX686" s="4"/>
      <c r="AY686" s="4"/>
      <c r="AZ686" s="4"/>
      <c r="BA686" s="4"/>
      <c r="BB686" s="4"/>
      <c r="BC686" s="4"/>
      <c r="BD686" s="4"/>
      <c r="BE686" s="4"/>
      <c r="BF686" s="4"/>
      <c r="BG686" s="4"/>
    </row>
    <row r="687" ht="15.75" customHeight="1">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O687" s="4"/>
      <c r="AP687" s="4"/>
      <c r="AQ687" s="4"/>
      <c r="AR687" s="4"/>
      <c r="AS687" s="4"/>
      <c r="AT687" s="4"/>
      <c r="AU687" s="4"/>
      <c r="AV687" s="4"/>
      <c r="AW687" s="4"/>
      <c r="AX687" s="4"/>
      <c r="AY687" s="4"/>
      <c r="AZ687" s="4"/>
      <c r="BA687" s="4"/>
      <c r="BB687" s="4"/>
      <c r="BC687" s="4"/>
      <c r="BD687" s="4"/>
      <c r="BE687" s="4"/>
      <c r="BF687" s="4"/>
      <c r="BG687" s="4"/>
    </row>
    <row r="688" ht="15.75" customHeight="1">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O688" s="4"/>
      <c r="AP688" s="4"/>
      <c r="AQ688" s="4"/>
      <c r="AR688" s="4"/>
      <c r="AS688" s="4"/>
      <c r="AT688" s="4"/>
      <c r="AU688" s="4"/>
      <c r="AV688" s="4"/>
      <c r="AW688" s="4"/>
      <c r="AX688" s="4"/>
      <c r="AY688" s="4"/>
      <c r="AZ688" s="4"/>
      <c r="BA688" s="4"/>
      <c r="BB688" s="4"/>
      <c r="BC688" s="4"/>
      <c r="BD688" s="4"/>
      <c r="BE688" s="4"/>
      <c r="BF688" s="4"/>
      <c r="BG688" s="4"/>
    </row>
    <row r="689" ht="15.75" customHeight="1">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O689" s="4"/>
      <c r="AP689" s="4"/>
      <c r="AQ689" s="4"/>
      <c r="AR689" s="4"/>
      <c r="AS689" s="4"/>
      <c r="AT689" s="4"/>
      <c r="AU689" s="4"/>
      <c r="AV689" s="4"/>
      <c r="AW689" s="4"/>
      <c r="AX689" s="4"/>
      <c r="AY689" s="4"/>
      <c r="AZ689" s="4"/>
      <c r="BA689" s="4"/>
      <c r="BB689" s="4"/>
      <c r="BC689" s="4"/>
      <c r="BD689" s="4"/>
      <c r="BE689" s="4"/>
      <c r="BF689" s="4"/>
      <c r="BG689" s="4"/>
    </row>
    <row r="690" ht="15.75" customHeight="1">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O690" s="4"/>
      <c r="AP690" s="4"/>
      <c r="AQ690" s="4"/>
      <c r="AR690" s="4"/>
      <c r="AS690" s="4"/>
      <c r="AT690" s="4"/>
      <c r="AU690" s="4"/>
      <c r="AV690" s="4"/>
      <c r="AW690" s="4"/>
      <c r="AX690" s="4"/>
      <c r="AY690" s="4"/>
      <c r="AZ690" s="4"/>
      <c r="BA690" s="4"/>
      <c r="BB690" s="4"/>
      <c r="BC690" s="4"/>
      <c r="BD690" s="4"/>
      <c r="BE690" s="4"/>
      <c r="BF690" s="4"/>
      <c r="BG690" s="4"/>
    </row>
    <row r="691" ht="15.75" customHeight="1">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O691" s="4"/>
      <c r="AP691" s="4"/>
      <c r="AQ691" s="4"/>
      <c r="AR691" s="4"/>
      <c r="AS691" s="4"/>
      <c r="AT691" s="4"/>
      <c r="AU691" s="4"/>
      <c r="AV691" s="4"/>
      <c r="AW691" s="4"/>
      <c r="AX691" s="4"/>
      <c r="AY691" s="4"/>
      <c r="AZ691" s="4"/>
      <c r="BA691" s="4"/>
      <c r="BB691" s="4"/>
      <c r="BC691" s="4"/>
      <c r="BD691" s="4"/>
      <c r="BE691" s="4"/>
      <c r="BF691" s="4"/>
      <c r="BG691" s="4"/>
    </row>
    <row r="692" ht="15.75" customHeight="1">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O692" s="4"/>
      <c r="AP692" s="4"/>
      <c r="AQ692" s="4"/>
      <c r="AR692" s="4"/>
      <c r="AS692" s="4"/>
      <c r="AT692" s="4"/>
      <c r="AU692" s="4"/>
      <c r="AV692" s="4"/>
      <c r="AW692" s="4"/>
      <c r="AX692" s="4"/>
      <c r="AY692" s="4"/>
      <c r="AZ692" s="4"/>
      <c r="BA692" s="4"/>
      <c r="BB692" s="4"/>
      <c r="BC692" s="4"/>
      <c r="BD692" s="4"/>
      <c r="BE692" s="4"/>
      <c r="BF692" s="4"/>
      <c r="BG692" s="4"/>
    </row>
    <row r="693" ht="15.75" customHeight="1">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O693" s="4"/>
      <c r="AP693" s="4"/>
      <c r="AQ693" s="4"/>
      <c r="AR693" s="4"/>
      <c r="AS693" s="4"/>
      <c r="AT693" s="4"/>
      <c r="AU693" s="4"/>
      <c r="AV693" s="4"/>
      <c r="AW693" s="4"/>
      <c r="AX693" s="4"/>
      <c r="AY693" s="4"/>
      <c r="AZ693" s="4"/>
      <c r="BA693" s="4"/>
      <c r="BB693" s="4"/>
      <c r="BC693" s="4"/>
      <c r="BD693" s="4"/>
      <c r="BE693" s="4"/>
      <c r="BF693" s="4"/>
      <c r="BG693" s="4"/>
    </row>
    <row r="694" ht="15.75" customHeight="1">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O694" s="4"/>
      <c r="AP694" s="4"/>
      <c r="AQ694" s="4"/>
      <c r="AR694" s="4"/>
      <c r="AS694" s="4"/>
      <c r="AT694" s="4"/>
      <c r="AU694" s="4"/>
      <c r="AV694" s="4"/>
      <c r="AW694" s="4"/>
      <c r="AX694" s="4"/>
      <c r="AY694" s="4"/>
      <c r="AZ694" s="4"/>
      <c r="BA694" s="4"/>
      <c r="BB694" s="4"/>
      <c r="BC694" s="4"/>
      <c r="BD694" s="4"/>
      <c r="BE694" s="4"/>
      <c r="BF694" s="4"/>
      <c r="BG694" s="4"/>
    </row>
    <row r="695" ht="15.75" customHeight="1">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O695" s="4"/>
      <c r="AP695" s="4"/>
      <c r="AQ695" s="4"/>
      <c r="AR695" s="4"/>
      <c r="AS695" s="4"/>
      <c r="AT695" s="4"/>
      <c r="AU695" s="4"/>
      <c r="AV695" s="4"/>
      <c r="AW695" s="4"/>
      <c r="AX695" s="4"/>
      <c r="AY695" s="4"/>
      <c r="AZ695" s="4"/>
      <c r="BA695" s="4"/>
      <c r="BB695" s="4"/>
      <c r="BC695" s="4"/>
      <c r="BD695" s="4"/>
      <c r="BE695" s="4"/>
      <c r="BF695" s="4"/>
      <c r="BG695" s="4"/>
    </row>
    <row r="696" ht="15.75" customHeight="1">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O696" s="4"/>
      <c r="AP696" s="4"/>
      <c r="AQ696" s="4"/>
      <c r="AR696" s="4"/>
      <c r="AS696" s="4"/>
      <c r="AT696" s="4"/>
      <c r="AU696" s="4"/>
      <c r="AV696" s="4"/>
      <c r="AW696" s="4"/>
      <c r="AX696" s="4"/>
      <c r="AY696" s="4"/>
      <c r="AZ696" s="4"/>
      <c r="BA696" s="4"/>
      <c r="BB696" s="4"/>
      <c r="BC696" s="4"/>
      <c r="BD696" s="4"/>
      <c r="BE696" s="4"/>
      <c r="BF696" s="4"/>
      <c r="BG696" s="4"/>
    </row>
    <row r="697" ht="15.75" customHeight="1">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O697" s="4"/>
      <c r="AP697" s="4"/>
      <c r="AQ697" s="4"/>
      <c r="AR697" s="4"/>
      <c r="AS697" s="4"/>
      <c r="AT697" s="4"/>
      <c r="AU697" s="4"/>
      <c r="AV697" s="4"/>
      <c r="AW697" s="4"/>
      <c r="AX697" s="4"/>
      <c r="AY697" s="4"/>
      <c r="AZ697" s="4"/>
      <c r="BA697" s="4"/>
      <c r="BB697" s="4"/>
      <c r="BC697" s="4"/>
      <c r="BD697" s="4"/>
      <c r="BE697" s="4"/>
      <c r="BF697" s="4"/>
      <c r="BG697" s="4"/>
    </row>
    <row r="698" ht="15.75" customHeight="1">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O698" s="4"/>
      <c r="AP698" s="4"/>
      <c r="AQ698" s="4"/>
      <c r="AR698" s="4"/>
      <c r="AS698" s="4"/>
      <c r="AT698" s="4"/>
      <c r="AU698" s="4"/>
      <c r="AV698" s="4"/>
      <c r="AW698" s="4"/>
      <c r="AX698" s="4"/>
      <c r="AY698" s="4"/>
      <c r="AZ698" s="4"/>
      <c r="BA698" s="4"/>
      <c r="BB698" s="4"/>
      <c r="BC698" s="4"/>
      <c r="BD698" s="4"/>
      <c r="BE698" s="4"/>
      <c r="BF698" s="4"/>
      <c r="BG698" s="4"/>
    </row>
    <row r="699" ht="15.75" customHeight="1">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O699" s="4"/>
      <c r="AP699" s="4"/>
      <c r="AQ699" s="4"/>
      <c r="AR699" s="4"/>
      <c r="AS699" s="4"/>
      <c r="AT699" s="4"/>
      <c r="AU699" s="4"/>
      <c r="AV699" s="4"/>
      <c r="AW699" s="4"/>
      <c r="AX699" s="4"/>
      <c r="AY699" s="4"/>
      <c r="AZ699" s="4"/>
      <c r="BA699" s="4"/>
      <c r="BB699" s="4"/>
      <c r="BC699" s="4"/>
      <c r="BD699" s="4"/>
      <c r="BE699" s="4"/>
      <c r="BF699" s="4"/>
      <c r="BG699" s="4"/>
    </row>
    <row r="700" ht="15.75" customHeight="1">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O700" s="4"/>
      <c r="AP700" s="4"/>
      <c r="AQ700" s="4"/>
      <c r="AR700" s="4"/>
      <c r="AS700" s="4"/>
      <c r="AT700" s="4"/>
      <c r="AU700" s="4"/>
      <c r="AV700" s="4"/>
      <c r="AW700" s="4"/>
      <c r="AX700" s="4"/>
      <c r="AY700" s="4"/>
      <c r="AZ700" s="4"/>
      <c r="BA700" s="4"/>
      <c r="BB700" s="4"/>
      <c r="BC700" s="4"/>
      <c r="BD700" s="4"/>
      <c r="BE700" s="4"/>
      <c r="BF700" s="4"/>
      <c r="BG700" s="4"/>
    </row>
    <row r="701" ht="15.75" customHeight="1">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O701" s="4"/>
      <c r="AP701" s="4"/>
      <c r="AQ701" s="4"/>
      <c r="AR701" s="4"/>
      <c r="AS701" s="4"/>
      <c r="AT701" s="4"/>
      <c r="AU701" s="4"/>
      <c r="AV701" s="4"/>
      <c r="AW701" s="4"/>
      <c r="AX701" s="4"/>
      <c r="AY701" s="4"/>
      <c r="AZ701" s="4"/>
      <c r="BA701" s="4"/>
      <c r="BB701" s="4"/>
      <c r="BC701" s="4"/>
      <c r="BD701" s="4"/>
      <c r="BE701" s="4"/>
      <c r="BF701" s="4"/>
      <c r="BG701" s="4"/>
    </row>
    <row r="702" ht="15.75" customHeight="1">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O702" s="4"/>
      <c r="AP702" s="4"/>
      <c r="AQ702" s="4"/>
      <c r="AR702" s="4"/>
      <c r="AS702" s="4"/>
      <c r="AT702" s="4"/>
      <c r="AU702" s="4"/>
      <c r="AV702" s="4"/>
      <c r="AW702" s="4"/>
      <c r="AX702" s="4"/>
      <c r="AY702" s="4"/>
      <c r="AZ702" s="4"/>
      <c r="BA702" s="4"/>
      <c r="BB702" s="4"/>
      <c r="BC702" s="4"/>
      <c r="BD702" s="4"/>
      <c r="BE702" s="4"/>
      <c r="BF702" s="4"/>
      <c r="BG702" s="4"/>
    </row>
    <row r="703" ht="15.75" customHeight="1">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O703" s="4"/>
      <c r="AP703" s="4"/>
      <c r="AQ703" s="4"/>
      <c r="AR703" s="4"/>
      <c r="AS703" s="4"/>
      <c r="AT703" s="4"/>
      <c r="AU703" s="4"/>
      <c r="AV703" s="4"/>
      <c r="AW703" s="4"/>
      <c r="AX703" s="4"/>
      <c r="AY703" s="4"/>
      <c r="AZ703" s="4"/>
      <c r="BA703" s="4"/>
      <c r="BB703" s="4"/>
      <c r="BC703" s="4"/>
      <c r="BD703" s="4"/>
      <c r="BE703" s="4"/>
      <c r="BF703" s="4"/>
      <c r="BG703" s="4"/>
    </row>
    <row r="704" ht="15.75" customHeight="1">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O704" s="4"/>
      <c r="AP704" s="4"/>
      <c r="AQ704" s="4"/>
      <c r="AR704" s="4"/>
      <c r="AS704" s="4"/>
      <c r="AT704" s="4"/>
      <c r="AU704" s="4"/>
      <c r="AV704" s="4"/>
      <c r="AW704" s="4"/>
      <c r="AX704" s="4"/>
      <c r="AY704" s="4"/>
      <c r="AZ704" s="4"/>
      <c r="BA704" s="4"/>
      <c r="BB704" s="4"/>
      <c r="BC704" s="4"/>
      <c r="BD704" s="4"/>
      <c r="BE704" s="4"/>
      <c r="BF704" s="4"/>
      <c r="BG704" s="4"/>
    </row>
    <row r="705" ht="15.75" customHeight="1">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O705" s="4"/>
      <c r="AP705" s="4"/>
      <c r="AQ705" s="4"/>
      <c r="AR705" s="4"/>
      <c r="AS705" s="4"/>
      <c r="AT705" s="4"/>
      <c r="AU705" s="4"/>
      <c r="AV705" s="4"/>
      <c r="AW705" s="4"/>
      <c r="AX705" s="4"/>
      <c r="AY705" s="4"/>
      <c r="AZ705" s="4"/>
      <c r="BA705" s="4"/>
      <c r="BB705" s="4"/>
      <c r="BC705" s="4"/>
      <c r="BD705" s="4"/>
      <c r="BE705" s="4"/>
      <c r="BF705" s="4"/>
      <c r="BG705" s="4"/>
    </row>
    <row r="706" ht="15.75" customHeight="1">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O706" s="4"/>
      <c r="AP706" s="4"/>
      <c r="AQ706" s="4"/>
      <c r="AR706" s="4"/>
      <c r="AS706" s="4"/>
      <c r="AT706" s="4"/>
      <c r="AU706" s="4"/>
      <c r="AV706" s="4"/>
      <c r="AW706" s="4"/>
      <c r="AX706" s="4"/>
      <c r="AY706" s="4"/>
      <c r="AZ706" s="4"/>
      <c r="BA706" s="4"/>
      <c r="BB706" s="4"/>
      <c r="BC706" s="4"/>
      <c r="BD706" s="4"/>
      <c r="BE706" s="4"/>
      <c r="BF706" s="4"/>
      <c r="BG706" s="4"/>
    </row>
    <row r="707" ht="15.75" customHeight="1">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O707" s="4"/>
      <c r="AP707" s="4"/>
      <c r="AQ707" s="4"/>
      <c r="AR707" s="4"/>
      <c r="AS707" s="4"/>
      <c r="AT707" s="4"/>
      <c r="AU707" s="4"/>
      <c r="AV707" s="4"/>
      <c r="AW707" s="4"/>
      <c r="AX707" s="4"/>
      <c r="AY707" s="4"/>
      <c r="AZ707" s="4"/>
      <c r="BA707" s="4"/>
      <c r="BB707" s="4"/>
      <c r="BC707" s="4"/>
      <c r="BD707" s="4"/>
      <c r="BE707" s="4"/>
      <c r="BF707" s="4"/>
      <c r="BG707" s="4"/>
    </row>
    <row r="708" ht="15.75" customHeight="1">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O708" s="4"/>
      <c r="AP708" s="4"/>
      <c r="AQ708" s="4"/>
      <c r="AR708" s="4"/>
      <c r="AS708" s="4"/>
      <c r="AT708" s="4"/>
      <c r="AU708" s="4"/>
      <c r="AV708" s="4"/>
      <c r="AW708" s="4"/>
      <c r="AX708" s="4"/>
      <c r="AY708" s="4"/>
      <c r="AZ708" s="4"/>
      <c r="BA708" s="4"/>
      <c r="BB708" s="4"/>
      <c r="BC708" s="4"/>
      <c r="BD708" s="4"/>
      <c r="BE708" s="4"/>
      <c r="BF708" s="4"/>
      <c r="BG708" s="4"/>
    </row>
    <row r="709" ht="15.75" customHeight="1">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O709" s="4"/>
      <c r="AP709" s="4"/>
      <c r="AQ709" s="4"/>
      <c r="AR709" s="4"/>
      <c r="AS709" s="4"/>
      <c r="AT709" s="4"/>
      <c r="AU709" s="4"/>
      <c r="AV709" s="4"/>
      <c r="AW709" s="4"/>
      <c r="AX709" s="4"/>
      <c r="AY709" s="4"/>
      <c r="AZ709" s="4"/>
      <c r="BA709" s="4"/>
      <c r="BB709" s="4"/>
      <c r="BC709" s="4"/>
      <c r="BD709" s="4"/>
      <c r="BE709" s="4"/>
      <c r="BF709" s="4"/>
      <c r="BG709" s="4"/>
    </row>
    <row r="710" ht="15.75" customHeight="1">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O710" s="4"/>
      <c r="AP710" s="4"/>
      <c r="AQ710" s="4"/>
      <c r="AR710" s="4"/>
      <c r="AS710" s="4"/>
      <c r="AT710" s="4"/>
      <c r="AU710" s="4"/>
      <c r="AV710" s="4"/>
      <c r="AW710" s="4"/>
      <c r="AX710" s="4"/>
      <c r="AY710" s="4"/>
      <c r="AZ710" s="4"/>
      <c r="BA710" s="4"/>
      <c r="BB710" s="4"/>
      <c r="BC710" s="4"/>
      <c r="BD710" s="4"/>
      <c r="BE710" s="4"/>
      <c r="BF710" s="4"/>
      <c r="BG710" s="4"/>
    </row>
    <row r="711" ht="15.75" customHeight="1">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O711" s="4"/>
      <c r="AP711" s="4"/>
      <c r="AQ711" s="4"/>
      <c r="AR711" s="4"/>
      <c r="AS711" s="4"/>
      <c r="AT711" s="4"/>
      <c r="AU711" s="4"/>
      <c r="AV711" s="4"/>
      <c r="AW711" s="4"/>
      <c r="AX711" s="4"/>
      <c r="AY711" s="4"/>
      <c r="AZ711" s="4"/>
      <c r="BA711" s="4"/>
      <c r="BB711" s="4"/>
      <c r="BC711" s="4"/>
      <c r="BD711" s="4"/>
      <c r="BE711" s="4"/>
      <c r="BF711" s="4"/>
      <c r="BG711" s="4"/>
    </row>
    <row r="712" ht="15.75" customHeight="1">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O712" s="4"/>
      <c r="AP712" s="4"/>
      <c r="AQ712" s="4"/>
      <c r="AR712" s="4"/>
      <c r="AS712" s="4"/>
      <c r="AT712" s="4"/>
      <c r="AU712" s="4"/>
      <c r="AV712" s="4"/>
      <c r="AW712" s="4"/>
      <c r="AX712" s="4"/>
      <c r="AY712" s="4"/>
      <c r="AZ712" s="4"/>
      <c r="BA712" s="4"/>
      <c r="BB712" s="4"/>
      <c r="BC712" s="4"/>
      <c r="BD712" s="4"/>
      <c r="BE712" s="4"/>
      <c r="BF712" s="4"/>
      <c r="BG712" s="4"/>
    </row>
    <row r="713" ht="15.75" customHeight="1">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O713" s="4"/>
      <c r="AP713" s="4"/>
      <c r="AQ713" s="4"/>
      <c r="AR713" s="4"/>
      <c r="AS713" s="4"/>
      <c r="AT713" s="4"/>
      <c r="AU713" s="4"/>
      <c r="AV713" s="4"/>
      <c r="AW713" s="4"/>
      <c r="AX713" s="4"/>
      <c r="AY713" s="4"/>
      <c r="AZ713" s="4"/>
      <c r="BA713" s="4"/>
      <c r="BB713" s="4"/>
      <c r="BC713" s="4"/>
      <c r="BD713" s="4"/>
      <c r="BE713" s="4"/>
      <c r="BF713" s="4"/>
      <c r="BG713" s="4"/>
    </row>
    <row r="714" ht="15.75" customHeight="1">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O714" s="4"/>
      <c r="AP714" s="4"/>
      <c r="AQ714" s="4"/>
      <c r="AR714" s="4"/>
      <c r="AS714" s="4"/>
      <c r="AT714" s="4"/>
      <c r="AU714" s="4"/>
      <c r="AV714" s="4"/>
      <c r="AW714" s="4"/>
      <c r="AX714" s="4"/>
      <c r="AY714" s="4"/>
      <c r="AZ714" s="4"/>
      <c r="BA714" s="4"/>
      <c r="BB714" s="4"/>
      <c r="BC714" s="4"/>
      <c r="BD714" s="4"/>
      <c r="BE714" s="4"/>
      <c r="BF714" s="4"/>
      <c r="BG714" s="4"/>
    </row>
    <row r="715" ht="15.75" customHeight="1">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O715" s="4"/>
      <c r="AP715" s="4"/>
      <c r="AQ715" s="4"/>
      <c r="AR715" s="4"/>
      <c r="AS715" s="4"/>
      <c r="AT715" s="4"/>
      <c r="AU715" s="4"/>
      <c r="AV715" s="4"/>
      <c r="AW715" s="4"/>
      <c r="AX715" s="4"/>
      <c r="AY715" s="4"/>
      <c r="AZ715" s="4"/>
      <c r="BA715" s="4"/>
      <c r="BB715" s="4"/>
      <c r="BC715" s="4"/>
      <c r="BD715" s="4"/>
      <c r="BE715" s="4"/>
      <c r="BF715" s="4"/>
      <c r="BG715" s="4"/>
    </row>
    <row r="716" ht="15.75" customHeight="1">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O716" s="4"/>
      <c r="AP716" s="4"/>
      <c r="AQ716" s="4"/>
      <c r="AR716" s="4"/>
      <c r="AS716" s="4"/>
      <c r="AT716" s="4"/>
      <c r="AU716" s="4"/>
      <c r="AV716" s="4"/>
      <c r="AW716" s="4"/>
      <c r="AX716" s="4"/>
      <c r="AY716" s="4"/>
      <c r="AZ716" s="4"/>
      <c r="BA716" s="4"/>
      <c r="BB716" s="4"/>
      <c r="BC716" s="4"/>
      <c r="BD716" s="4"/>
      <c r="BE716" s="4"/>
      <c r="BF716" s="4"/>
      <c r="BG716" s="4"/>
    </row>
    <row r="717" ht="15.75" customHeight="1">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O717" s="4"/>
      <c r="AP717" s="4"/>
      <c r="AQ717" s="4"/>
      <c r="AR717" s="4"/>
      <c r="AS717" s="4"/>
      <c r="AT717" s="4"/>
      <c r="AU717" s="4"/>
      <c r="AV717" s="4"/>
      <c r="AW717" s="4"/>
      <c r="AX717" s="4"/>
      <c r="AY717" s="4"/>
      <c r="AZ717" s="4"/>
      <c r="BA717" s="4"/>
      <c r="BB717" s="4"/>
      <c r="BC717" s="4"/>
      <c r="BD717" s="4"/>
      <c r="BE717" s="4"/>
      <c r="BF717" s="4"/>
      <c r="BG717" s="4"/>
    </row>
    <row r="718" ht="15.75" customHeight="1">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O718" s="4"/>
      <c r="AP718" s="4"/>
      <c r="AQ718" s="4"/>
      <c r="AR718" s="4"/>
      <c r="AS718" s="4"/>
      <c r="AT718" s="4"/>
      <c r="AU718" s="4"/>
      <c r="AV718" s="4"/>
      <c r="AW718" s="4"/>
      <c r="AX718" s="4"/>
      <c r="AY718" s="4"/>
      <c r="AZ718" s="4"/>
      <c r="BA718" s="4"/>
      <c r="BB718" s="4"/>
      <c r="BC718" s="4"/>
      <c r="BD718" s="4"/>
      <c r="BE718" s="4"/>
      <c r="BF718" s="4"/>
      <c r="BG718" s="4"/>
    </row>
    <row r="719" ht="15.75" customHeight="1">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O719" s="4"/>
      <c r="AP719" s="4"/>
      <c r="AQ719" s="4"/>
      <c r="AR719" s="4"/>
      <c r="AS719" s="4"/>
      <c r="AT719" s="4"/>
      <c r="AU719" s="4"/>
      <c r="AV719" s="4"/>
      <c r="AW719" s="4"/>
      <c r="AX719" s="4"/>
      <c r="AY719" s="4"/>
      <c r="AZ719" s="4"/>
      <c r="BA719" s="4"/>
      <c r="BB719" s="4"/>
      <c r="BC719" s="4"/>
      <c r="BD719" s="4"/>
      <c r="BE719" s="4"/>
      <c r="BF719" s="4"/>
      <c r="BG719" s="4"/>
    </row>
    <row r="720" ht="15.75" customHeight="1">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O720" s="4"/>
      <c r="AP720" s="4"/>
      <c r="AQ720" s="4"/>
      <c r="AR720" s="4"/>
      <c r="AS720" s="4"/>
      <c r="AT720" s="4"/>
      <c r="AU720" s="4"/>
      <c r="AV720" s="4"/>
      <c r="AW720" s="4"/>
      <c r="AX720" s="4"/>
      <c r="AY720" s="4"/>
      <c r="AZ720" s="4"/>
      <c r="BA720" s="4"/>
      <c r="BB720" s="4"/>
      <c r="BC720" s="4"/>
      <c r="BD720" s="4"/>
      <c r="BE720" s="4"/>
      <c r="BF720" s="4"/>
      <c r="BG720" s="4"/>
    </row>
    <row r="721" ht="15.75" customHeight="1">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O721" s="4"/>
      <c r="AP721" s="4"/>
      <c r="AQ721" s="4"/>
      <c r="AR721" s="4"/>
      <c r="AS721" s="4"/>
      <c r="AT721" s="4"/>
      <c r="AU721" s="4"/>
      <c r="AV721" s="4"/>
      <c r="AW721" s="4"/>
      <c r="AX721" s="4"/>
      <c r="AY721" s="4"/>
      <c r="AZ721" s="4"/>
      <c r="BA721" s="4"/>
      <c r="BB721" s="4"/>
      <c r="BC721" s="4"/>
      <c r="BD721" s="4"/>
      <c r="BE721" s="4"/>
      <c r="BF721" s="4"/>
      <c r="BG721" s="4"/>
    </row>
    <row r="722" ht="15.75" customHeight="1">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O722" s="4"/>
      <c r="AP722" s="4"/>
      <c r="AQ722" s="4"/>
      <c r="AR722" s="4"/>
      <c r="AS722" s="4"/>
      <c r="AT722" s="4"/>
      <c r="AU722" s="4"/>
      <c r="AV722" s="4"/>
      <c r="AW722" s="4"/>
      <c r="AX722" s="4"/>
      <c r="AY722" s="4"/>
      <c r="AZ722" s="4"/>
      <c r="BA722" s="4"/>
      <c r="BB722" s="4"/>
      <c r="BC722" s="4"/>
      <c r="BD722" s="4"/>
      <c r="BE722" s="4"/>
      <c r="BF722" s="4"/>
      <c r="BG722" s="4"/>
    </row>
    <row r="723" ht="15.75" customHeight="1">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O723" s="4"/>
      <c r="AP723" s="4"/>
      <c r="AQ723" s="4"/>
      <c r="AR723" s="4"/>
      <c r="AS723" s="4"/>
      <c r="AT723" s="4"/>
      <c r="AU723" s="4"/>
      <c r="AV723" s="4"/>
      <c r="AW723" s="4"/>
      <c r="AX723" s="4"/>
      <c r="AY723" s="4"/>
      <c r="AZ723" s="4"/>
      <c r="BA723" s="4"/>
      <c r="BB723" s="4"/>
      <c r="BC723" s="4"/>
      <c r="BD723" s="4"/>
      <c r="BE723" s="4"/>
      <c r="BF723" s="4"/>
      <c r="BG723" s="4"/>
    </row>
    <row r="724" ht="15.75" customHeight="1">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O724" s="4"/>
      <c r="AP724" s="4"/>
      <c r="AQ724" s="4"/>
      <c r="AR724" s="4"/>
      <c r="AS724" s="4"/>
      <c r="AT724" s="4"/>
      <c r="AU724" s="4"/>
      <c r="AV724" s="4"/>
      <c r="AW724" s="4"/>
      <c r="AX724" s="4"/>
      <c r="AY724" s="4"/>
      <c r="AZ724" s="4"/>
      <c r="BA724" s="4"/>
      <c r="BB724" s="4"/>
      <c r="BC724" s="4"/>
      <c r="BD724" s="4"/>
      <c r="BE724" s="4"/>
      <c r="BF724" s="4"/>
      <c r="BG724" s="4"/>
    </row>
    <row r="725" ht="15.75" customHeight="1">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O725" s="4"/>
      <c r="AP725" s="4"/>
      <c r="AQ725" s="4"/>
      <c r="AR725" s="4"/>
      <c r="AS725" s="4"/>
      <c r="AT725" s="4"/>
      <c r="AU725" s="4"/>
      <c r="AV725" s="4"/>
      <c r="AW725" s="4"/>
      <c r="AX725" s="4"/>
      <c r="AY725" s="4"/>
      <c r="AZ725" s="4"/>
      <c r="BA725" s="4"/>
      <c r="BB725" s="4"/>
      <c r="BC725" s="4"/>
      <c r="BD725" s="4"/>
      <c r="BE725" s="4"/>
      <c r="BF725" s="4"/>
      <c r="BG725" s="4"/>
    </row>
    <row r="726" ht="15.75" customHeight="1">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O726" s="4"/>
      <c r="AP726" s="4"/>
      <c r="AQ726" s="4"/>
      <c r="AR726" s="4"/>
      <c r="AS726" s="4"/>
      <c r="AT726" s="4"/>
      <c r="AU726" s="4"/>
      <c r="AV726" s="4"/>
      <c r="AW726" s="4"/>
      <c r="AX726" s="4"/>
      <c r="AY726" s="4"/>
      <c r="AZ726" s="4"/>
      <c r="BA726" s="4"/>
      <c r="BB726" s="4"/>
      <c r="BC726" s="4"/>
      <c r="BD726" s="4"/>
      <c r="BE726" s="4"/>
      <c r="BF726" s="4"/>
      <c r="BG726" s="4"/>
    </row>
    <row r="727" ht="15.75" customHeight="1">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O727" s="4"/>
      <c r="AP727" s="4"/>
      <c r="AQ727" s="4"/>
      <c r="AR727" s="4"/>
      <c r="AS727" s="4"/>
      <c r="AT727" s="4"/>
      <c r="AU727" s="4"/>
      <c r="AV727" s="4"/>
      <c r="AW727" s="4"/>
      <c r="AX727" s="4"/>
      <c r="AY727" s="4"/>
      <c r="AZ727" s="4"/>
      <c r="BA727" s="4"/>
      <c r="BB727" s="4"/>
      <c r="BC727" s="4"/>
      <c r="BD727" s="4"/>
      <c r="BE727" s="4"/>
      <c r="BF727" s="4"/>
      <c r="BG727" s="4"/>
    </row>
    <row r="728" ht="15.75" customHeight="1">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O728" s="4"/>
      <c r="AP728" s="4"/>
      <c r="AQ728" s="4"/>
      <c r="AR728" s="4"/>
      <c r="AS728" s="4"/>
      <c r="AT728" s="4"/>
      <c r="AU728" s="4"/>
      <c r="AV728" s="4"/>
      <c r="AW728" s="4"/>
      <c r="AX728" s="4"/>
      <c r="AY728" s="4"/>
      <c r="AZ728" s="4"/>
      <c r="BA728" s="4"/>
      <c r="BB728" s="4"/>
      <c r="BC728" s="4"/>
      <c r="BD728" s="4"/>
      <c r="BE728" s="4"/>
      <c r="BF728" s="4"/>
      <c r="BG728" s="4"/>
    </row>
    <row r="729" ht="15.75" customHeight="1">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O729" s="4"/>
      <c r="AP729" s="4"/>
      <c r="AQ729" s="4"/>
      <c r="AR729" s="4"/>
      <c r="AS729" s="4"/>
      <c r="AT729" s="4"/>
      <c r="AU729" s="4"/>
      <c r="AV729" s="4"/>
      <c r="AW729" s="4"/>
      <c r="AX729" s="4"/>
      <c r="AY729" s="4"/>
      <c r="AZ729" s="4"/>
      <c r="BA729" s="4"/>
      <c r="BB729" s="4"/>
      <c r="BC729" s="4"/>
      <c r="BD729" s="4"/>
      <c r="BE729" s="4"/>
      <c r="BF729" s="4"/>
      <c r="BG729" s="4"/>
    </row>
    <row r="730" ht="15.75" customHeight="1">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O730" s="4"/>
      <c r="AP730" s="4"/>
      <c r="AQ730" s="4"/>
      <c r="AR730" s="4"/>
      <c r="AS730" s="4"/>
      <c r="AT730" s="4"/>
      <c r="AU730" s="4"/>
      <c r="AV730" s="4"/>
      <c r="AW730" s="4"/>
      <c r="AX730" s="4"/>
      <c r="AY730" s="4"/>
      <c r="AZ730" s="4"/>
      <c r="BA730" s="4"/>
      <c r="BB730" s="4"/>
      <c r="BC730" s="4"/>
      <c r="BD730" s="4"/>
      <c r="BE730" s="4"/>
      <c r="BF730" s="4"/>
      <c r="BG730" s="4"/>
    </row>
    <row r="731" ht="15.75" customHeight="1">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O731" s="4"/>
      <c r="AP731" s="4"/>
      <c r="AQ731" s="4"/>
      <c r="AR731" s="4"/>
      <c r="AS731" s="4"/>
      <c r="AT731" s="4"/>
      <c r="AU731" s="4"/>
      <c r="AV731" s="4"/>
      <c r="AW731" s="4"/>
      <c r="AX731" s="4"/>
      <c r="AY731" s="4"/>
      <c r="AZ731" s="4"/>
      <c r="BA731" s="4"/>
      <c r="BB731" s="4"/>
      <c r="BC731" s="4"/>
      <c r="BD731" s="4"/>
      <c r="BE731" s="4"/>
      <c r="BF731" s="4"/>
      <c r="BG731" s="4"/>
    </row>
    <row r="732" ht="15.75" customHeight="1">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O732" s="4"/>
      <c r="AP732" s="4"/>
      <c r="AQ732" s="4"/>
      <c r="AR732" s="4"/>
      <c r="AS732" s="4"/>
      <c r="AT732" s="4"/>
      <c r="AU732" s="4"/>
      <c r="AV732" s="4"/>
      <c r="AW732" s="4"/>
      <c r="AX732" s="4"/>
      <c r="AY732" s="4"/>
      <c r="AZ732" s="4"/>
      <c r="BA732" s="4"/>
      <c r="BB732" s="4"/>
      <c r="BC732" s="4"/>
      <c r="BD732" s="4"/>
      <c r="BE732" s="4"/>
      <c r="BF732" s="4"/>
      <c r="BG732" s="4"/>
    </row>
    <row r="733" ht="15.75" customHeight="1">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O733" s="4"/>
      <c r="AP733" s="4"/>
      <c r="AQ733" s="4"/>
      <c r="AR733" s="4"/>
      <c r="AS733" s="4"/>
      <c r="AT733" s="4"/>
      <c r="AU733" s="4"/>
      <c r="AV733" s="4"/>
      <c r="AW733" s="4"/>
      <c r="AX733" s="4"/>
      <c r="AY733" s="4"/>
      <c r="AZ733" s="4"/>
      <c r="BA733" s="4"/>
      <c r="BB733" s="4"/>
      <c r="BC733" s="4"/>
      <c r="BD733" s="4"/>
      <c r="BE733" s="4"/>
      <c r="BF733" s="4"/>
      <c r="BG733" s="4"/>
    </row>
    <row r="734" ht="15.75" customHeight="1">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O734" s="4"/>
      <c r="AP734" s="4"/>
      <c r="AQ734" s="4"/>
      <c r="AR734" s="4"/>
      <c r="AS734" s="4"/>
      <c r="AT734" s="4"/>
      <c r="AU734" s="4"/>
      <c r="AV734" s="4"/>
      <c r="AW734" s="4"/>
      <c r="AX734" s="4"/>
      <c r="AY734" s="4"/>
      <c r="AZ734" s="4"/>
      <c r="BA734" s="4"/>
      <c r="BB734" s="4"/>
      <c r="BC734" s="4"/>
      <c r="BD734" s="4"/>
      <c r="BE734" s="4"/>
      <c r="BF734" s="4"/>
      <c r="BG734" s="4"/>
    </row>
    <row r="735" ht="15.75" customHeight="1">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O735" s="4"/>
      <c r="AP735" s="4"/>
      <c r="AQ735" s="4"/>
      <c r="AR735" s="4"/>
      <c r="AS735" s="4"/>
      <c r="AT735" s="4"/>
      <c r="AU735" s="4"/>
      <c r="AV735" s="4"/>
      <c r="AW735" s="4"/>
      <c r="AX735" s="4"/>
      <c r="AY735" s="4"/>
      <c r="AZ735" s="4"/>
      <c r="BA735" s="4"/>
      <c r="BB735" s="4"/>
      <c r="BC735" s="4"/>
      <c r="BD735" s="4"/>
      <c r="BE735" s="4"/>
      <c r="BF735" s="4"/>
      <c r="BG735" s="4"/>
    </row>
    <row r="736" ht="15.75" customHeight="1">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O736" s="4"/>
      <c r="AP736" s="4"/>
      <c r="AQ736" s="4"/>
      <c r="AR736" s="4"/>
      <c r="AS736" s="4"/>
      <c r="AT736" s="4"/>
      <c r="AU736" s="4"/>
      <c r="AV736" s="4"/>
      <c r="AW736" s="4"/>
      <c r="AX736" s="4"/>
      <c r="AY736" s="4"/>
      <c r="AZ736" s="4"/>
      <c r="BA736" s="4"/>
      <c r="BB736" s="4"/>
      <c r="BC736" s="4"/>
      <c r="BD736" s="4"/>
      <c r="BE736" s="4"/>
      <c r="BF736" s="4"/>
      <c r="BG736" s="4"/>
    </row>
    <row r="737" ht="15.75" customHeight="1">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O737" s="4"/>
      <c r="AP737" s="4"/>
      <c r="AQ737" s="4"/>
      <c r="AR737" s="4"/>
      <c r="AS737" s="4"/>
      <c r="AT737" s="4"/>
      <c r="AU737" s="4"/>
      <c r="AV737" s="4"/>
      <c r="AW737" s="4"/>
      <c r="AX737" s="4"/>
      <c r="AY737" s="4"/>
      <c r="AZ737" s="4"/>
      <c r="BA737" s="4"/>
      <c r="BB737" s="4"/>
      <c r="BC737" s="4"/>
      <c r="BD737" s="4"/>
      <c r="BE737" s="4"/>
      <c r="BF737" s="4"/>
      <c r="BG737" s="4"/>
    </row>
    <row r="738" ht="15.75" customHeight="1">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O738" s="4"/>
      <c r="AP738" s="4"/>
      <c r="AQ738" s="4"/>
      <c r="AR738" s="4"/>
      <c r="AS738" s="4"/>
      <c r="AT738" s="4"/>
      <c r="AU738" s="4"/>
      <c r="AV738" s="4"/>
      <c r="AW738" s="4"/>
      <c r="AX738" s="4"/>
      <c r="AY738" s="4"/>
      <c r="AZ738" s="4"/>
      <c r="BA738" s="4"/>
      <c r="BB738" s="4"/>
      <c r="BC738" s="4"/>
      <c r="BD738" s="4"/>
      <c r="BE738" s="4"/>
      <c r="BF738" s="4"/>
      <c r="BG738" s="4"/>
    </row>
    <row r="739" ht="15.75" customHeight="1">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O739" s="4"/>
      <c r="AP739" s="4"/>
      <c r="AQ739" s="4"/>
      <c r="AR739" s="4"/>
      <c r="AS739" s="4"/>
      <c r="AT739" s="4"/>
      <c r="AU739" s="4"/>
      <c r="AV739" s="4"/>
      <c r="AW739" s="4"/>
      <c r="AX739" s="4"/>
      <c r="AY739" s="4"/>
      <c r="AZ739" s="4"/>
      <c r="BA739" s="4"/>
      <c r="BB739" s="4"/>
      <c r="BC739" s="4"/>
      <c r="BD739" s="4"/>
      <c r="BE739" s="4"/>
      <c r="BF739" s="4"/>
      <c r="BG739" s="4"/>
    </row>
    <row r="740" ht="15.75" customHeight="1">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O740" s="4"/>
      <c r="AP740" s="4"/>
      <c r="AQ740" s="4"/>
      <c r="AR740" s="4"/>
      <c r="AS740" s="4"/>
      <c r="AT740" s="4"/>
      <c r="AU740" s="4"/>
      <c r="AV740" s="4"/>
      <c r="AW740" s="4"/>
      <c r="AX740" s="4"/>
      <c r="AY740" s="4"/>
      <c r="AZ740" s="4"/>
      <c r="BA740" s="4"/>
      <c r="BB740" s="4"/>
      <c r="BC740" s="4"/>
      <c r="BD740" s="4"/>
      <c r="BE740" s="4"/>
      <c r="BF740" s="4"/>
      <c r="BG740" s="4"/>
    </row>
    <row r="741" ht="15.75" customHeight="1">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O741" s="4"/>
      <c r="AP741" s="4"/>
      <c r="AQ741" s="4"/>
      <c r="AR741" s="4"/>
      <c r="AS741" s="4"/>
      <c r="AT741" s="4"/>
      <c r="AU741" s="4"/>
      <c r="AV741" s="4"/>
      <c r="AW741" s="4"/>
      <c r="AX741" s="4"/>
      <c r="AY741" s="4"/>
      <c r="AZ741" s="4"/>
      <c r="BA741" s="4"/>
      <c r="BB741" s="4"/>
      <c r="BC741" s="4"/>
      <c r="BD741" s="4"/>
      <c r="BE741" s="4"/>
      <c r="BF741" s="4"/>
      <c r="BG741" s="4"/>
    </row>
    <row r="742" ht="15.75" customHeight="1">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O742" s="4"/>
      <c r="AP742" s="4"/>
      <c r="AQ742" s="4"/>
      <c r="AR742" s="4"/>
      <c r="AS742" s="4"/>
      <c r="AT742" s="4"/>
      <c r="AU742" s="4"/>
      <c r="AV742" s="4"/>
      <c r="AW742" s="4"/>
      <c r="AX742" s="4"/>
      <c r="AY742" s="4"/>
      <c r="AZ742" s="4"/>
      <c r="BA742" s="4"/>
      <c r="BB742" s="4"/>
      <c r="BC742" s="4"/>
      <c r="BD742" s="4"/>
      <c r="BE742" s="4"/>
      <c r="BF742" s="4"/>
      <c r="BG742" s="4"/>
    </row>
    <row r="743" ht="15.75" customHeight="1">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O743" s="4"/>
      <c r="AP743" s="4"/>
      <c r="AQ743" s="4"/>
      <c r="AR743" s="4"/>
      <c r="AS743" s="4"/>
      <c r="AT743" s="4"/>
      <c r="AU743" s="4"/>
      <c r="AV743" s="4"/>
      <c r="AW743" s="4"/>
      <c r="AX743" s="4"/>
      <c r="AY743" s="4"/>
      <c r="AZ743" s="4"/>
      <c r="BA743" s="4"/>
      <c r="BB743" s="4"/>
      <c r="BC743" s="4"/>
      <c r="BD743" s="4"/>
      <c r="BE743" s="4"/>
      <c r="BF743" s="4"/>
      <c r="BG743" s="4"/>
    </row>
    <row r="744" ht="15.75" customHeight="1">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O744" s="4"/>
      <c r="AP744" s="4"/>
      <c r="AQ744" s="4"/>
      <c r="AR744" s="4"/>
      <c r="AS744" s="4"/>
      <c r="AT744" s="4"/>
      <c r="AU744" s="4"/>
      <c r="AV744" s="4"/>
      <c r="AW744" s="4"/>
      <c r="AX744" s="4"/>
      <c r="AY744" s="4"/>
      <c r="AZ744" s="4"/>
      <c r="BA744" s="4"/>
      <c r="BB744" s="4"/>
      <c r="BC744" s="4"/>
      <c r="BD744" s="4"/>
      <c r="BE744" s="4"/>
      <c r="BF744" s="4"/>
      <c r="BG744" s="4"/>
    </row>
    <row r="745" ht="15.75" customHeight="1">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O745" s="4"/>
      <c r="AP745" s="4"/>
      <c r="AQ745" s="4"/>
      <c r="AR745" s="4"/>
      <c r="AS745" s="4"/>
      <c r="AT745" s="4"/>
      <c r="AU745" s="4"/>
      <c r="AV745" s="4"/>
      <c r="AW745" s="4"/>
      <c r="AX745" s="4"/>
      <c r="AY745" s="4"/>
      <c r="AZ745" s="4"/>
      <c r="BA745" s="4"/>
      <c r="BB745" s="4"/>
      <c r="BC745" s="4"/>
      <c r="BD745" s="4"/>
      <c r="BE745" s="4"/>
      <c r="BF745" s="4"/>
      <c r="BG745" s="4"/>
    </row>
    <row r="746" ht="15.75" customHeight="1">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O746" s="4"/>
      <c r="AP746" s="4"/>
      <c r="AQ746" s="4"/>
      <c r="AR746" s="4"/>
      <c r="AS746" s="4"/>
      <c r="AT746" s="4"/>
      <c r="AU746" s="4"/>
      <c r="AV746" s="4"/>
      <c r="AW746" s="4"/>
      <c r="AX746" s="4"/>
      <c r="AY746" s="4"/>
      <c r="AZ746" s="4"/>
      <c r="BA746" s="4"/>
      <c r="BB746" s="4"/>
      <c r="BC746" s="4"/>
      <c r="BD746" s="4"/>
      <c r="BE746" s="4"/>
      <c r="BF746" s="4"/>
      <c r="BG746" s="4"/>
    </row>
    <row r="747" ht="15.75" customHeight="1">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O747" s="4"/>
      <c r="AP747" s="4"/>
      <c r="AQ747" s="4"/>
      <c r="AR747" s="4"/>
      <c r="AS747" s="4"/>
      <c r="AT747" s="4"/>
      <c r="AU747" s="4"/>
      <c r="AV747" s="4"/>
      <c r="AW747" s="4"/>
      <c r="AX747" s="4"/>
      <c r="AY747" s="4"/>
      <c r="AZ747" s="4"/>
      <c r="BA747" s="4"/>
      <c r="BB747" s="4"/>
      <c r="BC747" s="4"/>
      <c r="BD747" s="4"/>
      <c r="BE747" s="4"/>
      <c r="BF747" s="4"/>
      <c r="BG747" s="4"/>
    </row>
    <row r="748" ht="15.75" customHeight="1">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O748" s="4"/>
      <c r="AP748" s="4"/>
      <c r="AQ748" s="4"/>
      <c r="AR748" s="4"/>
      <c r="AS748" s="4"/>
      <c r="AT748" s="4"/>
      <c r="AU748" s="4"/>
      <c r="AV748" s="4"/>
      <c r="AW748" s="4"/>
      <c r="AX748" s="4"/>
      <c r="AY748" s="4"/>
      <c r="AZ748" s="4"/>
      <c r="BA748" s="4"/>
      <c r="BB748" s="4"/>
      <c r="BC748" s="4"/>
      <c r="BD748" s="4"/>
      <c r="BE748" s="4"/>
      <c r="BF748" s="4"/>
      <c r="BG748" s="4"/>
    </row>
    <row r="749" ht="15.75" customHeight="1">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O749" s="4"/>
      <c r="AP749" s="4"/>
      <c r="AQ749" s="4"/>
      <c r="AR749" s="4"/>
      <c r="AS749" s="4"/>
      <c r="AT749" s="4"/>
      <c r="AU749" s="4"/>
      <c r="AV749" s="4"/>
      <c r="AW749" s="4"/>
      <c r="AX749" s="4"/>
      <c r="AY749" s="4"/>
      <c r="AZ749" s="4"/>
      <c r="BA749" s="4"/>
      <c r="BB749" s="4"/>
      <c r="BC749" s="4"/>
      <c r="BD749" s="4"/>
      <c r="BE749" s="4"/>
      <c r="BF749" s="4"/>
      <c r="BG749" s="4"/>
    </row>
    <row r="750" ht="15.75" customHeight="1">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O750" s="4"/>
      <c r="AP750" s="4"/>
      <c r="AQ750" s="4"/>
      <c r="AR750" s="4"/>
      <c r="AS750" s="4"/>
      <c r="AT750" s="4"/>
      <c r="AU750" s="4"/>
      <c r="AV750" s="4"/>
      <c r="AW750" s="4"/>
      <c r="AX750" s="4"/>
      <c r="AY750" s="4"/>
      <c r="AZ750" s="4"/>
      <c r="BA750" s="4"/>
      <c r="BB750" s="4"/>
      <c r="BC750" s="4"/>
      <c r="BD750" s="4"/>
      <c r="BE750" s="4"/>
      <c r="BF750" s="4"/>
      <c r="BG750" s="4"/>
    </row>
    <row r="751" ht="15.75" customHeight="1">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O751" s="4"/>
      <c r="AP751" s="4"/>
      <c r="AQ751" s="4"/>
      <c r="AR751" s="4"/>
      <c r="AS751" s="4"/>
      <c r="AT751" s="4"/>
      <c r="AU751" s="4"/>
      <c r="AV751" s="4"/>
      <c r="AW751" s="4"/>
      <c r="AX751" s="4"/>
      <c r="AY751" s="4"/>
      <c r="AZ751" s="4"/>
      <c r="BA751" s="4"/>
      <c r="BB751" s="4"/>
      <c r="BC751" s="4"/>
      <c r="BD751" s="4"/>
      <c r="BE751" s="4"/>
      <c r="BF751" s="4"/>
      <c r="BG751" s="4"/>
    </row>
    <row r="752" ht="15.75" customHeight="1">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O752" s="4"/>
      <c r="AP752" s="4"/>
      <c r="AQ752" s="4"/>
      <c r="AR752" s="4"/>
      <c r="AS752" s="4"/>
      <c r="AT752" s="4"/>
      <c r="AU752" s="4"/>
      <c r="AV752" s="4"/>
      <c r="AW752" s="4"/>
      <c r="AX752" s="4"/>
      <c r="AY752" s="4"/>
      <c r="AZ752" s="4"/>
      <c r="BA752" s="4"/>
      <c r="BB752" s="4"/>
      <c r="BC752" s="4"/>
      <c r="BD752" s="4"/>
      <c r="BE752" s="4"/>
      <c r="BF752" s="4"/>
      <c r="BG752" s="4"/>
    </row>
    <row r="753" ht="15.75" customHeight="1">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O753" s="4"/>
      <c r="AP753" s="4"/>
      <c r="AQ753" s="4"/>
      <c r="AR753" s="4"/>
      <c r="AS753" s="4"/>
      <c r="AT753" s="4"/>
      <c r="AU753" s="4"/>
      <c r="AV753" s="4"/>
      <c r="AW753" s="4"/>
      <c r="AX753" s="4"/>
      <c r="AY753" s="4"/>
      <c r="AZ753" s="4"/>
      <c r="BA753" s="4"/>
      <c r="BB753" s="4"/>
      <c r="BC753" s="4"/>
      <c r="BD753" s="4"/>
      <c r="BE753" s="4"/>
      <c r="BF753" s="4"/>
      <c r="BG753" s="4"/>
    </row>
    <row r="754" ht="15.75" customHeight="1">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O754" s="4"/>
      <c r="AP754" s="4"/>
      <c r="AQ754" s="4"/>
      <c r="AR754" s="4"/>
      <c r="AS754" s="4"/>
      <c r="AT754" s="4"/>
      <c r="AU754" s="4"/>
      <c r="AV754" s="4"/>
      <c r="AW754" s="4"/>
      <c r="AX754" s="4"/>
      <c r="AY754" s="4"/>
      <c r="AZ754" s="4"/>
      <c r="BA754" s="4"/>
      <c r="BB754" s="4"/>
      <c r="BC754" s="4"/>
      <c r="BD754" s="4"/>
      <c r="BE754" s="4"/>
      <c r="BF754" s="4"/>
      <c r="BG754" s="4"/>
    </row>
    <row r="755" ht="15.75" customHeight="1">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O755" s="4"/>
      <c r="AP755" s="4"/>
      <c r="AQ755" s="4"/>
      <c r="AR755" s="4"/>
      <c r="AS755" s="4"/>
      <c r="AT755" s="4"/>
      <c r="AU755" s="4"/>
      <c r="AV755" s="4"/>
      <c r="AW755" s="4"/>
      <c r="AX755" s="4"/>
      <c r="AY755" s="4"/>
      <c r="AZ755" s="4"/>
      <c r="BA755" s="4"/>
      <c r="BB755" s="4"/>
      <c r="BC755" s="4"/>
      <c r="BD755" s="4"/>
      <c r="BE755" s="4"/>
      <c r="BF755" s="4"/>
      <c r="BG755" s="4"/>
    </row>
    <row r="756" ht="15.75" customHeight="1">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O756" s="4"/>
      <c r="AP756" s="4"/>
      <c r="AQ756" s="4"/>
      <c r="AR756" s="4"/>
      <c r="AS756" s="4"/>
      <c r="AT756" s="4"/>
      <c r="AU756" s="4"/>
      <c r="AV756" s="4"/>
      <c r="AW756" s="4"/>
      <c r="AX756" s="4"/>
      <c r="AY756" s="4"/>
      <c r="AZ756" s="4"/>
      <c r="BA756" s="4"/>
      <c r="BB756" s="4"/>
      <c r="BC756" s="4"/>
      <c r="BD756" s="4"/>
      <c r="BE756" s="4"/>
      <c r="BF756" s="4"/>
      <c r="BG756" s="4"/>
    </row>
    <row r="757" ht="15.75" customHeight="1">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O757" s="4"/>
      <c r="AP757" s="4"/>
      <c r="AQ757" s="4"/>
      <c r="AR757" s="4"/>
      <c r="AS757" s="4"/>
      <c r="AT757" s="4"/>
      <c r="AU757" s="4"/>
      <c r="AV757" s="4"/>
      <c r="AW757" s="4"/>
      <c r="AX757" s="4"/>
      <c r="AY757" s="4"/>
      <c r="AZ757" s="4"/>
      <c r="BA757" s="4"/>
      <c r="BB757" s="4"/>
      <c r="BC757" s="4"/>
      <c r="BD757" s="4"/>
      <c r="BE757" s="4"/>
      <c r="BF757" s="4"/>
      <c r="BG757" s="4"/>
    </row>
    <row r="758" ht="15.75" customHeight="1">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O758" s="4"/>
      <c r="AP758" s="4"/>
      <c r="AQ758" s="4"/>
      <c r="AR758" s="4"/>
      <c r="AS758" s="4"/>
      <c r="AT758" s="4"/>
      <c r="AU758" s="4"/>
      <c r="AV758" s="4"/>
      <c r="AW758" s="4"/>
      <c r="AX758" s="4"/>
      <c r="AY758" s="4"/>
      <c r="AZ758" s="4"/>
      <c r="BA758" s="4"/>
      <c r="BB758" s="4"/>
      <c r="BC758" s="4"/>
      <c r="BD758" s="4"/>
      <c r="BE758" s="4"/>
      <c r="BF758" s="4"/>
      <c r="BG758" s="4"/>
    </row>
    <row r="759" ht="15.75" customHeight="1">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O759" s="4"/>
      <c r="AP759" s="4"/>
      <c r="AQ759" s="4"/>
      <c r="AR759" s="4"/>
      <c r="AS759" s="4"/>
      <c r="AT759" s="4"/>
      <c r="AU759" s="4"/>
      <c r="AV759" s="4"/>
      <c r="AW759" s="4"/>
      <c r="AX759" s="4"/>
      <c r="AY759" s="4"/>
      <c r="AZ759" s="4"/>
      <c r="BA759" s="4"/>
      <c r="BB759" s="4"/>
      <c r="BC759" s="4"/>
      <c r="BD759" s="4"/>
      <c r="BE759" s="4"/>
      <c r="BF759" s="4"/>
      <c r="BG759" s="4"/>
    </row>
    <row r="760" ht="15.75" customHeight="1">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O760" s="4"/>
      <c r="AP760" s="4"/>
      <c r="AQ760" s="4"/>
      <c r="AR760" s="4"/>
      <c r="AS760" s="4"/>
      <c r="AT760" s="4"/>
      <c r="AU760" s="4"/>
      <c r="AV760" s="4"/>
      <c r="AW760" s="4"/>
      <c r="AX760" s="4"/>
      <c r="AY760" s="4"/>
      <c r="AZ760" s="4"/>
      <c r="BA760" s="4"/>
      <c r="BB760" s="4"/>
      <c r="BC760" s="4"/>
      <c r="BD760" s="4"/>
      <c r="BE760" s="4"/>
      <c r="BF760" s="4"/>
      <c r="BG760" s="4"/>
    </row>
    <row r="761" ht="15.75" customHeight="1">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O761" s="4"/>
      <c r="AP761" s="4"/>
      <c r="AQ761" s="4"/>
      <c r="AR761" s="4"/>
      <c r="AS761" s="4"/>
      <c r="AT761" s="4"/>
      <c r="AU761" s="4"/>
      <c r="AV761" s="4"/>
      <c r="AW761" s="4"/>
      <c r="AX761" s="4"/>
      <c r="AY761" s="4"/>
      <c r="AZ761" s="4"/>
      <c r="BA761" s="4"/>
      <c r="BB761" s="4"/>
      <c r="BC761" s="4"/>
      <c r="BD761" s="4"/>
      <c r="BE761" s="4"/>
      <c r="BF761" s="4"/>
      <c r="BG761" s="4"/>
    </row>
    <row r="762" ht="15.75" customHeight="1">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O762" s="4"/>
      <c r="AP762" s="4"/>
      <c r="AQ762" s="4"/>
      <c r="AR762" s="4"/>
      <c r="AS762" s="4"/>
      <c r="AT762" s="4"/>
      <c r="AU762" s="4"/>
      <c r="AV762" s="4"/>
      <c r="AW762" s="4"/>
      <c r="AX762" s="4"/>
      <c r="AY762" s="4"/>
      <c r="AZ762" s="4"/>
      <c r="BA762" s="4"/>
      <c r="BB762" s="4"/>
      <c r="BC762" s="4"/>
      <c r="BD762" s="4"/>
      <c r="BE762" s="4"/>
      <c r="BF762" s="4"/>
      <c r="BG762" s="4"/>
    </row>
    <row r="763" ht="15.75" customHeight="1">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O763" s="4"/>
      <c r="AP763" s="4"/>
      <c r="AQ763" s="4"/>
      <c r="AR763" s="4"/>
      <c r="AS763" s="4"/>
      <c r="AT763" s="4"/>
      <c r="AU763" s="4"/>
      <c r="AV763" s="4"/>
      <c r="AW763" s="4"/>
      <c r="AX763" s="4"/>
      <c r="AY763" s="4"/>
      <c r="AZ763" s="4"/>
      <c r="BA763" s="4"/>
      <c r="BB763" s="4"/>
      <c r="BC763" s="4"/>
      <c r="BD763" s="4"/>
      <c r="BE763" s="4"/>
      <c r="BF763" s="4"/>
      <c r="BG763" s="4"/>
    </row>
    <row r="764" ht="15.75" customHeight="1">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O764" s="4"/>
      <c r="AP764" s="4"/>
      <c r="AQ764" s="4"/>
      <c r="AR764" s="4"/>
      <c r="AS764" s="4"/>
      <c r="AT764" s="4"/>
      <c r="AU764" s="4"/>
      <c r="AV764" s="4"/>
      <c r="AW764" s="4"/>
      <c r="AX764" s="4"/>
      <c r="AY764" s="4"/>
      <c r="AZ764" s="4"/>
      <c r="BA764" s="4"/>
      <c r="BB764" s="4"/>
      <c r="BC764" s="4"/>
      <c r="BD764" s="4"/>
      <c r="BE764" s="4"/>
      <c r="BF764" s="4"/>
      <c r="BG764" s="4"/>
    </row>
    <row r="765" ht="15.75" customHeight="1">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O765" s="4"/>
      <c r="AP765" s="4"/>
      <c r="AQ765" s="4"/>
      <c r="AR765" s="4"/>
      <c r="AS765" s="4"/>
      <c r="AT765" s="4"/>
      <c r="AU765" s="4"/>
      <c r="AV765" s="4"/>
      <c r="AW765" s="4"/>
      <c r="AX765" s="4"/>
      <c r="AY765" s="4"/>
      <c r="AZ765" s="4"/>
      <c r="BA765" s="4"/>
      <c r="BB765" s="4"/>
      <c r="BC765" s="4"/>
      <c r="BD765" s="4"/>
      <c r="BE765" s="4"/>
      <c r="BF765" s="4"/>
      <c r="BG765" s="4"/>
    </row>
    <row r="766" ht="15.75" customHeight="1">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O766" s="4"/>
      <c r="AP766" s="4"/>
      <c r="AQ766" s="4"/>
      <c r="AR766" s="4"/>
      <c r="AS766" s="4"/>
      <c r="AT766" s="4"/>
      <c r="AU766" s="4"/>
      <c r="AV766" s="4"/>
      <c r="AW766" s="4"/>
      <c r="AX766" s="4"/>
      <c r="AY766" s="4"/>
      <c r="AZ766" s="4"/>
      <c r="BA766" s="4"/>
      <c r="BB766" s="4"/>
      <c r="BC766" s="4"/>
      <c r="BD766" s="4"/>
      <c r="BE766" s="4"/>
      <c r="BF766" s="4"/>
      <c r="BG766" s="4"/>
    </row>
    <row r="767" ht="15.75" customHeight="1">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O767" s="4"/>
      <c r="AP767" s="4"/>
      <c r="AQ767" s="4"/>
      <c r="AR767" s="4"/>
      <c r="AS767" s="4"/>
      <c r="AT767" s="4"/>
      <c r="AU767" s="4"/>
      <c r="AV767" s="4"/>
      <c r="AW767" s="4"/>
      <c r="AX767" s="4"/>
      <c r="AY767" s="4"/>
      <c r="AZ767" s="4"/>
      <c r="BA767" s="4"/>
      <c r="BB767" s="4"/>
      <c r="BC767" s="4"/>
      <c r="BD767" s="4"/>
      <c r="BE767" s="4"/>
      <c r="BF767" s="4"/>
      <c r="BG767" s="4"/>
    </row>
    <row r="768" ht="15.75" customHeight="1">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O768" s="4"/>
      <c r="AP768" s="4"/>
      <c r="AQ768" s="4"/>
      <c r="AR768" s="4"/>
      <c r="AS768" s="4"/>
      <c r="AT768" s="4"/>
      <c r="AU768" s="4"/>
      <c r="AV768" s="4"/>
      <c r="AW768" s="4"/>
      <c r="AX768" s="4"/>
      <c r="AY768" s="4"/>
      <c r="AZ768" s="4"/>
      <c r="BA768" s="4"/>
      <c r="BB768" s="4"/>
      <c r="BC768" s="4"/>
      <c r="BD768" s="4"/>
      <c r="BE768" s="4"/>
      <c r="BF768" s="4"/>
      <c r="BG768" s="4"/>
    </row>
    <row r="769" ht="15.75" customHeight="1">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O769" s="4"/>
      <c r="AP769" s="4"/>
      <c r="AQ769" s="4"/>
      <c r="AR769" s="4"/>
      <c r="AS769" s="4"/>
      <c r="AT769" s="4"/>
      <c r="AU769" s="4"/>
      <c r="AV769" s="4"/>
      <c r="AW769" s="4"/>
      <c r="AX769" s="4"/>
      <c r="AY769" s="4"/>
      <c r="AZ769" s="4"/>
      <c r="BA769" s="4"/>
      <c r="BB769" s="4"/>
      <c r="BC769" s="4"/>
      <c r="BD769" s="4"/>
      <c r="BE769" s="4"/>
      <c r="BF769" s="4"/>
      <c r="BG769" s="4"/>
    </row>
    <row r="770" ht="15.75" customHeight="1">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O770" s="4"/>
      <c r="AP770" s="4"/>
      <c r="AQ770" s="4"/>
      <c r="AR770" s="4"/>
      <c r="AS770" s="4"/>
      <c r="AT770" s="4"/>
      <c r="AU770" s="4"/>
      <c r="AV770" s="4"/>
      <c r="AW770" s="4"/>
      <c r="AX770" s="4"/>
      <c r="AY770" s="4"/>
      <c r="AZ770" s="4"/>
      <c r="BA770" s="4"/>
      <c r="BB770" s="4"/>
      <c r="BC770" s="4"/>
      <c r="BD770" s="4"/>
      <c r="BE770" s="4"/>
      <c r="BF770" s="4"/>
      <c r="BG770" s="4"/>
    </row>
    <row r="771" ht="15.75" customHeight="1">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O771" s="4"/>
      <c r="AP771" s="4"/>
      <c r="AQ771" s="4"/>
      <c r="AR771" s="4"/>
      <c r="AS771" s="4"/>
      <c r="AT771" s="4"/>
      <c r="AU771" s="4"/>
      <c r="AV771" s="4"/>
      <c r="AW771" s="4"/>
      <c r="AX771" s="4"/>
      <c r="AY771" s="4"/>
      <c r="AZ771" s="4"/>
      <c r="BA771" s="4"/>
      <c r="BB771" s="4"/>
      <c r="BC771" s="4"/>
      <c r="BD771" s="4"/>
      <c r="BE771" s="4"/>
      <c r="BF771" s="4"/>
      <c r="BG771" s="4"/>
    </row>
    <row r="772" ht="15.75" customHeight="1">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O772" s="4"/>
      <c r="AP772" s="4"/>
      <c r="AQ772" s="4"/>
      <c r="AR772" s="4"/>
      <c r="AS772" s="4"/>
      <c r="AT772" s="4"/>
      <c r="AU772" s="4"/>
      <c r="AV772" s="4"/>
      <c r="AW772" s="4"/>
      <c r="AX772" s="4"/>
      <c r="AY772" s="4"/>
      <c r="AZ772" s="4"/>
      <c r="BA772" s="4"/>
      <c r="BB772" s="4"/>
      <c r="BC772" s="4"/>
      <c r="BD772" s="4"/>
      <c r="BE772" s="4"/>
      <c r="BF772" s="4"/>
      <c r="BG772" s="4"/>
    </row>
    <row r="773" ht="15.75" customHeight="1">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O773" s="4"/>
      <c r="AP773" s="4"/>
      <c r="AQ773" s="4"/>
      <c r="AR773" s="4"/>
      <c r="AS773" s="4"/>
      <c r="AT773" s="4"/>
      <c r="AU773" s="4"/>
      <c r="AV773" s="4"/>
      <c r="AW773" s="4"/>
      <c r="AX773" s="4"/>
      <c r="AY773" s="4"/>
      <c r="AZ773" s="4"/>
      <c r="BA773" s="4"/>
      <c r="BB773" s="4"/>
      <c r="BC773" s="4"/>
      <c r="BD773" s="4"/>
      <c r="BE773" s="4"/>
      <c r="BF773" s="4"/>
      <c r="BG773" s="4"/>
    </row>
    <row r="774" ht="15.75" customHeight="1">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O774" s="4"/>
      <c r="AP774" s="4"/>
      <c r="AQ774" s="4"/>
      <c r="AR774" s="4"/>
      <c r="AS774" s="4"/>
      <c r="AT774" s="4"/>
      <c r="AU774" s="4"/>
      <c r="AV774" s="4"/>
      <c r="AW774" s="4"/>
      <c r="AX774" s="4"/>
      <c r="AY774" s="4"/>
      <c r="AZ774" s="4"/>
      <c r="BA774" s="4"/>
      <c r="BB774" s="4"/>
      <c r="BC774" s="4"/>
      <c r="BD774" s="4"/>
      <c r="BE774" s="4"/>
      <c r="BF774" s="4"/>
      <c r="BG774" s="4"/>
    </row>
    <row r="775" ht="15.75" customHeight="1">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O775" s="4"/>
      <c r="AP775" s="4"/>
      <c r="AQ775" s="4"/>
      <c r="AR775" s="4"/>
      <c r="AS775" s="4"/>
      <c r="AT775" s="4"/>
      <c r="AU775" s="4"/>
      <c r="AV775" s="4"/>
      <c r="AW775" s="4"/>
      <c r="AX775" s="4"/>
      <c r="AY775" s="4"/>
      <c r="AZ775" s="4"/>
      <c r="BA775" s="4"/>
      <c r="BB775" s="4"/>
      <c r="BC775" s="4"/>
      <c r="BD775" s="4"/>
      <c r="BE775" s="4"/>
      <c r="BF775" s="4"/>
      <c r="BG775" s="4"/>
    </row>
    <row r="776" ht="15.75" customHeight="1">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O776" s="4"/>
      <c r="AP776" s="4"/>
      <c r="AQ776" s="4"/>
      <c r="AR776" s="4"/>
      <c r="AS776" s="4"/>
      <c r="AT776" s="4"/>
      <c r="AU776" s="4"/>
      <c r="AV776" s="4"/>
      <c r="AW776" s="4"/>
      <c r="AX776" s="4"/>
      <c r="AY776" s="4"/>
      <c r="AZ776" s="4"/>
      <c r="BA776" s="4"/>
      <c r="BB776" s="4"/>
      <c r="BC776" s="4"/>
      <c r="BD776" s="4"/>
      <c r="BE776" s="4"/>
      <c r="BF776" s="4"/>
      <c r="BG776" s="4"/>
    </row>
    <row r="777" ht="15.75" customHeight="1">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O777" s="4"/>
      <c r="AP777" s="4"/>
      <c r="AQ777" s="4"/>
      <c r="AR777" s="4"/>
      <c r="AS777" s="4"/>
      <c r="AT777" s="4"/>
      <c r="AU777" s="4"/>
      <c r="AV777" s="4"/>
      <c r="AW777" s="4"/>
      <c r="AX777" s="4"/>
      <c r="AY777" s="4"/>
      <c r="AZ777" s="4"/>
      <c r="BA777" s="4"/>
      <c r="BB777" s="4"/>
      <c r="BC777" s="4"/>
      <c r="BD777" s="4"/>
      <c r="BE777" s="4"/>
      <c r="BF777" s="4"/>
      <c r="BG777" s="4"/>
    </row>
    <row r="778" ht="15.75" customHeight="1">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O778" s="4"/>
      <c r="AP778" s="4"/>
      <c r="AQ778" s="4"/>
      <c r="AR778" s="4"/>
      <c r="AS778" s="4"/>
      <c r="AT778" s="4"/>
      <c r="AU778" s="4"/>
      <c r="AV778" s="4"/>
      <c r="AW778" s="4"/>
      <c r="AX778" s="4"/>
      <c r="AY778" s="4"/>
      <c r="AZ778" s="4"/>
      <c r="BA778" s="4"/>
      <c r="BB778" s="4"/>
      <c r="BC778" s="4"/>
      <c r="BD778" s="4"/>
      <c r="BE778" s="4"/>
      <c r="BF778" s="4"/>
      <c r="BG778" s="4"/>
    </row>
    <row r="779" ht="15.75" customHeight="1">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O779" s="4"/>
      <c r="AP779" s="4"/>
      <c r="AQ779" s="4"/>
      <c r="AR779" s="4"/>
      <c r="AS779" s="4"/>
      <c r="AT779" s="4"/>
      <c r="AU779" s="4"/>
      <c r="AV779" s="4"/>
      <c r="AW779" s="4"/>
      <c r="AX779" s="4"/>
      <c r="AY779" s="4"/>
      <c r="AZ779" s="4"/>
      <c r="BA779" s="4"/>
      <c r="BB779" s="4"/>
      <c r="BC779" s="4"/>
      <c r="BD779" s="4"/>
      <c r="BE779" s="4"/>
      <c r="BF779" s="4"/>
      <c r="BG779" s="4"/>
    </row>
    <row r="780" ht="15.75" customHeight="1">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O780" s="4"/>
      <c r="AP780" s="4"/>
      <c r="AQ780" s="4"/>
      <c r="AR780" s="4"/>
      <c r="AS780" s="4"/>
      <c r="AT780" s="4"/>
      <c r="AU780" s="4"/>
      <c r="AV780" s="4"/>
      <c r="AW780" s="4"/>
      <c r="AX780" s="4"/>
      <c r="AY780" s="4"/>
      <c r="AZ780" s="4"/>
      <c r="BA780" s="4"/>
      <c r="BB780" s="4"/>
      <c r="BC780" s="4"/>
      <c r="BD780" s="4"/>
      <c r="BE780" s="4"/>
      <c r="BF780" s="4"/>
      <c r="BG780" s="4"/>
    </row>
    <row r="781" ht="15.75" customHeight="1">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O781" s="4"/>
      <c r="AP781" s="4"/>
      <c r="AQ781" s="4"/>
      <c r="AR781" s="4"/>
      <c r="AS781" s="4"/>
      <c r="AT781" s="4"/>
      <c r="AU781" s="4"/>
      <c r="AV781" s="4"/>
      <c r="AW781" s="4"/>
      <c r="AX781" s="4"/>
      <c r="AY781" s="4"/>
      <c r="AZ781" s="4"/>
      <c r="BA781" s="4"/>
      <c r="BB781" s="4"/>
      <c r="BC781" s="4"/>
      <c r="BD781" s="4"/>
      <c r="BE781" s="4"/>
      <c r="BF781" s="4"/>
      <c r="BG781" s="4"/>
    </row>
    <row r="782" ht="15.75" customHeight="1">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O782" s="4"/>
      <c r="AP782" s="4"/>
      <c r="AQ782" s="4"/>
      <c r="AR782" s="4"/>
      <c r="AS782" s="4"/>
      <c r="AT782" s="4"/>
      <c r="AU782" s="4"/>
      <c r="AV782" s="4"/>
      <c r="AW782" s="4"/>
      <c r="AX782" s="4"/>
      <c r="AY782" s="4"/>
      <c r="AZ782" s="4"/>
      <c r="BA782" s="4"/>
      <c r="BB782" s="4"/>
      <c r="BC782" s="4"/>
      <c r="BD782" s="4"/>
      <c r="BE782" s="4"/>
      <c r="BF782" s="4"/>
      <c r="BG782" s="4"/>
    </row>
    <row r="783" ht="15.75" customHeight="1">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O783" s="4"/>
      <c r="AP783" s="4"/>
      <c r="AQ783" s="4"/>
      <c r="AR783" s="4"/>
      <c r="AS783" s="4"/>
      <c r="AT783" s="4"/>
      <c r="AU783" s="4"/>
      <c r="AV783" s="4"/>
      <c r="AW783" s="4"/>
      <c r="AX783" s="4"/>
      <c r="AY783" s="4"/>
      <c r="AZ783" s="4"/>
      <c r="BA783" s="4"/>
      <c r="BB783" s="4"/>
      <c r="BC783" s="4"/>
      <c r="BD783" s="4"/>
      <c r="BE783" s="4"/>
      <c r="BF783" s="4"/>
      <c r="BG783" s="4"/>
    </row>
    <row r="784" ht="15.75" customHeight="1">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O784" s="4"/>
      <c r="AP784" s="4"/>
      <c r="AQ784" s="4"/>
      <c r="AR784" s="4"/>
      <c r="AS784" s="4"/>
      <c r="AT784" s="4"/>
      <c r="AU784" s="4"/>
      <c r="AV784" s="4"/>
      <c r="AW784" s="4"/>
      <c r="AX784" s="4"/>
      <c r="AY784" s="4"/>
      <c r="AZ784" s="4"/>
      <c r="BA784" s="4"/>
      <c r="BB784" s="4"/>
      <c r="BC784" s="4"/>
      <c r="BD784" s="4"/>
      <c r="BE784" s="4"/>
      <c r="BF784" s="4"/>
      <c r="BG784" s="4"/>
    </row>
    <row r="785" ht="15.75" customHeight="1">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O785" s="4"/>
      <c r="AP785" s="4"/>
      <c r="AQ785" s="4"/>
      <c r="AR785" s="4"/>
      <c r="AS785" s="4"/>
      <c r="AT785" s="4"/>
      <c r="AU785" s="4"/>
      <c r="AV785" s="4"/>
      <c r="AW785" s="4"/>
      <c r="AX785" s="4"/>
      <c r="AY785" s="4"/>
      <c r="AZ785" s="4"/>
      <c r="BA785" s="4"/>
      <c r="BB785" s="4"/>
      <c r="BC785" s="4"/>
      <c r="BD785" s="4"/>
      <c r="BE785" s="4"/>
      <c r="BF785" s="4"/>
      <c r="BG785" s="4"/>
    </row>
    <row r="786" ht="15.75" customHeight="1">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O786" s="4"/>
      <c r="AP786" s="4"/>
      <c r="AQ786" s="4"/>
      <c r="AR786" s="4"/>
      <c r="AS786" s="4"/>
      <c r="AT786" s="4"/>
      <c r="AU786" s="4"/>
      <c r="AV786" s="4"/>
      <c r="AW786" s="4"/>
      <c r="AX786" s="4"/>
      <c r="AY786" s="4"/>
      <c r="AZ786" s="4"/>
      <c r="BA786" s="4"/>
      <c r="BB786" s="4"/>
      <c r="BC786" s="4"/>
      <c r="BD786" s="4"/>
      <c r="BE786" s="4"/>
      <c r="BF786" s="4"/>
      <c r="BG786" s="4"/>
    </row>
    <row r="787" ht="15.75" customHeight="1">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O787" s="4"/>
      <c r="AP787" s="4"/>
      <c r="AQ787" s="4"/>
      <c r="AR787" s="4"/>
      <c r="AS787" s="4"/>
      <c r="AT787" s="4"/>
      <c r="AU787" s="4"/>
      <c r="AV787" s="4"/>
      <c r="AW787" s="4"/>
      <c r="AX787" s="4"/>
      <c r="AY787" s="4"/>
      <c r="AZ787" s="4"/>
      <c r="BA787" s="4"/>
      <c r="BB787" s="4"/>
      <c r="BC787" s="4"/>
      <c r="BD787" s="4"/>
      <c r="BE787" s="4"/>
      <c r="BF787" s="4"/>
      <c r="BG787" s="4"/>
    </row>
    <row r="788" ht="15.75" customHeight="1">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O788" s="4"/>
      <c r="AP788" s="4"/>
      <c r="AQ788" s="4"/>
      <c r="AR788" s="4"/>
      <c r="AS788" s="4"/>
      <c r="AT788" s="4"/>
      <c r="AU788" s="4"/>
      <c r="AV788" s="4"/>
      <c r="AW788" s="4"/>
      <c r="AX788" s="4"/>
      <c r="AY788" s="4"/>
      <c r="AZ788" s="4"/>
      <c r="BA788" s="4"/>
      <c r="BB788" s="4"/>
      <c r="BC788" s="4"/>
      <c r="BD788" s="4"/>
      <c r="BE788" s="4"/>
      <c r="BF788" s="4"/>
      <c r="BG788" s="4"/>
    </row>
    <row r="789" ht="15.75" customHeight="1">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O789" s="4"/>
      <c r="AP789" s="4"/>
      <c r="AQ789" s="4"/>
      <c r="AR789" s="4"/>
      <c r="AS789" s="4"/>
      <c r="AT789" s="4"/>
      <c r="AU789" s="4"/>
      <c r="AV789" s="4"/>
      <c r="AW789" s="4"/>
      <c r="AX789" s="4"/>
      <c r="AY789" s="4"/>
      <c r="AZ789" s="4"/>
      <c r="BA789" s="4"/>
      <c r="BB789" s="4"/>
      <c r="BC789" s="4"/>
      <c r="BD789" s="4"/>
      <c r="BE789" s="4"/>
      <c r="BF789" s="4"/>
      <c r="BG789" s="4"/>
    </row>
    <row r="790" ht="15.75" customHeight="1">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O790" s="4"/>
      <c r="AP790" s="4"/>
      <c r="AQ790" s="4"/>
      <c r="AR790" s="4"/>
      <c r="AS790" s="4"/>
      <c r="AT790" s="4"/>
      <c r="AU790" s="4"/>
      <c r="AV790" s="4"/>
      <c r="AW790" s="4"/>
      <c r="AX790" s="4"/>
      <c r="AY790" s="4"/>
      <c r="AZ790" s="4"/>
      <c r="BA790" s="4"/>
      <c r="BB790" s="4"/>
      <c r="BC790" s="4"/>
      <c r="BD790" s="4"/>
      <c r="BE790" s="4"/>
      <c r="BF790" s="4"/>
      <c r="BG790" s="4"/>
    </row>
    <row r="791" ht="15.75" customHeight="1">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O791" s="4"/>
      <c r="AP791" s="4"/>
      <c r="AQ791" s="4"/>
      <c r="AR791" s="4"/>
      <c r="AS791" s="4"/>
      <c r="AT791" s="4"/>
      <c r="AU791" s="4"/>
      <c r="AV791" s="4"/>
      <c r="AW791" s="4"/>
      <c r="AX791" s="4"/>
      <c r="AY791" s="4"/>
      <c r="AZ791" s="4"/>
      <c r="BA791" s="4"/>
      <c r="BB791" s="4"/>
      <c r="BC791" s="4"/>
      <c r="BD791" s="4"/>
      <c r="BE791" s="4"/>
      <c r="BF791" s="4"/>
      <c r="BG791" s="4"/>
    </row>
    <row r="792" ht="15.75" customHeight="1">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O792" s="4"/>
      <c r="AP792" s="4"/>
      <c r="AQ792" s="4"/>
      <c r="AR792" s="4"/>
      <c r="AS792" s="4"/>
      <c r="AT792" s="4"/>
      <c r="AU792" s="4"/>
      <c r="AV792" s="4"/>
      <c r="AW792" s="4"/>
      <c r="AX792" s="4"/>
      <c r="AY792" s="4"/>
      <c r="AZ792" s="4"/>
      <c r="BA792" s="4"/>
      <c r="BB792" s="4"/>
      <c r="BC792" s="4"/>
      <c r="BD792" s="4"/>
      <c r="BE792" s="4"/>
      <c r="BF792" s="4"/>
      <c r="BG792" s="4"/>
    </row>
    <row r="793" ht="15.75" customHeight="1">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O793" s="4"/>
      <c r="AP793" s="4"/>
      <c r="AQ793" s="4"/>
      <c r="AR793" s="4"/>
      <c r="AS793" s="4"/>
      <c r="AT793" s="4"/>
      <c r="AU793" s="4"/>
      <c r="AV793" s="4"/>
      <c r="AW793" s="4"/>
      <c r="AX793" s="4"/>
      <c r="AY793" s="4"/>
      <c r="AZ793" s="4"/>
      <c r="BA793" s="4"/>
      <c r="BB793" s="4"/>
      <c r="BC793" s="4"/>
      <c r="BD793" s="4"/>
      <c r="BE793" s="4"/>
      <c r="BF793" s="4"/>
      <c r="BG793" s="4"/>
    </row>
    <row r="794" ht="15.75" customHeight="1">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O794" s="4"/>
      <c r="AP794" s="4"/>
      <c r="AQ794" s="4"/>
      <c r="AR794" s="4"/>
      <c r="AS794" s="4"/>
      <c r="AT794" s="4"/>
      <c r="AU794" s="4"/>
      <c r="AV794" s="4"/>
      <c r="AW794" s="4"/>
      <c r="AX794" s="4"/>
      <c r="AY794" s="4"/>
      <c r="AZ794" s="4"/>
      <c r="BA794" s="4"/>
      <c r="BB794" s="4"/>
      <c r="BC794" s="4"/>
      <c r="BD794" s="4"/>
      <c r="BE794" s="4"/>
      <c r="BF794" s="4"/>
      <c r="BG794" s="4"/>
    </row>
    <row r="795" ht="15.75" customHeight="1">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O795" s="4"/>
      <c r="AP795" s="4"/>
      <c r="AQ795" s="4"/>
      <c r="AR795" s="4"/>
      <c r="AS795" s="4"/>
      <c r="AT795" s="4"/>
      <c r="AU795" s="4"/>
      <c r="AV795" s="4"/>
      <c r="AW795" s="4"/>
      <c r="AX795" s="4"/>
      <c r="AY795" s="4"/>
      <c r="AZ795" s="4"/>
      <c r="BA795" s="4"/>
      <c r="BB795" s="4"/>
      <c r="BC795" s="4"/>
      <c r="BD795" s="4"/>
      <c r="BE795" s="4"/>
      <c r="BF795" s="4"/>
      <c r="BG795" s="4"/>
    </row>
    <row r="796" ht="15.75" customHeight="1">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O796" s="4"/>
      <c r="AP796" s="4"/>
      <c r="AQ796" s="4"/>
      <c r="AR796" s="4"/>
      <c r="AS796" s="4"/>
      <c r="AT796" s="4"/>
      <c r="AU796" s="4"/>
      <c r="AV796" s="4"/>
      <c r="AW796" s="4"/>
      <c r="AX796" s="4"/>
      <c r="AY796" s="4"/>
      <c r="AZ796" s="4"/>
      <c r="BA796" s="4"/>
      <c r="BB796" s="4"/>
      <c r="BC796" s="4"/>
      <c r="BD796" s="4"/>
      <c r="BE796" s="4"/>
      <c r="BF796" s="4"/>
      <c r="BG796" s="4"/>
    </row>
    <row r="797" ht="15.75" customHeight="1">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O797" s="4"/>
      <c r="AP797" s="4"/>
      <c r="AQ797" s="4"/>
      <c r="AR797" s="4"/>
      <c r="AS797" s="4"/>
      <c r="AT797" s="4"/>
      <c r="AU797" s="4"/>
      <c r="AV797" s="4"/>
      <c r="AW797" s="4"/>
      <c r="AX797" s="4"/>
      <c r="AY797" s="4"/>
      <c r="AZ797" s="4"/>
      <c r="BA797" s="4"/>
      <c r="BB797" s="4"/>
      <c r="BC797" s="4"/>
      <c r="BD797" s="4"/>
      <c r="BE797" s="4"/>
      <c r="BF797" s="4"/>
      <c r="BG797" s="4"/>
    </row>
    <row r="798" ht="15.75" customHeight="1">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O798" s="4"/>
      <c r="AP798" s="4"/>
      <c r="AQ798" s="4"/>
      <c r="AR798" s="4"/>
      <c r="AS798" s="4"/>
      <c r="AT798" s="4"/>
      <c r="AU798" s="4"/>
      <c r="AV798" s="4"/>
      <c r="AW798" s="4"/>
      <c r="AX798" s="4"/>
      <c r="AY798" s="4"/>
      <c r="AZ798" s="4"/>
      <c r="BA798" s="4"/>
      <c r="BB798" s="4"/>
      <c r="BC798" s="4"/>
      <c r="BD798" s="4"/>
      <c r="BE798" s="4"/>
      <c r="BF798" s="4"/>
      <c r="BG798" s="4"/>
    </row>
    <row r="799" ht="15.75" customHeight="1">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O799" s="4"/>
      <c r="AP799" s="4"/>
      <c r="AQ799" s="4"/>
      <c r="AR799" s="4"/>
      <c r="AS799" s="4"/>
      <c r="AT799" s="4"/>
      <c r="AU799" s="4"/>
      <c r="AV799" s="4"/>
      <c r="AW799" s="4"/>
      <c r="AX799" s="4"/>
      <c r="AY799" s="4"/>
      <c r="AZ799" s="4"/>
      <c r="BA799" s="4"/>
      <c r="BB799" s="4"/>
      <c r="BC799" s="4"/>
      <c r="BD799" s="4"/>
      <c r="BE799" s="4"/>
      <c r="BF799" s="4"/>
      <c r="BG799" s="4"/>
    </row>
    <row r="800" ht="15.75" customHeight="1">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O800" s="4"/>
      <c r="AP800" s="4"/>
      <c r="AQ800" s="4"/>
      <c r="AR800" s="4"/>
      <c r="AS800" s="4"/>
      <c r="AT800" s="4"/>
      <c r="AU800" s="4"/>
      <c r="AV800" s="4"/>
      <c r="AW800" s="4"/>
      <c r="AX800" s="4"/>
      <c r="AY800" s="4"/>
      <c r="AZ800" s="4"/>
      <c r="BA800" s="4"/>
      <c r="BB800" s="4"/>
      <c r="BC800" s="4"/>
      <c r="BD800" s="4"/>
      <c r="BE800" s="4"/>
      <c r="BF800" s="4"/>
      <c r="BG800" s="4"/>
    </row>
    <row r="801" ht="15.75" customHeight="1">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O801" s="4"/>
      <c r="AP801" s="4"/>
      <c r="AQ801" s="4"/>
      <c r="AR801" s="4"/>
      <c r="AS801" s="4"/>
      <c r="AT801" s="4"/>
      <c r="AU801" s="4"/>
      <c r="AV801" s="4"/>
      <c r="AW801" s="4"/>
      <c r="AX801" s="4"/>
      <c r="AY801" s="4"/>
      <c r="AZ801" s="4"/>
      <c r="BA801" s="4"/>
      <c r="BB801" s="4"/>
      <c r="BC801" s="4"/>
      <c r="BD801" s="4"/>
      <c r="BE801" s="4"/>
      <c r="BF801" s="4"/>
      <c r="BG801" s="4"/>
    </row>
    <row r="802" ht="15.75" customHeight="1">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O802" s="4"/>
      <c r="AP802" s="4"/>
      <c r="AQ802" s="4"/>
      <c r="AR802" s="4"/>
      <c r="AS802" s="4"/>
      <c r="AT802" s="4"/>
      <c r="AU802" s="4"/>
      <c r="AV802" s="4"/>
      <c r="AW802" s="4"/>
      <c r="AX802" s="4"/>
      <c r="AY802" s="4"/>
      <c r="AZ802" s="4"/>
      <c r="BA802" s="4"/>
      <c r="BB802" s="4"/>
      <c r="BC802" s="4"/>
      <c r="BD802" s="4"/>
      <c r="BE802" s="4"/>
      <c r="BF802" s="4"/>
      <c r="BG802" s="4"/>
    </row>
    <row r="803" ht="15.75" customHeight="1">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O803" s="4"/>
      <c r="AP803" s="4"/>
      <c r="AQ803" s="4"/>
      <c r="AR803" s="4"/>
      <c r="AS803" s="4"/>
      <c r="AT803" s="4"/>
      <c r="AU803" s="4"/>
      <c r="AV803" s="4"/>
      <c r="AW803" s="4"/>
      <c r="AX803" s="4"/>
      <c r="AY803" s="4"/>
      <c r="AZ803" s="4"/>
      <c r="BA803" s="4"/>
      <c r="BB803" s="4"/>
      <c r="BC803" s="4"/>
      <c r="BD803" s="4"/>
      <c r="BE803" s="4"/>
      <c r="BF803" s="4"/>
      <c r="BG803" s="4"/>
    </row>
    <row r="804" ht="15.75" customHeight="1">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O804" s="4"/>
      <c r="AP804" s="4"/>
      <c r="AQ804" s="4"/>
      <c r="AR804" s="4"/>
      <c r="AS804" s="4"/>
      <c r="AT804" s="4"/>
      <c r="AU804" s="4"/>
      <c r="AV804" s="4"/>
      <c r="AW804" s="4"/>
      <c r="AX804" s="4"/>
      <c r="AY804" s="4"/>
      <c r="AZ804" s="4"/>
      <c r="BA804" s="4"/>
      <c r="BB804" s="4"/>
      <c r="BC804" s="4"/>
      <c r="BD804" s="4"/>
      <c r="BE804" s="4"/>
      <c r="BF804" s="4"/>
      <c r="BG804" s="4"/>
    </row>
    <row r="805" ht="15.75" customHeight="1">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O805" s="4"/>
      <c r="AP805" s="4"/>
      <c r="AQ805" s="4"/>
      <c r="AR805" s="4"/>
      <c r="AS805" s="4"/>
      <c r="AT805" s="4"/>
      <c r="AU805" s="4"/>
      <c r="AV805" s="4"/>
      <c r="AW805" s="4"/>
      <c r="AX805" s="4"/>
      <c r="AY805" s="4"/>
      <c r="AZ805" s="4"/>
      <c r="BA805" s="4"/>
      <c r="BB805" s="4"/>
      <c r="BC805" s="4"/>
      <c r="BD805" s="4"/>
      <c r="BE805" s="4"/>
      <c r="BF805" s="4"/>
      <c r="BG805" s="4"/>
    </row>
    <row r="806" ht="15.75" customHeight="1">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O806" s="4"/>
      <c r="AP806" s="4"/>
      <c r="AQ806" s="4"/>
      <c r="AR806" s="4"/>
      <c r="AS806" s="4"/>
      <c r="AT806" s="4"/>
      <c r="AU806" s="4"/>
      <c r="AV806" s="4"/>
      <c r="AW806" s="4"/>
      <c r="AX806" s="4"/>
      <c r="AY806" s="4"/>
      <c r="AZ806" s="4"/>
      <c r="BA806" s="4"/>
      <c r="BB806" s="4"/>
      <c r="BC806" s="4"/>
      <c r="BD806" s="4"/>
      <c r="BE806" s="4"/>
      <c r="BF806" s="4"/>
      <c r="BG806" s="4"/>
    </row>
    <row r="807" ht="15.75" customHeight="1">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O807" s="4"/>
      <c r="AP807" s="4"/>
      <c r="AQ807" s="4"/>
      <c r="AR807" s="4"/>
      <c r="AS807" s="4"/>
      <c r="AT807" s="4"/>
      <c r="AU807" s="4"/>
      <c r="AV807" s="4"/>
      <c r="AW807" s="4"/>
      <c r="AX807" s="4"/>
      <c r="AY807" s="4"/>
      <c r="AZ807" s="4"/>
      <c r="BA807" s="4"/>
      <c r="BB807" s="4"/>
      <c r="BC807" s="4"/>
      <c r="BD807" s="4"/>
      <c r="BE807" s="4"/>
      <c r="BF807" s="4"/>
      <c r="BG807" s="4"/>
    </row>
    <row r="808" ht="15.75" customHeight="1">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O808" s="4"/>
      <c r="AP808" s="4"/>
      <c r="AQ808" s="4"/>
      <c r="AR808" s="4"/>
      <c r="AS808" s="4"/>
      <c r="AT808" s="4"/>
      <c r="AU808" s="4"/>
      <c r="AV808" s="4"/>
      <c r="AW808" s="4"/>
      <c r="AX808" s="4"/>
      <c r="AY808" s="4"/>
      <c r="AZ808" s="4"/>
      <c r="BA808" s="4"/>
      <c r="BB808" s="4"/>
      <c r="BC808" s="4"/>
      <c r="BD808" s="4"/>
      <c r="BE808" s="4"/>
      <c r="BF808" s="4"/>
      <c r="BG808" s="4"/>
    </row>
    <row r="809" ht="15.75" customHeight="1">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O809" s="4"/>
      <c r="AP809" s="4"/>
      <c r="AQ809" s="4"/>
      <c r="AR809" s="4"/>
      <c r="AS809" s="4"/>
      <c r="AT809" s="4"/>
      <c r="AU809" s="4"/>
      <c r="AV809" s="4"/>
      <c r="AW809" s="4"/>
      <c r="AX809" s="4"/>
      <c r="AY809" s="4"/>
      <c r="AZ809" s="4"/>
      <c r="BA809" s="4"/>
      <c r="BB809" s="4"/>
      <c r="BC809" s="4"/>
      <c r="BD809" s="4"/>
      <c r="BE809" s="4"/>
      <c r="BF809" s="4"/>
      <c r="BG809" s="4"/>
    </row>
    <row r="810" ht="15.75" customHeight="1">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O810" s="4"/>
      <c r="AP810" s="4"/>
      <c r="AQ810" s="4"/>
      <c r="AR810" s="4"/>
      <c r="AS810" s="4"/>
      <c r="AT810" s="4"/>
      <c r="AU810" s="4"/>
      <c r="AV810" s="4"/>
      <c r="AW810" s="4"/>
      <c r="AX810" s="4"/>
      <c r="AY810" s="4"/>
      <c r="AZ810" s="4"/>
      <c r="BA810" s="4"/>
      <c r="BB810" s="4"/>
      <c r="BC810" s="4"/>
      <c r="BD810" s="4"/>
      <c r="BE810" s="4"/>
      <c r="BF810" s="4"/>
      <c r="BG810" s="4"/>
    </row>
    <row r="811" ht="15.75" customHeight="1">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O811" s="4"/>
      <c r="AP811" s="4"/>
      <c r="AQ811" s="4"/>
      <c r="AR811" s="4"/>
      <c r="AS811" s="4"/>
      <c r="AT811" s="4"/>
      <c r="AU811" s="4"/>
      <c r="AV811" s="4"/>
      <c r="AW811" s="4"/>
      <c r="AX811" s="4"/>
      <c r="AY811" s="4"/>
      <c r="AZ811" s="4"/>
      <c r="BA811" s="4"/>
      <c r="BB811" s="4"/>
      <c r="BC811" s="4"/>
      <c r="BD811" s="4"/>
      <c r="BE811" s="4"/>
      <c r="BF811" s="4"/>
      <c r="BG811" s="4"/>
    </row>
    <row r="812" ht="15.75" customHeight="1">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O812" s="4"/>
      <c r="AP812" s="4"/>
      <c r="AQ812" s="4"/>
      <c r="AR812" s="4"/>
      <c r="AS812" s="4"/>
      <c r="AT812" s="4"/>
      <c r="AU812" s="4"/>
      <c r="AV812" s="4"/>
      <c r="AW812" s="4"/>
      <c r="AX812" s="4"/>
      <c r="AY812" s="4"/>
      <c r="AZ812" s="4"/>
      <c r="BA812" s="4"/>
      <c r="BB812" s="4"/>
      <c r="BC812" s="4"/>
      <c r="BD812" s="4"/>
      <c r="BE812" s="4"/>
      <c r="BF812" s="4"/>
      <c r="BG812" s="4"/>
    </row>
    <row r="813" ht="15.75" customHeight="1">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O813" s="4"/>
      <c r="AP813" s="4"/>
      <c r="AQ813" s="4"/>
      <c r="AR813" s="4"/>
      <c r="AS813" s="4"/>
      <c r="AT813" s="4"/>
      <c r="AU813" s="4"/>
      <c r="AV813" s="4"/>
      <c r="AW813" s="4"/>
      <c r="AX813" s="4"/>
      <c r="AY813" s="4"/>
      <c r="AZ813" s="4"/>
      <c r="BA813" s="4"/>
      <c r="BB813" s="4"/>
      <c r="BC813" s="4"/>
      <c r="BD813" s="4"/>
      <c r="BE813" s="4"/>
      <c r="BF813" s="4"/>
      <c r="BG813" s="4"/>
    </row>
    <row r="814" ht="15.75" customHeight="1">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O814" s="4"/>
      <c r="AP814" s="4"/>
      <c r="AQ814" s="4"/>
      <c r="AR814" s="4"/>
      <c r="AS814" s="4"/>
      <c r="AT814" s="4"/>
      <c r="AU814" s="4"/>
      <c r="AV814" s="4"/>
      <c r="AW814" s="4"/>
      <c r="AX814" s="4"/>
      <c r="AY814" s="4"/>
      <c r="AZ814" s="4"/>
      <c r="BA814" s="4"/>
      <c r="BB814" s="4"/>
      <c r="BC814" s="4"/>
      <c r="BD814" s="4"/>
      <c r="BE814" s="4"/>
      <c r="BF814" s="4"/>
      <c r="BG814" s="4"/>
    </row>
    <row r="815" ht="15.75" customHeight="1">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O815" s="4"/>
      <c r="AP815" s="4"/>
      <c r="AQ815" s="4"/>
      <c r="AR815" s="4"/>
      <c r="AS815" s="4"/>
      <c r="AT815" s="4"/>
      <c r="AU815" s="4"/>
      <c r="AV815" s="4"/>
      <c r="AW815" s="4"/>
      <c r="AX815" s="4"/>
      <c r="AY815" s="4"/>
      <c r="AZ815" s="4"/>
      <c r="BA815" s="4"/>
      <c r="BB815" s="4"/>
      <c r="BC815" s="4"/>
      <c r="BD815" s="4"/>
      <c r="BE815" s="4"/>
      <c r="BF815" s="4"/>
      <c r="BG815" s="4"/>
    </row>
    <row r="816" ht="15.75" customHeight="1">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O816" s="4"/>
      <c r="AP816" s="4"/>
      <c r="AQ816" s="4"/>
      <c r="AR816" s="4"/>
      <c r="AS816" s="4"/>
      <c r="AT816" s="4"/>
      <c r="AU816" s="4"/>
      <c r="AV816" s="4"/>
      <c r="AW816" s="4"/>
      <c r="AX816" s="4"/>
      <c r="AY816" s="4"/>
      <c r="AZ816" s="4"/>
      <c r="BA816" s="4"/>
      <c r="BB816" s="4"/>
      <c r="BC816" s="4"/>
      <c r="BD816" s="4"/>
      <c r="BE816" s="4"/>
      <c r="BF816" s="4"/>
      <c r="BG816" s="4"/>
    </row>
    <row r="817" ht="15.75" customHeight="1">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O817" s="4"/>
      <c r="AP817" s="4"/>
      <c r="AQ817" s="4"/>
      <c r="AR817" s="4"/>
      <c r="AS817" s="4"/>
      <c r="AT817" s="4"/>
      <c r="AU817" s="4"/>
      <c r="AV817" s="4"/>
      <c r="AW817" s="4"/>
      <c r="AX817" s="4"/>
      <c r="AY817" s="4"/>
      <c r="AZ817" s="4"/>
      <c r="BA817" s="4"/>
      <c r="BB817" s="4"/>
      <c r="BC817" s="4"/>
      <c r="BD817" s="4"/>
      <c r="BE817" s="4"/>
      <c r="BF817" s="4"/>
      <c r="BG817" s="4"/>
    </row>
    <row r="818" ht="15.75" customHeight="1">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O818" s="4"/>
      <c r="AP818" s="4"/>
      <c r="AQ818" s="4"/>
      <c r="AR818" s="4"/>
      <c r="AS818" s="4"/>
      <c r="AT818" s="4"/>
      <c r="AU818" s="4"/>
      <c r="AV818" s="4"/>
      <c r="AW818" s="4"/>
      <c r="AX818" s="4"/>
      <c r="AY818" s="4"/>
      <c r="AZ818" s="4"/>
      <c r="BA818" s="4"/>
      <c r="BB818" s="4"/>
      <c r="BC818" s="4"/>
      <c r="BD818" s="4"/>
      <c r="BE818" s="4"/>
      <c r="BF818" s="4"/>
      <c r="BG818" s="4"/>
    </row>
    <row r="819" ht="15.75" customHeight="1">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O819" s="4"/>
      <c r="AP819" s="4"/>
      <c r="AQ819" s="4"/>
      <c r="AR819" s="4"/>
      <c r="AS819" s="4"/>
      <c r="AT819" s="4"/>
      <c r="AU819" s="4"/>
      <c r="AV819" s="4"/>
      <c r="AW819" s="4"/>
      <c r="AX819" s="4"/>
      <c r="AY819" s="4"/>
      <c r="AZ819" s="4"/>
      <c r="BA819" s="4"/>
      <c r="BB819" s="4"/>
      <c r="BC819" s="4"/>
      <c r="BD819" s="4"/>
      <c r="BE819" s="4"/>
      <c r="BF819" s="4"/>
      <c r="BG819" s="4"/>
    </row>
    <row r="820" ht="15.75" customHeight="1">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O820" s="4"/>
      <c r="AP820" s="4"/>
      <c r="AQ820" s="4"/>
      <c r="AR820" s="4"/>
      <c r="AS820" s="4"/>
      <c r="AT820" s="4"/>
      <c r="AU820" s="4"/>
      <c r="AV820" s="4"/>
      <c r="AW820" s="4"/>
      <c r="AX820" s="4"/>
      <c r="AY820" s="4"/>
      <c r="AZ820" s="4"/>
      <c r="BA820" s="4"/>
      <c r="BB820" s="4"/>
      <c r="BC820" s="4"/>
      <c r="BD820" s="4"/>
      <c r="BE820" s="4"/>
      <c r="BF820" s="4"/>
      <c r="BG820" s="4"/>
    </row>
    <row r="821" ht="15.75" customHeight="1">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O821" s="4"/>
      <c r="AP821" s="4"/>
      <c r="AQ821" s="4"/>
      <c r="AR821" s="4"/>
      <c r="AS821" s="4"/>
      <c r="AT821" s="4"/>
      <c r="AU821" s="4"/>
      <c r="AV821" s="4"/>
      <c r="AW821" s="4"/>
      <c r="AX821" s="4"/>
      <c r="AY821" s="4"/>
      <c r="AZ821" s="4"/>
      <c r="BA821" s="4"/>
      <c r="BB821" s="4"/>
      <c r="BC821" s="4"/>
      <c r="BD821" s="4"/>
      <c r="BE821" s="4"/>
      <c r="BF821" s="4"/>
      <c r="BG821" s="4"/>
    </row>
    <row r="822" ht="15.75" customHeight="1">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O822" s="4"/>
      <c r="AP822" s="4"/>
      <c r="AQ822" s="4"/>
      <c r="AR822" s="4"/>
      <c r="AS822" s="4"/>
      <c r="AT822" s="4"/>
      <c r="AU822" s="4"/>
      <c r="AV822" s="4"/>
      <c r="AW822" s="4"/>
      <c r="AX822" s="4"/>
      <c r="AY822" s="4"/>
      <c r="AZ822" s="4"/>
      <c r="BA822" s="4"/>
      <c r="BB822" s="4"/>
      <c r="BC822" s="4"/>
      <c r="BD822" s="4"/>
      <c r="BE822" s="4"/>
      <c r="BF822" s="4"/>
      <c r="BG822" s="4"/>
    </row>
    <row r="823" ht="15.75" customHeight="1">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O823" s="4"/>
      <c r="AP823" s="4"/>
      <c r="AQ823" s="4"/>
      <c r="AR823" s="4"/>
      <c r="AS823" s="4"/>
      <c r="AT823" s="4"/>
      <c r="AU823" s="4"/>
      <c r="AV823" s="4"/>
      <c r="AW823" s="4"/>
      <c r="AX823" s="4"/>
      <c r="AY823" s="4"/>
      <c r="AZ823" s="4"/>
      <c r="BA823" s="4"/>
      <c r="BB823" s="4"/>
      <c r="BC823" s="4"/>
      <c r="BD823" s="4"/>
      <c r="BE823" s="4"/>
      <c r="BF823" s="4"/>
      <c r="BG823" s="4"/>
    </row>
    <row r="824" ht="15.75" customHeight="1">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O824" s="4"/>
      <c r="AP824" s="4"/>
      <c r="AQ824" s="4"/>
      <c r="AR824" s="4"/>
      <c r="AS824" s="4"/>
      <c r="AT824" s="4"/>
      <c r="AU824" s="4"/>
      <c r="AV824" s="4"/>
      <c r="AW824" s="4"/>
      <c r="AX824" s="4"/>
      <c r="AY824" s="4"/>
      <c r="AZ824" s="4"/>
      <c r="BA824" s="4"/>
      <c r="BB824" s="4"/>
      <c r="BC824" s="4"/>
      <c r="BD824" s="4"/>
      <c r="BE824" s="4"/>
      <c r="BF824" s="4"/>
      <c r="BG824" s="4"/>
    </row>
    <row r="825" ht="15.75" customHeight="1">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O825" s="4"/>
      <c r="AP825" s="4"/>
      <c r="AQ825" s="4"/>
      <c r="AR825" s="4"/>
      <c r="AS825" s="4"/>
      <c r="AT825" s="4"/>
      <c r="AU825" s="4"/>
      <c r="AV825" s="4"/>
      <c r="AW825" s="4"/>
      <c r="AX825" s="4"/>
      <c r="AY825" s="4"/>
      <c r="AZ825" s="4"/>
      <c r="BA825" s="4"/>
      <c r="BB825" s="4"/>
      <c r="BC825" s="4"/>
      <c r="BD825" s="4"/>
      <c r="BE825" s="4"/>
      <c r="BF825" s="4"/>
      <c r="BG825" s="4"/>
    </row>
    <row r="826" ht="15.75" customHeight="1">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O826" s="4"/>
      <c r="AP826" s="4"/>
      <c r="AQ826" s="4"/>
      <c r="AR826" s="4"/>
      <c r="AS826" s="4"/>
      <c r="AT826" s="4"/>
      <c r="AU826" s="4"/>
      <c r="AV826" s="4"/>
      <c r="AW826" s="4"/>
      <c r="AX826" s="4"/>
      <c r="AY826" s="4"/>
      <c r="AZ826" s="4"/>
      <c r="BA826" s="4"/>
      <c r="BB826" s="4"/>
      <c r="BC826" s="4"/>
      <c r="BD826" s="4"/>
      <c r="BE826" s="4"/>
      <c r="BF826" s="4"/>
      <c r="BG826" s="4"/>
    </row>
    <row r="827" ht="15.75" customHeight="1">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O827" s="4"/>
      <c r="AP827" s="4"/>
      <c r="AQ827" s="4"/>
      <c r="AR827" s="4"/>
      <c r="AS827" s="4"/>
      <c r="AT827" s="4"/>
      <c r="AU827" s="4"/>
      <c r="AV827" s="4"/>
      <c r="AW827" s="4"/>
      <c r="AX827" s="4"/>
      <c r="AY827" s="4"/>
      <c r="AZ827" s="4"/>
      <c r="BA827" s="4"/>
      <c r="BB827" s="4"/>
      <c r="BC827" s="4"/>
      <c r="BD827" s="4"/>
      <c r="BE827" s="4"/>
      <c r="BF827" s="4"/>
      <c r="BG827" s="4"/>
    </row>
    <row r="828" ht="15.75" customHeight="1">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O828" s="4"/>
      <c r="AP828" s="4"/>
      <c r="AQ828" s="4"/>
      <c r="AR828" s="4"/>
      <c r="AS828" s="4"/>
      <c r="AT828" s="4"/>
      <c r="AU828" s="4"/>
      <c r="AV828" s="4"/>
      <c r="AW828" s="4"/>
      <c r="AX828" s="4"/>
      <c r="AY828" s="4"/>
      <c r="AZ828" s="4"/>
      <c r="BA828" s="4"/>
      <c r="BB828" s="4"/>
      <c r="BC828" s="4"/>
      <c r="BD828" s="4"/>
      <c r="BE828" s="4"/>
      <c r="BF828" s="4"/>
      <c r="BG828" s="4"/>
    </row>
    <row r="829" ht="15.75" customHeight="1">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O829" s="4"/>
      <c r="AP829" s="4"/>
      <c r="AQ829" s="4"/>
      <c r="AR829" s="4"/>
      <c r="AS829" s="4"/>
      <c r="AT829" s="4"/>
      <c r="AU829" s="4"/>
      <c r="AV829" s="4"/>
      <c r="AW829" s="4"/>
      <c r="AX829" s="4"/>
      <c r="AY829" s="4"/>
      <c r="AZ829" s="4"/>
      <c r="BA829" s="4"/>
      <c r="BB829" s="4"/>
      <c r="BC829" s="4"/>
      <c r="BD829" s="4"/>
      <c r="BE829" s="4"/>
      <c r="BF829" s="4"/>
      <c r="BG829" s="4"/>
    </row>
    <row r="830" ht="15.75" customHeight="1">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O830" s="4"/>
      <c r="AP830" s="4"/>
      <c r="AQ830" s="4"/>
      <c r="AR830" s="4"/>
      <c r="AS830" s="4"/>
      <c r="AT830" s="4"/>
      <c r="AU830" s="4"/>
      <c r="AV830" s="4"/>
      <c r="AW830" s="4"/>
      <c r="AX830" s="4"/>
      <c r="AY830" s="4"/>
      <c r="AZ830" s="4"/>
      <c r="BA830" s="4"/>
      <c r="BB830" s="4"/>
      <c r="BC830" s="4"/>
      <c r="BD830" s="4"/>
      <c r="BE830" s="4"/>
      <c r="BF830" s="4"/>
      <c r="BG830" s="4"/>
    </row>
    <row r="831" ht="15.75" customHeight="1">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O831" s="4"/>
      <c r="AP831" s="4"/>
      <c r="AQ831" s="4"/>
      <c r="AR831" s="4"/>
      <c r="AS831" s="4"/>
      <c r="AT831" s="4"/>
      <c r="AU831" s="4"/>
      <c r="AV831" s="4"/>
      <c r="AW831" s="4"/>
      <c r="AX831" s="4"/>
      <c r="AY831" s="4"/>
      <c r="AZ831" s="4"/>
      <c r="BA831" s="4"/>
      <c r="BB831" s="4"/>
      <c r="BC831" s="4"/>
      <c r="BD831" s="4"/>
      <c r="BE831" s="4"/>
      <c r="BF831" s="4"/>
      <c r="BG831" s="4"/>
    </row>
    <row r="832" ht="15.75" customHeight="1">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O832" s="4"/>
      <c r="AP832" s="4"/>
      <c r="AQ832" s="4"/>
      <c r="AR832" s="4"/>
      <c r="AS832" s="4"/>
      <c r="AT832" s="4"/>
      <c r="AU832" s="4"/>
      <c r="AV832" s="4"/>
      <c r="AW832" s="4"/>
      <c r="AX832" s="4"/>
      <c r="AY832" s="4"/>
      <c r="AZ832" s="4"/>
      <c r="BA832" s="4"/>
      <c r="BB832" s="4"/>
      <c r="BC832" s="4"/>
      <c r="BD832" s="4"/>
      <c r="BE832" s="4"/>
      <c r="BF832" s="4"/>
      <c r="BG832" s="4"/>
    </row>
    <row r="833" ht="15.75" customHeight="1">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O833" s="4"/>
      <c r="AP833" s="4"/>
      <c r="AQ833" s="4"/>
      <c r="AR833" s="4"/>
      <c r="AS833" s="4"/>
      <c r="AT833" s="4"/>
      <c r="AU833" s="4"/>
      <c r="AV833" s="4"/>
      <c r="AW833" s="4"/>
      <c r="AX833" s="4"/>
      <c r="AY833" s="4"/>
      <c r="AZ833" s="4"/>
      <c r="BA833" s="4"/>
      <c r="BB833" s="4"/>
      <c r="BC833" s="4"/>
      <c r="BD833" s="4"/>
      <c r="BE833" s="4"/>
      <c r="BF833" s="4"/>
      <c r="BG833" s="4"/>
    </row>
    <row r="834" ht="15.75" customHeight="1">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O834" s="4"/>
      <c r="AP834" s="4"/>
      <c r="AQ834" s="4"/>
      <c r="AR834" s="4"/>
      <c r="AS834" s="4"/>
      <c r="AT834" s="4"/>
      <c r="AU834" s="4"/>
      <c r="AV834" s="4"/>
      <c r="AW834" s="4"/>
      <c r="AX834" s="4"/>
      <c r="AY834" s="4"/>
      <c r="AZ834" s="4"/>
      <c r="BA834" s="4"/>
      <c r="BB834" s="4"/>
      <c r="BC834" s="4"/>
      <c r="BD834" s="4"/>
      <c r="BE834" s="4"/>
      <c r="BF834" s="4"/>
      <c r="BG834" s="4"/>
    </row>
    <row r="835" ht="15.75" customHeight="1">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O835" s="4"/>
      <c r="AP835" s="4"/>
      <c r="AQ835" s="4"/>
      <c r="AR835" s="4"/>
      <c r="AS835" s="4"/>
      <c r="AT835" s="4"/>
      <c r="AU835" s="4"/>
      <c r="AV835" s="4"/>
      <c r="AW835" s="4"/>
      <c r="AX835" s="4"/>
      <c r="AY835" s="4"/>
      <c r="AZ835" s="4"/>
      <c r="BA835" s="4"/>
      <c r="BB835" s="4"/>
      <c r="BC835" s="4"/>
      <c r="BD835" s="4"/>
      <c r="BE835" s="4"/>
      <c r="BF835" s="4"/>
      <c r="BG835" s="4"/>
    </row>
    <row r="836" ht="15.75" customHeight="1">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O836" s="4"/>
      <c r="AP836" s="4"/>
      <c r="AQ836" s="4"/>
      <c r="AR836" s="4"/>
      <c r="AS836" s="4"/>
      <c r="AT836" s="4"/>
      <c r="AU836" s="4"/>
      <c r="AV836" s="4"/>
      <c r="AW836" s="4"/>
      <c r="AX836" s="4"/>
      <c r="AY836" s="4"/>
      <c r="AZ836" s="4"/>
      <c r="BA836" s="4"/>
      <c r="BB836" s="4"/>
      <c r="BC836" s="4"/>
      <c r="BD836" s="4"/>
      <c r="BE836" s="4"/>
      <c r="BF836" s="4"/>
      <c r="BG836" s="4"/>
    </row>
    <row r="837" ht="15.75" customHeight="1">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O837" s="4"/>
      <c r="AP837" s="4"/>
      <c r="AQ837" s="4"/>
      <c r="AR837" s="4"/>
      <c r="AS837" s="4"/>
      <c r="AT837" s="4"/>
      <c r="AU837" s="4"/>
      <c r="AV837" s="4"/>
      <c r="AW837" s="4"/>
      <c r="AX837" s="4"/>
      <c r="AY837" s="4"/>
      <c r="AZ837" s="4"/>
      <c r="BA837" s="4"/>
      <c r="BB837" s="4"/>
      <c r="BC837" s="4"/>
      <c r="BD837" s="4"/>
      <c r="BE837" s="4"/>
      <c r="BF837" s="4"/>
      <c r="BG837" s="4"/>
    </row>
    <row r="838" ht="15.75" customHeight="1">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O838" s="4"/>
      <c r="AP838" s="4"/>
      <c r="AQ838" s="4"/>
      <c r="AR838" s="4"/>
      <c r="AS838" s="4"/>
      <c r="AT838" s="4"/>
      <c r="AU838" s="4"/>
      <c r="AV838" s="4"/>
      <c r="AW838" s="4"/>
      <c r="AX838" s="4"/>
      <c r="AY838" s="4"/>
      <c r="AZ838" s="4"/>
      <c r="BA838" s="4"/>
      <c r="BB838" s="4"/>
      <c r="BC838" s="4"/>
      <c r="BD838" s="4"/>
      <c r="BE838" s="4"/>
      <c r="BF838" s="4"/>
      <c r="BG838" s="4"/>
    </row>
    <row r="839" ht="15.75" customHeight="1">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O839" s="4"/>
      <c r="AP839" s="4"/>
      <c r="AQ839" s="4"/>
      <c r="AR839" s="4"/>
      <c r="AS839" s="4"/>
      <c r="AT839" s="4"/>
      <c r="AU839" s="4"/>
      <c r="AV839" s="4"/>
      <c r="AW839" s="4"/>
      <c r="AX839" s="4"/>
      <c r="AY839" s="4"/>
      <c r="AZ839" s="4"/>
      <c r="BA839" s="4"/>
      <c r="BB839" s="4"/>
      <c r="BC839" s="4"/>
      <c r="BD839" s="4"/>
      <c r="BE839" s="4"/>
      <c r="BF839" s="4"/>
      <c r="BG839" s="4"/>
    </row>
    <row r="840" ht="15.75" customHeight="1">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O840" s="4"/>
      <c r="AP840" s="4"/>
      <c r="AQ840" s="4"/>
      <c r="AR840" s="4"/>
      <c r="AS840" s="4"/>
      <c r="AT840" s="4"/>
      <c r="AU840" s="4"/>
      <c r="AV840" s="4"/>
      <c r="AW840" s="4"/>
      <c r="AX840" s="4"/>
      <c r="AY840" s="4"/>
      <c r="AZ840" s="4"/>
      <c r="BA840" s="4"/>
      <c r="BB840" s="4"/>
      <c r="BC840" s="4"/>
      <c r="BD840" s="4"/>
      <c r="BE840" s="4"/>
      <c r="BF840" s="4"/>
      <c r="BG840" s="4"/>
    </row>
    <row r="841" ht="15.75" customHeight="1">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O841" s="4"/>
      <c r="AP841" s="4"/>
      <c r="AQ841" s="4"/>
      <c r="AR841" s="4"/>
      <c r="AS841" s="4"/>
      <c r="AT841" s="4"/>
      <c r="AU841" s="4"/>
      <c r="AV841" s="4"/>
      <c r="AW841" s="4"/>
      <c r="AX841" s="4"/>
      <c r="AY841" s="4"/>
      <c r="AZ841" s="4"/>
      <c r="BA841" s="4"/>
      <c r="BB841" s="4"/>
      <c r="BC841" s="4"/>
      <c r="BD841" s="4"/>
      <c r="BE841" s="4"/>
      <c r="BF841" s="4"/>
      <c r="BG841" s="4"/>
    </row>
    <row r="842" ht="15.75" customHeight="1">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O842" s="4"/>
      <c r="AP842" s="4"/>
      <c r="AQ842" s="4"/>
      <c r="AR842" s="4"/>
      <c r="AS842" s="4"/>
      <c r="AT842" s="4"/>
      <c r="AU842" s="4"/>
      <c r="AV842" s="4"/>
      <c r="AW842" s="4"/>
      <c r="AX842" s="4"/>
      <c r="AY842" s="4"/>
      <c r="AZ842" s="4"/>
      <c r="BA842" s="4"/>
      <c r="BB842" s="4"/>
      <c r="BC842" s="4"/>
      <c r="BD842" s="4"/>
      <c r="BE842" s="4"/>
      <c r="BF842" s="4"/>
      <c r="BG842" s="4"/>
    </row>
    <row r="843" ht="15.75" customHeight="1">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O843" s="4"/>
      <c r="AP843" s="4"/>
      <c r="AQ843" s="4"/>
      <c r="AR843" s="4"/>
      <c r="AS843" s="4"/>
      <c r="AT843" s="4"/>
      <c r="AU843" s="4"/>
      <c r="AV843" s="4"/>
      <c r="AW843" s="4"/>
      <c r="AX843" s="4"/>
      <c r="AY843" s="4"/>
      <c r="AZ843" s="4"/>
      <c r="BA843" s="4"/>
      <c r="BB843" s="4"/>
      <c r="BC843" s="4"/>
      <c r="BD843" s="4"/>
      <c r="BE843" s="4"/>
      <c r="BF843" s="4"/>
      <c r="BG843" s="4"/>
    </row>
    <row r="844" ht="15.75" customHeight="1">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O844" s="4"/>
      <c r="AP844" s="4"/>
      <c r="AQ844" s="4"/>
      <c r="AR844" s="4"/>
      <c r="AS844" s="4"/>
      <c r="AT844" s="4"/>
      <c r="AU844" s="4"/>
      <c r="AV844" s="4"/>
      <c r="AW844" s="4"/>
      <c r="AX844" s="4"/>
      <c r="AY844" s="4"/>
      <c r="AZ844" s="4"/>
      <c r="BA844" s="4"/>
      <c r="BB844" s="4"/>
      <c r="BC844" s="4"/>
      <c r="BD844" s="4"/>
      <c r="BE844" s="4"/>
      <c r="BF844" s="4"/>
      <c r="BG844" s="4"/>
    </row>
    <row r="845" ht="15.75" customHeight="1">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O845" s="4"/>
      <c r="AP845" s="4"/>
      <c r="AQ845" s="4"/>
      <c r="AR845" s="4"/>
      <c r="AS845" s="4"/>
      <c r="AT845" s="4"/>
      <c r="AU845" s="4"/>
      <c r="AV845" s="4"/>
      <c r="AW845" s="4"/>
      <c r="AX845" s="4"/>
      <c r="AY845" s="4"/>
      <c r="AZ845" s="4"/>
      <c r="BA845" s="4"/>
      <c r="BB845" s="4"/>
      <c r="BC845" s="4"/>
      <c r="BD845" s="4"/>
      <c r="BE845" s="4"/>
      <c r="BF845" s="4"/>
      <c r="BG845" s="4"/>
    </row>
    <row r="846" ht="15.75" customHeight="1">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O846" s="4"/>
      <c r="AP846" s="4"/>
      <c r="AQ846" s="4"/>
      <c r="AR846" s="4"/>
      <c r="AS846" s="4"/>
      <c r="AT846" s="4"/>
      <c r="AU846" s="4"/>
      <c r="AV846" s="4"/>
      <c r="AW846" s="4"/>
      <c r="AX846" s="4"/>
      <c r="AY846" s="4"/>
      <c r="AZ846" s="4"/>
      <c r="BA846" s="4"/>
      <c r="BB846" s="4"/>
      <c r="BC846" s="4"/>
      <c r="BD846" s="4"/>
      <c r="BE846" s="4"/>
      <c r="BF846" s="4"/>
      <c r="BG846" s="4"/>
    </row>
    <row r="847" ht="15.75" customHeight="1">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O847" s="4"/>
      <c r="AP847" s="4"/>
      <c r="AQ847" s="4"/>
      <c r="AR847" s="4"/>
      <c r="AS847" s="4"/>
      <c r="AT847" s="4"/>
      <c r="AU847" s="4"/>
      <c r="AV847" s="4"/>
      <c r="AW847" s="4"/>
      <c r="AX847" s="4"/>
      <c r="AY847" s="4"/>
      <c r="AZ847" s="4"/>
      <c r="BA847" s="4"/>
      <c r="BB847" s="4"/>
      <c r="BC847" s="4"/>
      <c r="BD847" s="4"/>
      <c r="BE847" s="4"/>
      <c r="BF847" s="4"/>
      <c r="BG847" s="4"/>
    </row>
    <row r="848" ht="15.75" customHeight="1">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O848" s="4"/>
      <c r="AP848" s="4"/>
      <c r="AQ848" s="4"/>
      <c r="AR848" s="4"/>
      <c r="AS848" s="4"/>
      <c r="AT848" s="4"/>
      <c r="AU848" s="4"/>
      <c r="AV848" s="4"/>
      <c r="AW848" s="4"/>
      <c r="AX848" s="4"/>
      <c r="AY848" s="4"/>
      <c r="AZ848" s="4"/>
      <c r="BA848" s="4"/>
      <c r="BB848" s="4"/>
      <c r="BC848" s="4"/>
      <c r="BD848" s="4"/>
      <c r="BE848" s="4"/>
      <c r="BF848" s="4"/>
      <c r="BG848" s="4"/>
    </row>
    <row r="849" ht="15.75" customHeight="1">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O849" s="4"/>
      <c r="AP849" s="4"/>
      <c r="AQ849" s="4"/>
      <c r="AR849" s="4"/>
      <c r="AS849" s="4"/>
      <c r="AT849" s="4"/>
      <c r="AU849" s="4"/>
      <c r="AV849" s="4"/>
      <c r="AW849" s="4"/>
      <c r="AX849" s="4"/>
      <c r="AY849" s="4"/>
      <c r="AZ849" s="4"/>
      <c r="BA849" s="4"/>
      <c r="BB849" s="4"/>
      <c r="BC849" s="4"/>
      <c r="BD849" s="4"/>
      <c r="BE849" s="4"/>
      <c r="BF849" s="4"/>
      <c r="BG849" s="4"/>
    </row>
    <row r="850" ht="15.75" customHeight="1">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O850" s="4"/>
      <c r="AP850" s="4"/>
      <c r="AQ850" s="4"/>
      <c r="AR850" s="4"/>
      <c r="AS850" s="4"/>
      <c r="AT850" s="4"/>
      <c r="AU850" s="4"/>
      <c r="AV850" s="4"/>
      <c r="AW850" s="4"/>
      <c r="AX850" s="4"/>
      <c r="AY850" s="4"/>
      <c r="AZ850" s="4"/>
      <c r="BA850" s="4"/>
      <c r="BB850" s="4"/>
      <c r="BC850" s="4"/>
      <c r="BD850" s="4"/>
      <c r="BE850" s="4"/>
      <c r="BF850" s="4"/>
      <c r="BG850" s="4"/>
    </row>
    <row r="851" ht="15.75" customHeight="1">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O851" s="4"/>
      <c r="AP851" s="4"/>
      <c r="AQ851" s="4"/>
      <c r="AR851" s="4"/>
      <c r="AS851" s="4"/>
      <c r="AT851" s="4"/>
      <c r="AU851" s="4"/>
      <c r="AV851" s="4"/>
      <c r="AW851" s="4"/>
      <c r="AX851" s="4"/>
      <c r="AY851" s="4"/>
      <c r="AZ851" s="4"/>
      <c r="BA851" s="4"/>
      <c r="BB851" s="4"/>
      <c r="BC851" s="4"/>
      <c r="BD851" s="4"/>
      <c r="BE851" s="4"/>
      <c r="BF851" s="4"/>
      <c r="BG851" s="4"/>
    </row>
    <row r="852" ht="15.75" customHeight="1">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O852" s="4"/>
      <c r="AP852" s="4"/>
      <c r="AQ852" s="4"/>
      <c r="AR852" s="4"/>
      <c r="AS852" s="4"/>
      <c r="AT852" s="4"/>
      <c r="AU852" s="4"/>
      <c r="AV852" s="4"/>
      <c r="AW852" s="4"/>
      <c r="AX852" s="4"/>
      <c r="AY852" s="4"/>
      <c r="AZ852" s="4"/>
      <c r="BA852" s="4"/>
      <c r="BB852" s="4"/>
      <c r="BC852" s="4"/>
      <c r="BD852" s="4"/>
      <c r="BE852" s="4"/>
      <c r="BF852" s="4"/>
      <c r="BG852" s="4"/>
    </row>
    <row r="853" ht="15.75" customHeight="1">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O853" s="4"/>
      <c r="AP853" s="4"/>
      <c r="AQ853" s="4"/>
      <c r="AR853" s="4"/>
      <c r="AS853" s="4"/>
      <c r="AT853" s="4"/>
      <c r="AU853" s="4"/>
      <c r="AV853" s="4"/>
      <c r="AW853" s="4"/>
      <c r="AX853" s="4"/>
      <c r="AY853" s="4"/>
      <c r="AZ853" s="4"/>
      <c r="BA853" s="4"/>
      <c r="BB853" s="4"/>
      <c r="BC853" s="4"/>
      <c r="BD853" s="4"/>
      <c r="BE853" s="4"/>
      <c r="BF853" s="4"/>
      <c r="BG853" s="4"/>
    </row>
    <row r="854" ht="15.75" customHeight="1">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O854" s="4"/>
      <c r="AP854" s="4"/>
      <c r="AQ854" s="4"/>
      <c r="AR854" s="4"/>
      <c r="AS854" s="4"/>
      <c r="AT854" s="4"/>
      <c r="AU854" s="4"/>
      <c r="AV854" s="4"/>
      <c r="AW854" s="4"/>
      <c r="AX854" s="4"/>
      <c r="AY854" s="4"/>
      <c r="AZ854" s="4"/>
      <c r="BA854" s="4"/>
      <c r="BB854" s="4"/>
      <c r="BC854" s="4"/>
      <c r="BD854" s="4"/>
      <c r="BE854" s="4"/>
      <c r="BF854" s="4"/>
      <c r="BG854" s="4"/>
    </row>
    <row r="855" ht="15.75" customHeight="1">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O855" s="4"/>
      <c r="AP855" s="4"/>
      <c r="AQ855" s="4"/>
      <c r="AR855" s="4"/>
      <c r="AS855" s="4"/>
      <c r="AT855" s="4"/>
      <c r="AU855" s="4"/>
      <c r="AV855" s="4"/>
      <c r="AW855" s="4"/>
      <c r="AX855" s="4"/>
      <c r="AY855" s="4"/>
      <c r="AZ855" s="4"/>
      <c r="BA855" s="4"/>
      <c r="BB855" s="4"/>
      <c r="BC855" s="4"/>
      <c r="BD855" s="4"/>
      <c r="BE855" s="4"/>
      <c r="BF855" s="4"/>
      <c r="BG855" s="4"/>
    </row>
    <row r="856" ht="15.75" customHeight="1">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O856" s="4"/>
      <c r="AP856" s="4"/>
      <c r="AQ856" s="4"/>
      <c r="AR856" s="4"/>
      <c r="AS856" s="4"/>
      <c r="AT856" s="4"/>
      <c r="AU856" s="4"/>
      <c r="AV856" s="4"/>
      <c r="AW856" s="4"/>
      <c r="AX856" s="4"/>
      <c r="AY856" s="4"/>
      <c r="AZ856" s="4"/>
      <c r="BA856" s="4"/>
      <c r="BB856" s="4"/>
      <c r="BC856" s="4"/>
      <c r="BD856" s="4"/>
      <c r="BE856" s="4"/>
      <c r="BF856" s="4"/>
      <c r="BG856" s="4"/>
    </row>
    <row r="857" ht="15.75" customHeight="1">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O857" s="4"/>
      <c r="AP857" s="4"/>
      <c r="AQ857" s="4"/>
      <c r="AR857" s="4"/>
      <c r="AS857" s="4"/>
      <c r="AT857" s="4"/>
      <c r="AU857" s="4"/>
      <c r="AV857" s="4"/>
      <c r="AW857" s="4"/>
      <c r="AX857" s="4"/>
      <c r="AY857" s="4"/>
      <c r="AZ857" s="4"/>
      <c r="BA857" s="4"/>
      <c r="BB857" s="4"/>
      <c r="BC857" s="4"/>
      <c r="BD857" s="4"/>
      <c r="BE857" s="4"/>
      <c r="BF857" s="4"/>
      <c r="BG857" s="4"/>
    </row>
    <row r="858" ht="15.75" customHeight="1">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O858" s="4"/>
      <c r="AP858" s="4"/>
      <c r="AQ858" s="4"/>
      <c r="AR858" s="4"/>
      <c r="AS858" s="4"/>
      <c r="AT858" s="4"/>
      <c r="AU858" s="4"/>
      <c r="AV858" s="4"/>
      <c r="AW858" s="4"/>
      <c r="AX858" s="4"/>
      <c r="AY858" s="4"/>
      <c r="AZ858" s="4"/>
      <c r="BA858" s="4"/>
      <c r="BB858" s="4"/>
      <c r="BC858" s="4"/>
      <c r="BD858" s="4"/>
      <c r="BE858" s="4"/>
      <c r="BF858" s="4"/>
      <c r="BG858" s="4"/>
    </row>
    <row r="859" ht="15.75" customHeight="1">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O859" s="4"/>
      <c r="AP859" s="4"/>
      <c r="AQ859" s="4"/>
      <c r="AR859" s="4"/>
      <c r="AS859" s="4"/>
      <c r="AT859" s="4"/>
      <c r="AU859" s="4"/>
      <c r="AV859" s="4"/>
      <c r="AW859" s="4"/>
      <c r="AX859" s="4"/>
      <c r="AY859" s="4"/>
      <c r="AZ859" s="4"/>
      <c r="BA859" s="4"/>
      <c r="BB859" s="4"/>
      <c r="BC859" s="4"/>
      <c r="BD859" s="4"/>
      <c r="BE859" s="4"/>
      <c r="BF859" s="4"/>
      <c r="BG859" s="4"/>
    </row>
    <row r="860" ht="15.75" customHeight="1">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O860" s="4"/>
      <c r="AP860" s="4"/>
      <c r="AQ860" s="4"/>
      <c r="AR860" s="4"/>
      <c r="AS860" s="4"/>
      <c r="AT860" s="4"/>
      <c r="AU860" s="4"/>
      <c r="AV860" s="4"/>
      <c r="AW860" s="4"/>
      <c r="AX860" s="4"/>
      <c r="AY860" s="4"/>
      <c r="AZ860" s="4"/>
      <c r="BA860" s="4"/>
      <c r="BB860" s="4"/>
      <c r="BC860" s="4"/>
      <c r="BD860" s="4"/>
      <c r="BE860" s="4"/>
      <c r="BF860" s="4"/>
      <c r="BG860" s="4"/>
    </row>
    <row r="861" ht="15.75" customHeight="1">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O861" s="4"/>
      <c r="AP861" s="4"/>
      <c r="AQ861" s="4"/>
      <c r="AR861" s="4"/>
      <c r="AS861" s="4"/>
      <c r="AT861" s="4"/>
      <c r="AU861" s="4"/>
      <c r="AV861" s="4"/>
      <c r="AW861" s="4"/>
      <c r="AX861" s="4"/>
      <c r="AY861" s="4"/>
      <c r="AZ861" s="4"/>
      <c r="BA861" s="4"/>
      <c r="BB861" s="4"/>
      <c r="BC861" s="4"/>
      <c r="BD861" s="4"/>
      <c r="BE861" s="4"/>
      <c r="BF861" s="4"/>
      <c r="BG861" s="4"/>
    </row>
    <row r="862" ht="15.75" customHeight="1">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O862" s="4"/>
      <c r="AP862" s="4"/>
      <c r="AQ862" s="4"/>
      <c r="AR862" s="4"/>
      <c r="AS862" s="4"/>
      <c r="AT862" s="4"/>
      <c r="AU862" s="4"/>
      <c r="AV862" s="4"/>
      <c r="AW862" s="4"/>
      <c r="AX862" s="4"/>
      <c r="AY862" s="4"/>
      <c r="AZ862" s="4"/>
      <c r="BA862" s="4"/>
      <c r="BB862" s="4"/>
      <c r="BC862" s="4"/>
      <c r="BD862" s="4"/>
      <c r="BE862" s="4"/>
      <c r="BF862" s="4"/>
      <c r="BG862" s="4"/>
    </row>
    <row r="863" ht="15.75" customHeight="1">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O863" s="4"/>
      <c r="AP863" s="4"/>
      <c r="AQ863" s="4"/>
      <c r="AR863" s="4"/>
      <c r="AS863" s="4"/>
      <c r="AT863" s="4"/>
      <c r="AU863" s="4"/>
      <c r="AV863" s="4"/>
      <c r="AW863" s="4"/>
      <c r="AX863" s="4"/>
      <c r="AY863" s="4"/>
      <c r="AZ863" s="4"/>
      <c r="BA863" s="4"/>
      <c r="BB863" s="4"/>
      <c r="BC863" s="4"/>
      <c r="BD863" s="4"/>
      <c r="BE863" s="4"/>
      <c r="BF863" s="4"/>
      <c r="BG863" s="4"/>
    </row>
    <row r="864" ht="15.75" customHeight="1">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O864" s="4"/>
      <c r="AP864" s="4"/>
      <c r="AQ864" s="4"/>
      <c r="AR864" s="4"/>
      <c r="AS864" s="4"/>
      <c r="AT864" s="4"/>
      <c r="AU864" s="4"/>
      <c r="AV864" s="4"/>
      <c r="AW864" s="4"/>
      <c r="AX864" s="4"/>
      <c r="AY864" s="4"/>
      <c r="AZ864" s="4"/>
      <c r="BA864" s="4"/>
      <c r="BB864" s="4"/>
      <c r="BC864" s="4"/>
      <c r="BD864" s="4"/>
      <c r="BE864" s="4"/>
      <c r="BF864" s="4"/>
      <c r="BG864" s="4"/>
    </row>
    <row r="865" ht="15.75" customHeight="1">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O865" s="4"/>
      <c r="AP865" s="4"/>
      <c r="AQ865" s="4"/>
      <c r="AR865" s="4"/>
      <c r="AS865" s="4"/>
      <c r="AT865" s="4"/>
      <c r="AU865" s="4"/>
      <c r="AV865" s="4"/>
      <c r="AW865" s="4"/>
      <c r="AX865" s="4"/>
      <c r="AY865" s="4"/>
      <c r="AZ865" s="4"/>
      <c r="BA865" s="4"/>
      <c r="BB865" s="4"/>
      <c r="BC865" s="4"/>
      <c r="BD865" s="4"/>
      <c r="BE865" s="4"/>
      <c r="BF865" s="4"/>
      <c r="BG865" s="4"/>
    </row>
    <row r="866" ht="15.75" customHeight="1">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O866" s="4"/>
      <c r="AP866" s="4"/>
      <c r="AQ866" s="4"/>
      <c r="AR866" s="4"/>
      <c r="AS866" s="4"/>
      <c r="AT866" s="4"/>
      <c r="AU866" s="4"/>
      <c r="AV866" s="4"/>
      <c r="AW866" s="4"/>
      <c r="AX866" s="4"/>
      <c r="AY866" s="4"/>
      <c r="AZ866" s="4"/>
      <c r="BA866" s="4"/>
      <c r="BB866" s="4"/>
      <c r="BC866" s="4"/>
      <c r="BD866" s="4"/>
      <c r="BE866" s="4"/>
      <c r="BF866" s="4"/>
      <c r="BG866" s="4"/>
    </row>
    <row r="867" ht="15.75" customHeight="1">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O867" s="4"/>
      <c r="AP867" s="4"/>
      <c r="AQ867" s="4"/>
      <c r="AR867" s="4"/>
      <c r="AS867" s="4"/>
      <c r="AT867" s="4"/>
      <c r="AU867" s="4"/>
      <c r="AV867" s="4"/>
      <c r="AW867" s="4"/>
      <c r="AX867" s="4"/>
      <c r="AY867" s="4"/>
      <c r="AZ867" s="4"/>
      <c r="BA867" s="4"/>
      <c r="BB867" s="4"/>
      <c r="BC867" s="4"/>
      <c r="BD867" s="4"/>
      <c r="BE867" s="4"/>
      <c r="BF867" s="4"/>
      <c r="BG867" s="4"/>
    </row>
    <row r="868" ht="15.75" customHeight="1">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O868" s="4"/>
      <c r="AP868" s="4"/>
      <c r="AQ868" s="4"/>
      <c r="AR868" s="4"/>
      <c r="AS868" s="4"/>
      <c r="AT868" s="4"/>
      <c r="AU868" s="4"/>
      <c r="AV868" s="4"/>
      <c r="AW868" s="4"/>
      <c r="AX868" s="4"/>
      <c r="AY868" s="4"/>
      <c r="AZ868" s="4"/>
      <c r="BA868" s="4"/>
      <c r="BB868" s="4"/>
      <c r="BC868" s="4"/>
      <c r="BD868" s="4"/>
      <c r="BE868" s="4"/>
      <c r="BF868" s="4"/>
      <c r="BG868" s="4"/>
    </row>
    <row r="869" ht="15.75" customHeight="1">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O869" s="4"/>
      <c r="AP869" s="4"/>
      <c r="AQ869" s="4"/>
      <c r="AR869" s="4"/>
      <c r="AS869" s="4"/>
      <c r="AT869" s="4"/>
      <c r="AU869" s="4"/>
      <c r="AV869" s="4"/>
      <c r="AW869" s="4"/>
      <c r="AX869" s="4"/>
      <c r="AY869" s="4"/>
      <c r="AZ869" s="4"/>
      <c r="BA869" s="4"/>
      <c r="BB869" s="4"/>
      <c r="BC869" s="4"/>
      <c r="BD869" s="4"/>
      <c r="BE869" s="4"/>
      <c r="BF869" s="4"/>
      <c r="BG869" s="4"/>
    </row>
    <row r="870" ht="15.75" customHeight="1">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O870" s="4"/>
      <c r="AP870" s="4"/>
      <c r="AQ870" s="4"/>
      <c r="AR870" s="4"/>
      <c r="AS870" s="4"/>
      <c r="AT870" s="4"/>
      <c r="AU870" s="4"/>
      <c r="AV870" s="4"/>
      <c r="AW870" s="4"/>
      <c r="AX870" s="4"/>
      <c r="AY870" s="4"/>
      <c r="AZ870" s="4"/>
      <c r="BA870" s="4"/>
      <c r="BB870" s="4"/>
      <c r="BC870" s="4"/>
      <c r="BD870" s="4"/>
      <c r="BE870" s="4"/>
      <c r="BF870" s="4"/>
      <c r="BG870" s="4"/>
    </row>
    <row r="871" ht="15.75" customHeight="1">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O871" s="4"/>
      <c r="AP871" s="4"/>
      <c r="AQ871" s="4"/>
      <c r="AR871" s="4"/>
      <c r="AS871" s="4"/>
      <c r="AT871" s="4"/>
      <c r="AU871" s="4"/>
      <c r="AV871" s="4"/>
      <c r="AW871" s="4"/>
      <c r="AX871" s="4"/>
      <c r="AY871" s="4"/>
      <c r="AZ871" s="4"/>
      <c r="BA871" s="4"/>
      <c r="BB871" s="4"/>
      <c r="BC871" s="4"/>
      <c r="BD871" s="4"/>
      <c r="BE871" s="4"/>
      <c r="BF871" s="4"/>
      <c r="BG871" s="4"/>
    </row>
    <row r="872" ht="15.75" customHeight="1">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O872" s="4"/>
      <c r="AP872" s="4"/>
      <c r="AQ872" s="4"/>
      <c r="AR872" s="4"/>
      <c r="AS872" s="4"/>
      <c r="AT872" s="4"/>
      <c r="AU872" s="4"/>
      <c r="AV872" s="4"/>
      <c r="AW872" s="4"/>
      <c r="AX872" s="4"/>
      <c r="AY872" s="4"/>
      <c r="AZ872" s="4"/>
      <c r="BA872" s="4"/>
      <c r="BB872" s="4"/>
      <c r="BC872" s="4"/>
      <c r="BD872" s="4"/>
      <c r="BE872" s="4"/>
      <c r="BF872" s="4"/>
      <c r="BG872" s="4"/>
    </row>
    <row r="873" ht="15.75" customHeight="1">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O873" s="4"/>
      <c r="AP873" s="4"/>
      <c r="AQ873" s="4"/>
      <c r="AR873" s="4"/>
      <c r="AS873" s="4"/>
      <c r="AT873" s="4"/>
      <c r="AU873" s="4"/>
      <c r="AV873" s="4"/>
      <c r="AW873" s="4"/>
      <c r="AX873" s="4"/>
      <c r="AY873" s="4"/>
      <c r="AZ873" s="4"/>
      <c r="BA873" s="4"/>
      <c r="BB873" s="4"/>
      <c r="BC873" s="4"/>
      <c r="BD873" s="4"/>
      <c r="BE873" s="4"/>
      <c r="BF873" s="4"/>
      <c r="BG873" s="4"/>
    </row>
    <row r="874" ht="15.75" customHeight="1">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O874" s="4"/>
      <c r="AP874" s="4"/>
      <c r="AQ874" s="4"/>
      <c r="AR874" s="4"/>
      <c r="AS874" s="4"/>
      <c r="AT874" s="4"/>
      <c r="AU874" s="4"/>
      <c r="AV874" s="4"/>
      <c r="AW874" s="4"/>
      <c r="AX874" s="4"/>
      <c r="AY874" s="4"/>
      <c r="AZ874" s="4"/>
      <c r="BA874" s="4"/>
      <c r="BB874" s="4"/>
      <c r="BC874" s="4"/>
      <c r="BD874" s="4"/>
      <c r="BE874" s="4"/>
      <c r="BF874" s="4"/>
      <c r="BG874" s="4"/>
    </row>
    <row r="875" ht="15.75" customHeight="1">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O875" s="4"/>
      <c r="AP875" s="4"/>
      <c r="AQ875" s="4"/>
      <c r="AR875" s="4"/>
      <c r="AS875" s="4"/>
      <c r="AT875" s="4"/>
      <c r="AU875" s="4"/>
      <c r="AV875" s="4"/>
      <c r="AW875" s="4"/>
      <c r="AX875" s="4"/>
      <c r="AY875" s="4"/>
      <c r="AZ875" s="4"/>
      <c r="BA875" s="4"/>
      <c r="BB875" s="4"/>
      <c r="BC875" s="4"/>
      <c r="BD875" s="4"/>
      <c r="BE875" s="4"/>
      <c r="BF875" s="4"/>
      <c r="BG875" s="4"/>
    </row>
    <row r="876" ht="15.75" customHeight="1">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O876" s="4"/>
      <c r="AP876" s="4"/>
      <c r="AQ876" s="4"/>
      <c r="AR876" s="4"/>
      <c r="AS876" s="4"/>
      <c r="AT876" s="4"/>
      <c r="AU876" s="4"/>
      <c r="AV876" s="4"/>
      <c r="AW876" s="4"/>
      <c r="AX876" s="4"/>
      <c r="AY876" s="4"/>
      <c r="AZ876" s="4"/>
      <c r="BA876" s="4"/>
      <c r="BB876" s="4"/>
      <c r="BC876" s="4"/>
      <c r="BD876" s="4"/>
      <c r="BE876" s="4"/>
      <c r="BF876" s="4"/>
      <c r="BG876" s="4"/>
    </row>
    <row r="877" ht="15.75" customHeight="1">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O877" s="4"/>
      <c r="AP877" s="4"/>
      <c r="AQ877" s="4"/>
      <c r="AR877" s="4"/>
      <c r="AS877" s="4"/>
      <c r="AT877" s="4"/>
      <c r="AU877" s="4"/>
      <c r="AV877" s="4"/>
      <c r="AW877" s="4"/>
      <c r="AX877" s="4"/>
      <c r="AY877" s="4"/>
      <c r="AZ877" s="4"/>
      <c r="BA877" s="4"/>
      <c r="BB877" s="4"/>
      <c r="BC877" s="4"/>
      <c r="BD877" s="4"/>
      <c r="BE877" s="4"/>
      <c r="BF877" s="4"/>
      <c r="BG877" s="4"/>
    </row>
    <row r="878" ht="15.75" customHeight="1">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O878" s="4"/>
      <c r="AP878" s="4"/>
      <c r="AQ878" s="4"/>
      <c r="AR878" s="4"/>
      <c r="AS878" s="4"/>
      <c r="AT878" s="4"/>
      <c r="AU878" s="4"/>
      <c r="AV878" s="4"/>
      <c r="AW878" s="4"/>
      <c r="AX878" s="4"/>
      <c r="AY878" s="4"/>
      <c r="AZ878" s="4"/>
      <c r="BA878" s="4"/>
      <c r="BB878" s="4"/>
      <c r="BC878" s="4"/>
      <c r="BD878" s="4"/>
      <c r="BE878" s="4"/>
      <c r="BF878" s="4"/>
      <c r="BG878" s="4"/>
    </row>
    <row r="879" ht="15.75" customHeight="1">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O879" s="4"/>
      <c r="AP879" s="4"/>
      <c r="AQ879" s="4"/>
      <c r="AR879" s="4"/>
      <c r="AS879" s="4"/>
      <c r="AT879" s="4"/>
      <c r="AU879" s="4"/>
      <c r="AV879" s="4"/>
      <c r="AW879" s="4"/>
      <c r="AX879" s="4"/>
      <c r="AY879" s="4"/>
      <c r="AZ879" s="4"/>
      <c r="BA879" s="4"/>
      <c r="BB879" s="4"/>
      <c r="BC879" s="4"/>
      <c r="BD879" s="4"/>
      <c r="BE879" s="4"/>
      <c r="BF879" s="4"/>
      <c r="BG879" s="4"/>
    </row>
    <row r="880" ht="15.75" customHeight="1">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O880" s="4"/>
      <c r="AP880" s="4"/>
      <c r="AQ880" s="4"/>
      <c r="AR880" s="4"/>
      <c r="AS880" s="4"/>
      <c r="AT880" s="4"/>
      <c r="AU880" s="4"/>
      <c r="AV880" s="4"/>
      <c r="AW880" s="4"/>
      <c r="AX880" s="4"/>
      <c r="AY880" s="4"/>
      <c r="AZ880" s="4"/>
      <c r="BA880" s="4"/>
      <c r="BB880" s="4"/>
      <c r="BC880" s="4"/>
      <c r="BD880" s="4"/>
      <c r="BE880" s="4"/>
      <c r="BF880" s="4"/>
      <c r="BG880" s="4"/>
    </row>
    <row r="881" ht="15.75" customHeight="1">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O881" s="4"/>
      <c r="AP881" s="4"/>
      <c r="AQ881" s="4"/>
      <c r="AR881" s="4"/>
      <c r="AS881" s="4"/>
      <c r="AT881" s="4"/>
      <c r="AU881" s="4"/>
      <c r="AV881" s="4"/>
      <c r="AW881" s="4"/>
      <c r="AX881" s="4"/>
      <c r="AY881" s="4"/>
      <c r="AZ881" s="4"/>
      <c r="BA881" s="4"/>
      <c r="BB881" s="4"/>
      <c r="BC881" s="4"/>
      <c r="BD881" s="4"/>
      <c r="BE881" s="4"/>
      <c r="BF881" s="4"/>
      <c r="BG881" s="4"/>
    </row>
    <row r="882" ht="15.75" customHeight="1">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O882" s="4"/>
      <c r="AP882" s="4"/>
      <c r="AQ882" s="4"/>
      <c r="AR882" s="4"/>
      <c r="AS882" s="4"/>
      <c r="AT882" s="4"/>
      <c r="AU882" s="4"/>
      <c r="AV882" s="4"/>
      <c r="AW882" s="4"/>
      <c r="AX882" s="4"/>
      <c r="AY882" s="4"/>
      <c r="AZ882" s="4"/>
      <c r="BA882" s="4"/>
      <c r="BB882" s="4"/>
      <c r="BC882" s="4"/>
      <c r="BD882" s="4"/>
      <c r="BE882" s="4"/>
      <c r="BF882" s="4"/>
      <c r="BG882" s="4"/>
    </row>
    <row r="883" ht="15.75" customHeight="1">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O883" s="4"/>
      <c r="AP883" s="4"/>
      <c r="AQ883" s="4"/>
      <c r="AR883" s="4"/>
      <c r="AS883" s="4"/>
      <c r="AT883" s="4"/>
      <c r="AU883" s="4"/>
      <c r="AV883" s="4"/>
      <c r="AW883" s="4"/>
      <c r="AX883" s="4"/>
      <c r="AY883" s="4"/>
      <c r="AZ883" s="4"/>
      <c r="BA883" s="4"/>
      <c r="BB883" s="4"/>
      <c r="BC883" s="4"/>
      <c r="BD883" s="4"/>
      <c r="BE883" s="4"/>
      <c r="BF883" s="4"/>
      <c r="BG883" s="4"/>
    </row>
    <row r="884" ht="15.75" customHeight="1">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O884" s="4"/>
      <c r="AP884" s="4"/>
      <c r="AQ884" s="4"/>
      <c r="AR884" s="4"/>
      <c r="AS884" s="4"/>
      <c r="AT884" s="4"/>
      <c r="AU884" s="4"/>
      <c r="AV884" s="4"/>
      <c r="AW884" s="4"/>
      <c r="AX884" s="4"/>
      <c r="AY884" s="4"/>
      <c r="AZ884" s="4"/>
      <c r="BA884" s="4"/>
      <c r="BB884" s="4"/>
      <c r="BC884" s="4"/>
      <c r="BD884" s="4"/>
      <c r="BE884" s="4"/>
      <c r="BF884" s="4"/>
      <c r="BG884" s="4"/>
    </row>
    <row r="885" ht="15.75" customHeight="1">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O885" s="4"/>
      <c r="AP885" s="4"/>
      <c r="AQ885" s="4"/>
      <c r="AR885" s="4"/>
      <c r="AS885" s="4"/>
      <c r="AT885" s="4"/>
      <c r="AU885" s="4"/>
      <c r="AV885" s="4"/>
      <c r="AW885" s="4"/>
      <c r="AX885" s="4"/>
      <c r="AY885" s="4"/>
      <c r="AZ885" s="4"/>
      <c r="BA885" s="4"/>
      <c r="BB885" s="4"/>
      <c r="BC885" s="4"/>
      <c r="BD885" s="4"/>
      <c r="BE885" s="4"/>
      <c r="BF885" s="4"/>
      <c r="BG885" s="4"/>
    </row>
    <row r="886" ht="15.75" customHeight="1">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O886" s="4"/>
      <c r="AP886" s="4"/>
      <c r="AQ886" s="4"/>
      <c r="AR886" s="4"/>
      <c r="AS886" s="4"/>
      <c r="AT886" s="4"/>
      <c r="AU886" s="4"/>
      <c r="AV886" s="4"/>
      <c r="AW886" s="4"/>
      <c r="AX886" s="4"/>
      <c r="AY886" s="4"/>
      <c r="AZ886" s="4"/>
      <c r="BA886" s="4"/>
      <c r="BB886" s="4"/>
      <c r="BC886" s="4"/>
      <c r="BD886" s="4"/>
      <c r="BE886" s="4"/>
      <c r="BF886" s="4"/>
      <c r="BG886" s="4"/>
    </row>
    <row r="887" ht="15.75" customHeight="1">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O887" s="4"/>
      <c r="AP887" s="4"/>
      <c r="AQ887" s="4"/>
      <c r="AR887" s="4"/>
      <c r="AS887" s="4"/>
      <c r="AT887" s="4"/>
      <c r="AU887" s="4"/>
      <c r="AV887" s="4"/>
      <c r="AW887" s="4"/>
      <c r="AX887" s="4"/>
      <c r="AY887" s="4"/>
      <c r="AZ887" s="4"/>
      <c r="BA887" s="4"/>
      <c r="BB887" s="4"/>
      <c r="BC887" s="4"/>
      <c r="BD887" s="4"/>
      <c r="BE887" s="4"/>
      <c r="BF887" s="4"/>
      <c r="BG887" s="4"/>
    </row>
    <row r="888" ht="15.75" customHeight="1">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O888" s="4"/>
      <c r="AP888" s="4"/>
      <c r="AQ888" s="4"/>
      <c r="AR888" s="4"/>
      <c r="AS888" s="4"/>
      <c r="AT888" s="4"/>
      <c r="AU888" s="4"/>
      <c r="AV888" s="4"/>
      <c r="AW888" s="4"/>
      <c r="AX888" s="4"/>
      <c r="AY888" s="4"/>
      <c r="AZ888" s="4"/>
      <c r="BA888" s="4"/>
      <c r="BB888" s="4"/>
      <c r="BC888" s="4"/>
      <c r="BD888" s="4"/>
      <c r="BE888" s="4"/>
      <c r="BF888" s="4"/>
      <c r="BG888" s="4"/>
    </row>
    <row r="889" ht="15.75" customHeight="1">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O889" s="4"/>
      <c r="AP889" s="4"/>
      <c r="AQ889" s="4"/>
      <c r="AR889" s="4"/>
      <c r="AS889" s="4"/>
      <c r="AT889" s="4"/>
      <c r="AU889" s="4"/>
      <c r="AV889" s="4"/>
      <c r="AW889" s="4"/>
      <c r="AX889" s="4"/>
      <c r="AY889" s="4"/>
      <c r="AZ889" s="4"/>
      <c r="BA889" s="4"/>
      <c r="BB889" s="4"/>
      <c r="BC889" s="4"/>
      <c r="BD889" s="4"/>
      <c r="BE889" s="4"/>
      <c r="BF889" s="4"/>
      <c r="BG889" s="4"/>
    </row>
    <row r="890" ht="15.75" customHeight="1">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O890" s="4"/>
      <c r="AP890" s="4"/>
      <c r="AQ890" s="4"/>
      <c r="AR890" s="4"/>
      <c r="AS890" s="4"/>
      <c r="AT890" s="4"/>
      <c r="AU890" s="4"/>
      <c r="AV890" s="4"/>
      <c r="AW890" s="4"/>
      <c r="AX890" s="4"/>
      <c r="AY890" s="4"/>
      <c r="AZ890" s="4"/>
      <c r="BA890" s="4"/>
      <c r="BB890" s="4"/>
      <c r="BC890" s="4"/>
      <c r="BD890" s="4"/>
      <c r="BE890" s="4"/>
      <c r="BF890" s="4"/>
      <c r="BG890" s="4"/>
    </row>
    <row r="891" ht="15.75" customHeight="1">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O891" s="4"/>
      <c r="AP891" s="4"/>
      <c r="AQ891" s="4"/>
      <c r="AR891" s="4"/>
      <c r="AS891" s="4"/>
      <c r="AT891" s="4"/>
      <c r="AU891" s="4"/>
      <c r="AV891" s="4"/>
      <c r="AW891" s="4"/>
      <c r="AX891" s="4"/>
      <c r="AY891" s="4"/>
      <c r="AZ891" s="4"/>
      <c r="BA891" s="4"/>
      <c r="BB891" s="4"/>
      <c r="BC891" s="4"/>
      <c r="BD891" s="4"/>
      <c r="BE891" s="4"/>
      <c r="BF891" s="4"/>
      <c r="BG891" s="4"/>
    </row>
    <row r="892" ht="15.75" customHeight="1">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O892" s="4"/>
      <c r="AP892" s="4"/>
      <c r="AQ892" s="4"/>
      <c r="AR892" s="4"/>
      <c r="AS892" s="4"/>
      <c r="AT892" s="4"/>
      <c r="AU892" s="4"/>
      <c r="AV892" s="4"/>
      <c r="AW892" s="4"/>
      <c r="AX892" s="4"/>
      <c r="AY892" s="4"/>
      <c r="AZ892" s="4"/>
      <c r="BA892" s="4"/>
      <c r="BB892" s="4"/>
      <c r="BC892" s="4"/>
      <c r="BD892" s="4"/>
      <c r="BE892" s="4"/>
      <c r="BF892" s="4"/>
      <c r="BG892" s="4"/>
    </row>
    <row r="893" ht="15.75" customHeight="1">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O893" s="4"/>
      <c r="AP893" s="4"/>
      <c r="AQ893" s="4"/>
      <c r="AR893" s="4"/>
      <c r="AS893" s="4"/>
      <c r="AT893" s="4"/>
      <c r="AU893" s="4"/>
      <c r="AV893" s="4"/>
      <c r="AW893" s="4"/>
      <c r="AX893" s="4"/>
      <c r="AY893" s="4"/>
      <c r="AZ893" s="4"/>
      <c r="BA893" s="4"/>
      <c r="BB893" s="4"/>
      <c r="BC893" s="4"/>
      <c r="BD893" s="4"/>
      <c r="BE893" s="4"/>
      <c r="BF893" s="4"/>
      <c r="BG893" s="4"/>
    </row>
    <row r="894" ht="15.75" customHeight="1">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O894" s="4"/>
      <c r="AP894" s="4"/>
      <c r="AQ894" s="4"/>
      <c r="AR894" s="4"/>
      <c r="AS894" s="4"/>
      <c r="AT894" s="4"/>
      <c r="AU894" s="4"/>
      <c r="AV894" s="4"/>
      <c r="AW894" s="4"/>
      <c r="AX894" s="4"/>
      <c r="AY894" s="4"/>
      <c r="AZ894" s="4"/>
      <c r="BA894" s="4"/>
      <c r="BB894" s="4"/>
      <c r="BC894" s="4"/>
      <c r="BD894" s="4"/>
      <c r="BE894" s="4"/>
      <c r="BF894" s="4"/>
      <c r="BG894" s="4"/>
    </row>
    <row r="895" ht="15.75" customHeight="1">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O895" s="4"/>
      <c r="AP895" s="4"/>
      <c r="AQ895" s="4"/>
      <c r="AR895" s="4"/>
      <c r="AS895" s="4"/>
      <c r="AT895" s="4"/>
      <c r="AU895" s="4"/>
      <c r="AV895" s="4"/>
      <c r="AW895" s="4"/>
      <c r="AX895" s="4"/>
      <c r="AY895" s="4"/>
      <c r="AZ895" s="4"/>
      <c r="BA895" s="4"/>
      <c r="BB895" s="4"/>
      <c r="BC895" s="4"/>
      <c r="BD895" s="4"/>
      <c r="BE895" s="4"/>
      <c r="BF895" s="4"/>
      <c r="BG895" s="4"/>
    </row>
    <row r="896" ht="15.75" customHeight="1">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O896" s="4"/>
      <c r="AP896" s="4"/>
      <c r="AQ896" s="4"/>
      <c r="AR896" s="4"/>
      <c r="AS896" s="4"/>
      <c r="AT896" s="4"/>
      <c r="AU896" s="4"/>
      <c r="AV896" s="4"/>
      <c r="AW896" s="4"/>
      <c r="AX896" s="4"/>
      <c r="AY896" s="4"/>
      <c r="AZ896" s="4"/>
      <c r="BA896" s="4"/>
      <c r="BB896" s="4"/>
      <c r="BC896" s="4"/>
      <c r="BD896" s="4"/>
      <c r="BE896" s="4"/>
      <c r="BF896" s="4"/>
      <c r="BG896" s="4"/>
    </row>
    <row r="897" ht="15.75" customHeight="1">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O897" s="4"/>
      <c r="AP897" s="4"/>
      <c r="AQ897" s="4"/>
      <c r="AR897" s="4"/>
      <c r="AS897" s="4"/>
      <c r="AT897" s="4"/>
      <c r="AU897" s="4"/>
      <c r="AV897" s="4"/>
      <c r="AW897" s="4"/>
      <c r="AX897" s="4"/>
      <c r="AY897" s="4"/>
      <c r="AZ897" s="4"/>
      <c r="BA897" s="4"/>
      <c r="BB897" s="4"/>
      <c r="BC897" s="4"/>
      <c r="BD897" s="4"/>
      <c r="BE897" s="4"/>
      <c r="BF897" s="4"/>
      <c r="BG897" s="4"/>
    </row>
    <row r="898" ht="15.75" customHeight="1">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O898" s="4"/>
      <c r="AP898" s="4"/>
      <c r="AQ898" s="4"/>
      <c r="AR898" s="4"/>
      <c r="AS898" s="4"/>
      <c r="AT898" s="4"/>
      <c r="AU898" s="4"/>
      <c r="AV898" s="4"/>
      <c r="AW898" s="4"/>
      <c r="AX898" s="4"/>
      <c r="AY898" s="4"/>
      <c r="AZ898" s="4"/>
      <c r="BA898" s="4"/>
      <c r="BB898" s="4"/>
      <c r="BC898" s="4"/>
      <c r="BD898" s="4"/>
      <c r="BE898" s="4"/>
      <c r="BF898" s="4"/>
      <c r="BG898" s="4"/>
    </row>
    <row r="899" ht="15.75" customHeight="1">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O899" s="4"/>
      <c r="AP899" s="4"/>
      <c r="AQ899" s="4"/>
      <c r="AR899" s="4"/>
      <c r="AS899" s="4"/>
      <c r="AT899" s="4"/>
      <c r="AU899" s="4"/>
      <c r="AV899" s="4"/>
      <c r="AW899" s="4"/>
      <c r="AX899" s="4"/>
      <c r="AY899" s="4"/>
      <c r="AZ899" s="4"/>
      <c r="BA899" s="4"/>
      <c r="BB899" s="4"/>
      <c r="BC899" s="4"/>
      <c r="BD899" s="4"/>
      <c r="BE899" s="4"/>
      <c r="BF899" s="4"/>
      <c r="BG899" s="4"/>
    </row>
    <row r="900" ht="15.75" customHeight="1">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O900" s="4"/>
      <c r="AP900" s="4"/>
      <c r="AQ900" s="4"/>
      <c r="AR900" s="4"/>
      <c r="AS900" s="4"/>
      <c r="AT900" s="4"/>
      <c r="AU900" s="4"/>
      <c r="AV900" s="4"/>
      <c r="AW900" s="4"/>
      <c r="AX900" s="4"/>
      <c r="AY900" s="4"/>
      <c r="AZ900" s="4"/>
      <c r="BA900" s="4"/>
      <c r="BB900" s="4"/>
      <c r="BC900" s="4"/>
      <c r="BD900" s="4"/>
      <c r="BE900" s="4"/>
      <c r="BF900" s="4"/>
      <c r="BG900" s="4"/>
    </row>
    <row r="901" ht="15.75" customHeight="1">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O901" s="4"/>
      <c r="AP901" s="4"/>
      <c r="AQ901" s="4"/>
      <c r="AR901" s="4"/>
      <c r="AS901" s="4"/>
      <c r="AT901" s="4"/>
      <c r="AU901" s="4"/>
      <c r="AV901" s="4"/>
      <c r="AW901" s="4"/>
      <c r="AX901" s="4"/>
      <c r="AY901" s="4"/>
      <c r="AZ901" s="4"/>
      <c r="BA901" s="4"/>
      <c r="BB901" s="4"/>
      <c r="BC901" s="4"/>
      <c r="BD901" s="4"/>
      <c r="BE901" s="4"/>
      <c r="BF901" s="4"/>
      <c r="BG901" s="4"/>
    </row>
    <row r="902" ht="15.75" customHeight="1">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O902" s="4"/>
      <c r="AP902" s="4"/>
      <c r="AQ902" s="4"/>
      <c r="AR902" s="4"/>
      <c r="AS902" s="4"/>
      <c r="AT902" s="4"/>
      <c r="AU902" s="4"/>
      <c r="AV902" s="4"/>
      <c r="AW902" s="4"/>
      <c r="AX902" s="4"/>
      <c r="AY902" s="4"/>
      <c r="AZ902" s="4"/>
      <c r="BA902" s="4"/>
      <c r="BB902" s="4"/>
      <c r="BC902" s="4"/>
      <c r="BD902" s="4"/>
      <c r="BE902" s="4"/>
      <c r="BF902" s="4"/>
      <c r="BG902" s="4"/>
    </row>
    <row r="903" ht="15.75" customHeight="1">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O903" s="4"/>
      <c r="AP903" s="4"/>
      <c r="AQ903" s="4"/>
      <c r="AR903" s="4"/>
      <c r="AS903" s="4"/>
      <c r="AT903" s="4"/>
      <c r="AU903" s="4"/>
      <c r="AV903" s="4"/>
      <c r="AW903" s="4"/>
      <c r="AX903" s="4"/>
      <c r="AY903" s="4"/>
      <c r="AZ903" s="4"/>
      <c r="BA903" s="4"/>
      <c r="BB903" s="4"/>
      <c r="BC903" s="4"/>
      <c r="BD903" s="4"/>
      <c r="BE903" s="4"/>
      <c r="BF903" s="4"/>
      <c r="BG903" s="4"/>
    </row>
    <row r="904" ht="15.75" customHeight="1">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O904" s="4"/>
      <c r="AP904" s="4"/>
      <c r="AQ904" s="4"/>
      <c r="AR904" s="4"/>
      <c r="AS904" s="4"/>
      <c r="AT904" s="4"/>
      <c r="AU904" s="4"/>
      <c r="AV904" s="4"/>
      <c r="AW904" s="4"/>
      <c r="AX904" s="4"/>
      <c r="AY904" s="4"/>
      <c r="AZ904" s="4"/>
      <c r="BA904" s="4"/>
      <c r="BB904" s="4"/>
      <c r="BC904" s="4"/>
      <c r="BD904" s="4"/>
      <c r="BE904" s="4"/>
      <c r="BF904" s="4"/>
      <c r="BG904" s="4"/>
    </row>
    <row r="905" ht="15.75" customHeight="1">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O905" s="4"/>
      <c r="AP905" s="4"/>
      <c r="AQ905" s="4"/>
      <c r="AR905" s="4"/>
      <c r="AS905" s="4"/>
      <c r="AT905" s="4"/>
      <c r="AU905" s="4"/>
      <c r="AV905" s="4"/>
      <c r="AW905" s="4"/>
      <c r="AX905" s="4"/>
      <c r="AY905" s="4"/>
      <c r="AZ905" s="4"/>
      <c r="BA905" s="4"/>
      <c r="BB905" s="4"/>
      <c r="BC905" s="4"/>
      <c r="BD905" s="4"/>
      <c r="BE905" s="4"/>
      <c r="BF905" s="4"/>
      <c r="BG905" s="4"/>
    </row>
    <row r="906" ht="15.75" customHeight="1">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O906" s="4"/>
      <c r="AP906" s="4"/>
      <c r="AQ906" s="4"/>
      <c r="AR906" s="4"/>
      <c r="AS906" s="4"/>
      <c r="AT906" s="4"/>
      <c r="AU906" s="4"/>
      <c r="AV906" s="4"/>
      <c r="AW906" s="4"/>
      <c r="AX906" s="4"/>
      <c r="AY906" s="4"/>
      <c r="AZ906" s="4"/>
      <c r="BA906" s="4"/>
      <c r="BB906" s="4"/>
      <c r="BC906" s="4"/>
      <c r="BD906" s="4"/>
      <c r="BE906" s="4"/>
      <c r="BF906" s="4"/>
      <c r="BG906" s="4"/>
    </row>
    <row r="907" ht="15.75" customHeight="1">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O907" s="4"/>
      <c r="AP907" s="4"/>
      <c r="AQ907" s="4"/>
      <c r="AR907" s="4"/>
      <c r="AS907" s="4"/>
      <c r="AT907" s="4"/>
      <c r="AU907" s="4"/>
      <c r="AV907" s="4"/>
      <c r="AW907" s="4"/>
      <c r="AX907" s="4"/>
      <c r="AY907" s="4"/>
      <c r="AZ907" s="4"/>
      <c r="BA907" s="4"/>
      <c r="BB907" s="4"/>
      <c r="BC907" s="4"/>
      <c r="BD907" s="4"/>
      <c r="BE907" s="4"/>
      <c r="BF907" s="4"/>
      <c r="BG907" s="4"/>
    </row>
    <row r="908" ht="15.75" customHeight="1">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O908" s="4"/>
      <c r="AP908" s="4"/>
      <c r="AQ908" s="4"/>
      <c r="AR908" s="4"/>
      <c r="AS908" s="4"/>
      <c r="AT908" s="4"/>
      <c r="AU908" s="4"/>
      <c r="AV908" s="4"/>
      <c r="AW908" s="4"/>
      <c r="AX908" s="4"/>
      <c r="AY908" s="4"/>
      <c r="AZ908" s="4"/>
      <c r="BA908" s="4"/>
      <c r="BB908" s="4"/>
      <c r="BC908" s="4"/>
      <c r="BD908" s="4"/>
      <c r="BE908" s="4"/>
      <c r="BF908" s="4"/>
      <c r="BG908" s="4"/>
    </row>
    <row r="909" ht="15.75" customHeight="1">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O909" s="4"/>
      <c r="AP909" s="4"/>
      <c r="AQ909" s="4"/>
      <c r="AR909" s="4"/>
      <c r="AS909" s="4"/>
      <c r="AT909" s="4"/>
      <c r="AU909" s="4"/>
      <c r="AV909" s="4"/>
      <c r="AW909" s="4"/>
      <c r="AX909" s="4"/>
      <c r="AY909" s="4"/>
      <c r="AZ909" s="4"/>
      <c r="BA909" s="4"/>
      <c r="BB909" s="4"/>
      <c r="BC909" s="4"/>
      <c r="BD909" s="4"/>
      <c r="BE909" s="4"/>
      <c r="BF909" s="4"/>
      <c r="BG909" s="4"/>
    </row>
    <row r="910" ht="15.75" customHeight="1">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O910" s="4"/>
      <c r="AP910" s="4"/>
      <c r="AQ910" s="4"/>
      <c r="AR910" s="4"/>
      <c r="AS910" s="4"/>
      <c r="AT910" s="4"/>
      <c r="AU910" s="4"/>
      <c r="AV910" s="4"/>
      <c r="AW910" s="4"/>
      <c r="AX910" s="4"/>
      <c r="AY910" s="4"/>
      <c r="AZ910" s="4"/>
      <c r="BA910" s="4"/>
      <c r="BB910" s="4"/>
      <c r="BC910" s="4"/>
      <c r="BD910" s="4"/>
      <c r="BE910" s="4"/>
      <c r="BF910" s="4"/>
      <c r="BG910" s="4"/>
    </row>
    <row r="911" ht="15.75" customHeight="1">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O911" s="4"/>
      <c r="AP911" s="4"/>
      <c r="AQ911" s="4"/>
      <c r="AR911" s="4"/>
      <c r="AS911" s="4"/>
      <c r="AT911" s="4"/>
      <c r="AU911" s="4"/>
      <c r="AV911" s="4"/>
      <c r="AW911" s="4"/>
      <c r="AX911" s="4"/>
      <c r="AY911" s="4"/>
      <c r="AZ911" s="4"/>
      <c r="BA911" s="4"/>
      <c r="BB911" s="4"/>
      <c r="BC911" s="4"/>
      <c r="BD911" s="4"/>
      <c r="BE911" s="4"/>
      <c r="BF911" s="4"/>
      <c r="BG911" s="4"/>
    </row>
    <row r="912" ht="15.75" customHeight="1">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O912" s="4"/>
      <c r="AP912" s="4"/>
      <c r="AQ912" s="4"/>
      <c r="AR912" s="4"/>
      <c r="AS912" s="4"/>
      <c r="AT912" s="4"/>
      <c r="AU912" s="4"/>
      <c r="AV912" s="4"/>
      <c r="AW912" s="4"/>
      <c r="AX912" s="4"/>
      <c r="AY912" s="4"/>
      <c r="AZ912" s="4"/>
      <c r="BA912" s="4"/>
      <c r="BB912" s="4"/>
      <c r="BC912" s="4"/>
      <c r="BD912" s="4"/>
      <c r="BE912" s="4"/>
      <c r="BF912" s="4"/>
      <c r="BG912" s="4"/>
    </row>
    <row r="913" ht="15.75" customHeight="1">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O913" s="4"/>
      <c r="AP913" s="4"/>
      <c r="AQ913" s="4"/>
      <c r="AR913" s="4"/>
      <c r="AS913" s="4"/>
      <c r="AT913" s="4"/>
      <c r="AU913" s="4"/>
      <c r="AV913" s="4"/>
      <c r="AW913" s="4"/>
      <c r="AX913" s="4"/>
      <c r="AY913" s="4"/>
      <c r="AZ913" s="4"/>
      <c r="BA913" s="4"/>
      <c r="BB913" s="4"/>
      <c r="BC913" s="4"/>
      <c r="BD913" s="4"/>
      <c r="BE913" s="4"/>
      <c r="BF913" s="4"/>
      <c r="BG913" s="4"/>
    </row>
    <row r="914" ht="15.75" customHeight="1">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O914" s="4"/>
      <c r="AP914" s="4"/>
      <c r="AQ914" s="4"/>
      <c r="AR914" s="4"/>
      <c r="AS914" s="4"/>
      <c r="AT914" s="4"/>
      <c r="AU914" s="4"/>
      <c r="AV914" s="4"/>
      <c r="AW914" s="4"/>
      <c r="AX914" s="4"/>
      <c r="AY914" s="4"/>
      <c r="AZ914" s="4"/>
      <c r="BA914" s="4"/>
      <c r="BB914" s="4"/>
      <c r="BC914" s="4"/>
      <c r="BD914" s="4"/>
      <c r="BE914" s="4"/>
      <c r="BF914" s="4"/>
      <c r="BG914" s="4"/>
    </row>
    <row r="915" ht="15.75" customHeight="1">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O915" s="4"/>
      <c r="AP915" s="4"/>
      <c r="AQ915" s="4"/>
      <c r="AR915" s="4"/>
      <c r="AS915" s="4"/>
      <c r="AT915" s="4"/>
      <c r="AU915" s="4"/>
      <c r="AV915" s="4"/>
      <c r="AW915" s="4"/>
      <c r="AX915" s="4"/>
      <c r="AY915" s="4"/>
      <c r="AZ915" s="4"/>
      <c r="BA915" s="4"/>
      <c r="BB915" s="4"/>
      <c r="BC915" s="4"/>
      <c r="BD915" s="4"/>
      <c r="BE915" s="4"/>
      <c r="BF915" s="4"/>
      <c r="BG915" s="4"/>
    </row>
    <row r="916" ht="15.75" customHeight="1">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O916" s="4"/>
      <c r="AP916" s="4"/>
      <c r="AQ916" s="4"/>
      <c r="AR916" s="4"/>
      <c r="AS916" s="4"/>
      <c r="AT916" s="4"/>
      <c r="AU916" s="4"/>
      <c r="AV916" s="4"/>
      <c r="AW916" s="4"/>
      <c r="AX916" s="4"/>
      <c r="AY916" s="4"/>
      <c r="AZ916" s="4"/>
      <c r="BA916" s="4"/>
      <c r="BB916" s="4"/>
      <c r="BC916" s="4"/>
      <c r="BD916" s="4"/>
      <c r="BE916" s="4"/>
      <c r="BF916" s="4"/>
      <c r="BG916" s="4"/>
    </row>
    <row r="917" ht="15.75" customHeight="1">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O917" s="4"/>
      <c r="AP917" s="4"/>
      <c r="AQ917" s="4"/>
      <c r="AR917" s="4"/>
      <c r="AS917" s="4"/>
      <c r="AT917" s="4"/>
      <c r="AU917" s="4"/>
      <c r="AV917" s="4"/>
      <c r="AW917" s="4"/>
      <c r="AX917" s="4"/>
      <c r="AY917" s="4"/>
      <c r="AZ917" s="4"/>
      <c r="BA917" s="4"/>
      <c r="BB917" s="4"/>
      <c r="BC917" s="4"/>
      <c r="BD917" s="4"/>
      <c r="BE917" s="4"/>
      <c r="BF917" s="4"/>
      <c r="BG917" s="4"/>
    </row>
    <row r="918" ht="15.75" customHeight="1">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O918" s="4"/>
      <c r="AP918" s="4"/>
      <c r="AQ918" s="4"/>
      <c r="AR918" s="4"/>
      <c r="AS918" s="4"/>
      <c r="AT918" s="4"/>
      <c r="AU918" s="4"/>
      <c r="AV918" s="4"/>
      <c r="AW918" s="4"/>
      <c r="AX918" s="4"/>
      <c r="AY918" s="4"/>
      <c r="AZ918" s="4"/>
      <c r="BA918" s="4"/>
      <c r="BB918" s="4"/>
      <c r="BC918" s="4"/>
      <c r="BD918" s="4"/>
      <c r="BE918" s="4"/>
      <c r="BF918" s="4"/>
      <c r="BG918" s="4"/>
    </row>
    <row r="919" ht="15.75" customHeight="1">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O919" s="4"/>
      <c r="AP919" s="4"/>
      <c r="AQ919" s="4"/>
      <c r="AR919" s="4"/>
      <c r="AS919" s="4"/>
      <c r="AT919" s="4"/>
      <c r="AU919" s="4"/>
      <c r="AV919" s="4"/>
      <c r="AW919" s="4"/>
      <c r="AX919" s="4"/>
      <c r="AY919" s="4"/>
      <c r="AZ919" s="4"/>
      <c r="BA919" s="4"/>
      <c r="BB919" s="4"/>
      <c r="BC919" s="4"/>
      <c r="BD919" s="4"/>
      <c r="BE919" s="4"/>
      <c r="BF919" s="4"/>
      <c r="BG919" s="4"/>
    </row>
    <row r="920" ht="15.75" customHeight="1">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O920" s="4"/>
      <c r="AP920" s="4"/>
      <c r="AQ920" s="4"/>
      <c r="AR920" s="4"/>
      <c r="AS920" s="4"/>
      <c r="AT920" s="4"/>
      <c r="AU920" s="4"/>
      <c r="AV920" s="4"/>
      <c r="AW920" s="4"/>
      <c r="AX920" s="4"/>
      <c r="AY920" s="4"/>
      <c r="AZ920" s="4"/>
      <c r="BA920" s="4"/>
      <c r="BB920" s="4"/>
      <c r="BC920" s="4"/>
      <c r="BD920" s="4"/>
      <c r="BE920" s="4"/>
      <c r="BF920" s="4"/>
      <c r="BG920" s="4"/>
    </row>
    <row r="921" ht="15.75" customHeight="1">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O921" s="4"/>
      <c r="AP921" s="4"/>
      <c r="AQ921" s="4"/>
      <c r="AR921" s="4"/>
      <c r="AS921" s="4"/>
      <c r="AT921" s="4"/>
      <c r="AU921" s="4"/>
      <c r="AV921" s="4"/>
      <c r="AW921" s="4"/>
      <c r="AX921" s="4"/>
      <c r="AY921" s="4"/>
      <c r="AZ921" s="4"/>
      <c r="BA921" s="4"/>
      <c r="BB921" s="4"/>
      <c r="BC921" s="4"/>
      <c r="BD921" s="4"/>
      <c r="BE921" s="4"/>
      <c r="BF921" s="4"/>
      <c r="BG921" s="4"/>
    </row>
    <row r="922" ht="15.75" customHeight="1">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O922" s="4"/>
      <c r="AP922" s="4"/>
      <c r="AQ922" s="4"/>
      <c r="AR922" s="4"/>
      <c r="AS922" s="4"/>
      <c r="AT922" s="4"/>
      <c r="AU922" s="4"/>
      <c r="AV922" s="4"/>
      <c r="AW922" s="4"/>
      <c r="AX922" s="4"/>
      <c r="AY922" s="4"/>
      <c r="AZ922" s="4"/>
      <c r="BA922" s="4"/>
      <c r="BB922" s="4"/>
      <c r="BC922" s="4"/>
      <c r="BD922" s="4"/>
      <c r="BE922" s="4"/>
      <c r="BF922" s="4"/>
      <c r="BG922" s="4"/>
    </row>
    <row r="923" ht="15.75" customHeight="1">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O923" s="4"/>
      <c r="AP923" s="4"/>
      <c r="AQ923" s="4"/>
      <c r="AR923" s="4"/>
      <c r="AS923" s="4"/>
      <c r="AT923" s="4"/>
      <c r="AU923" s="4"/>
      <c r="AV923" s="4"/>
      <c r="AW923" s="4"/>
      <c r="AX923" s="4"/>
      <c r="AY923" s="4"/>
      <c r="AZ923" s="4"/>
      <c r="BA923" s="4"/>
      <c r="BB923" s="4"/>
      <c r="BC923" s="4"/>
      <c r="BD923" s="4"/>
      <c r="BE923" s="4"/>
      <c r="BF923" s="4"/>
      <c r="BG923" s="4"/>
    </row>
    <row r="924" ht="15.75" customHeight="1">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O924" s="4"/>
      <c r="AP924" s="4"/>
      <c r="AQ924" s="4"/>
      <c r="AR924" s="4"/>
      <c r="AS924" s="4"/>
      <c r="AT924" s="4"/>
      <c r="AU924" s="4"/>
      <c r="AV924" s="4"/>
      <c r="AW924" s="4"/>
      <c r="AX924" s="4"/>
      <c r="AY924" s="4"/>
      <c r="AZ924" s="4"/>
      <c r="BA924" s="4"/>
      <c r="BB924" s="4"/>
      <c r="BC924" s="4"/>
      <c r="BD924" s="4"/>
      <c r="BE924" s="4"/>
      <c r="BF924" s="4"/>
      <c r="BG924" s="4"/>
    </row>
    <row r="925" ht="15.75" customHeight="1">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O925" s="4"/>
      <c r="AP925" s="4"/>
      <c r="AQ925" s="4"/>
      <c r="AR925" s="4"/>
      <c r="AS925" s="4"/>
      <c r="AT925" s="4"/>
      <c r="AU925" s="4"/>
      <c r="AV925" s="4"/>
      <c r="AW925" s="4"/>
      <c r="AX925" s="4"/>
      <c r="AY925" s="4"/>
      <c r="AZ925" s="4"/>
      <c r="BA925" s="4"/>
      <c r="BB925" s="4"/>
      <c r="BC925" s="4"/>
      <c r="BD925" s="4"/>
      <c r="BE925" s="4"/>
      <c r="BF925" s="4"/>
      <c r="BG925" s="4"/>
    </row>
    <row r="926" ht="15.75" customHeight="1">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O926" s="4"/>
      <c r="AP926" s="4"/>
      <c r="AQ926" s="4"/>
      <c r="AR926" s="4"/>
      <c r="AS926" s="4"/>
      <c r="AT926" s="4"/>
      <c r="AU926" s="4"/>
      <c r="AV926" s="4"/>
      <c r="AW926" s="4"/>
      <c r="AX926" s="4"/>
      <c r="AY926" s="4"/>
      <c r="AZ926" s="4"/>
      <c r="BA926" s="4"/>
      <c r="BB926" s="4"/>
      <c r="BC926" s="4"/>
      <c r="BD926" s="4"/>
      <c r="BE926" s="4"/>
      <c r="BF926" s="4"/>
      <c r="BG926" s="4"/>
    </row>
    <row r="927" ht="15.75" customHeight="1">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O927" s="4"/>
      <c r="AP927" s="4"/>
      <c r="AQ927" s="4"/>
      <c r="AR927" s="4"/>
      <c r="AS927" s="4"/>
      <c r="AT927" s="4"/>
      <c r="AU927" s="4"/>
      <c r="AV927" s="4"/>
      <c r="AW927" s="4"/>
      <c r="AX927" s="4"/>
      <c r="AY927" s="4"/>
      <c r="AZ927" s="4"/>
      <c r="BA927" s="4"/>
      <c r="BB927" s="4"/>
      <c r="BC927" s="4"/>
      <c r="BD927" s="4"/>
      <c r="BE927" s="4"/>
      <c r="BF927" s="4"/>
      <c r="BG927" s="4"/>
    </row>
    <row r="928" ht="15.75" customHeight="1">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O928" s="4"/>
      <c r="AP928" s="4"/>
      <c r="AQ928" s="4"/>
      <c r="AR928" s="4"/>
      <c r="AS928" s="4"/>
      <c r="AT928" s="4"/>
      <c r="AU928" s="4"/>
      <c r="AV928" s="4"/>
      <c r="AW928" s="4"/>
      <c r="AX928" s="4"/>
      <c r="AY928" s="4"/>
      <c r="AZ928" s="4"/>
      <c r="BA928" s="4"/>
      <c r="BB928" s="4"/>
      <c r="BC928" s="4"/>
      <c r="BD928" s="4"/>
      <c r="BE928" s="4"/>
      <c r="BF928" s="4"/>
      <c r="BG928" s="4"/>
    </row>
    <row r="929" ht="15.75" customHeight="1">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O929" s="4"/>
      <c r="AP929" s="4"/>
      <c r="AQ929" s="4"/>
      <c r="AR929" s="4"/>
      <c r="AS929" s="4"/>
      <c r="AT929" s="4"/>
      <c r="AU929" s="4"/>
      <c r="AV929" s="4"/>
      <c r="AW929" s="4"/>
      <c r="AX929" s="4"/>
      <c r="AY929" s="4"/>
      <c r="AZ929" s="4"/>
      <c r="BA929" s="4"/>
      <c r="BB929" s="4"/>
      <c r="BC929" s="4"/>
      <c r="BD929" s="4"/>
      <c r="BE929" s="4"/>
      <c r="BF929" s="4"/>
      <c r="BG929" s="4"/>
    </row>
    <row r="930" ht="15.75" customHeight="1">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O930" s="4"/>
      <c r="AP930" s="4"/>
      <c r="AQ930" s="4"/>
      <c r="AR930" s="4"/>
      <c r="AS930" s="4"/>
      <c r="AT930" s="4"/>
      <c r="AU930" s="4"/>
      <c r="AV930" s="4"/>
      <c r="AW930" s="4"/>
      <c r="AX930" s="4"/>
      <c r="AY930" s="4"/>
      <c r="AZ930" s="4"/>
      <c r="BA930" s="4"/>
      <c r="BB930" s="4"/>
      <c r="BC930" s="4"/>
      <c r="BD930" s="4"/>
      <c r="BE930" s="4"/>
      <c r="BF930" s="4"/>
      <c r="BG930" s="4"/>
    </row>
    <row r="931" ht="15.75" customHeight="1">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O931" s="4"/>
      <c r="AP931" s="4"/>
      <c r="AQ931" s="4"/>
      <c r="AR931" s="4"/>
      <c r="AS931" s="4"/>
      <c r="AT931" s="4"/>
      <c r="AU931" s="4"/>
      <c r="AV931" s="4"/>
      <c r="AW931" s="4"/>
      <c r="AX931" s="4"/>
      <c r="AY931" s="4"/>
      <c r="AZ931" s="4"/>
      <c r="BA931" s="4"/>
      <c r="BB931" s="4"/>
      <c r="BC931" s="4"/>
      <c r="BD931" s="4"/>
      <c r="BE931" s="4"/>
      <c r="BF931" s="4"/>
      <c r="BG931" s="4"/>
    </row>
    <row r="932" ht="15.75" customHeight="1">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O932" s="4"/>
      <c r="AP932" s="4"/>
      <c r="AQ932" s="4"/>
      <c r="AR932" s="4"/>
      <c r="AS932" s="4"/>
      <c r="AT932" s="4"/>
      <c r="AU932" s="4"/>
      <c r="AV932" s="4"/>
      <c r="AW932" s="4"/>
      <c r="AX932" s="4"/>
      <c r="AY932" s="4"/>
      <c r="AZ932" s="4"/>
      <c r="BA932" s="4"/>
      <c r="BB932" s="4"/>
      <c r="BC932" s="4"/>
      <c r="BD932" s="4"/>
      <c r="BE932" s="4"/>
      <c r="BF932" s="4"/>
      <c r="BG932" s="4"/>
    </row>
    <row r="933" ht="15.75" customHeight="1">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O933" s="4"/>
      <c r="AP933" s="4"/>
      <c r="AQ933" s="4"/>
      <c r="AR933" s="4"/>
      <c r="AS933" s="4"/>
      <c r="AT933" s="4"/>
      <c r="AU933" s="4"/>
      <c r="AV933" s="4"/>
      <c r="AW933" s="4"/>
      <c r="AX933" s="4"/>
      <c r="AY933" s="4"/>
      <c r="AZ933" s="4"/>
      <c r="BA933" s="4"/>
      <c r="BB933" s="4"/>
      <c r="BC933" s="4"/>
      <c r="BD933" s="4"/>
      <c r="BE933" s="4"/>
      <c r="BF933" s="4"/>
      <c r="BG933" s="4"/>
    </row>
    <row r="934" ht="15.75" customHeight="1">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O934" s="4"/>
      <c r="AP934" s="4"/>
      <c r="AQ934" s="4"/>
      <c r="AR934" s="4"/>
      <c r="AS934" s="4"/>
      <c r="AT934" s="4"/>
      <c r="AU934" s="4"/>
      <c r="AV934" s="4"/>
      <c r="AW934" s="4"/>
      <c r="AX934" s="4"/>
      <c r="AY934" s="4"/>
      <c r="AZ934" s="4"/>
      <c r="BA934" s="4"/>
      <c r="BB934" s="4"/>
      <c r="BC934" s="4"/>
      <c r="BD934" s="4"/>
      <c r="BE934" s="4"/>
      <c r="BF934" s="4"/>
      <c r="BG934" s="4"/>
    </row>
    <row r="935" ht="15.75" customHeight="1">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O935" s="4"/>
      <c r="AP935" s="4"/>
      <c r="AQ935" s="4"/>
      <c r="AR935" s="4"/>
      <c r="AS935" s="4"/>
      <c r="AT935" s="4"/>
      <c r="AU935" s="4"/>
      <c r="AV935" s="4"/>
      <c r="AW935" s="4"/>
      <c r="AX935" s="4"/>
      <c r="AY935" s="4"/>
      <c r="AZ935" s="4"/>
      <c r="BA935" s="4"/>
      <c r="BB935" s="4"/>
      <c r="BC935" s="4"/>
      <c r="BD935" s="4"/>
      <c r="BE935" s="4"/>
      <c r="BF935" s="4"/>
      <c r="BG935" s="4"/>
    </row>
    <row r="936" ht="15.75" customHeight="1">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O936" s="4"/>
      <c r="AP936" s="4"/>
      <c r="AQ936" s="4"/>
      <c r="AR936" s="4"/>
      <c r="AS936" s="4"/>
      <c r="AT936" s="4"/>
      <c r="AU936" s="4"/>
      <c r="AV936" s="4"/>
      <c r="AW936" s="4"/>
      <c r="AX936" s="4"/>
      <c r="AY936" s="4"/>
      <c r="AZ936" s="4"/>
      <c r="BA936" s="4"/>
      <c r="BB936" s="4"/>
      <c r="BC936" s="4"/>
      <c r="BD936" s="4"/>
      <c r="BE936" s="4"/>
      <c r="BF936" s="4"/>
      <c r="BG936" s="4"/>
    </row>
    <row r="937" ht="15.75" customHeight="1">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O937" s="4"/>
      <c r="AP937" s="4"/>
      <c r="AQ937" s="4"/>
      <c r="AR937" s="4"/>
      <c r="AS937" s="4"/>
      <c r="AT937" s="4"/>
      <c r="AU937" s="4"/>
      <c r="AV937" s="4"/>
      <c r="AW937" s="4"/>
      <c r="AX937" s="4"/>
      <c r="AY937" s="4"/>
      <c r="AZ937" s="4"/>
      <c r="BA937" s="4"/>
      <c r="BB937" s="4"/>
      <c r="BC937" s="4"/>
      <c r="BD937" s="4"/>
      <c r="BE937" s="4"/>
      <c r="BF937" s="4"/>
      <c r="BG937" s="4"/>
    </row>
    <row r="938" ht="15.75" customHeight="1">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O938" s="4"/>
      <c r="AP938" s="4"/>
      <c r="AQ938" s="4"/>
      <c r="AR938" s="4"/>
      <c r="AS938" s="4"/>
      <c r="AT938" s="4"/>
      <c r="AU938" s="4"/>
      <c r="AV938" s="4"/>
      <c r="AW938" s="4"/>
      <c r="AX938" s="4"/>
      <c r="AY938" s="4"/>
      <c r="AZ938" s="4"/>
      <c r="BA938" s="4"/>
      <c r="BB938" s="4"/>
      <c r="BC938" s="4"/>
      <c r="BD938" s="4"/>
      <c r="BE938" s="4"/>
      <c r="BF938" s="4"/>
      <c r="BG938" s="4"/>
    </row>
    <row r="939" ht="15.75" customHeight="1">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O939" s="4"/>
      <c r="AP939" s="4"/>
      <c r="AQ939" s="4"/>
      <c r="AR939" s="4"/>
      <c r="AS939" s="4"/>
      <c r="AT939" s="4"/>
      <c r="AU939" s="4"/>
      <c r="AV939" s="4"/>
      <c r="AW939" s="4"/>
      <c r="AX939" s="4"/>
      <c r="AY939" s="4"/>
      <c r="AZ939" s="4"/>
      <c r="BA939" s="4"/>
      <c r="BB939" s="4"/>
      <c r="BC939" s="4"/>
      <c r="BD939" s="4"/>
      <c r="BE939" s="4"/>
      <c r="BF939" s="4"/>
      <c r="BG939" s="4"/>
    </row>
    <row r="940" ht="15.75" customHeight="1">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O940" s="4"/>
      <c r="AP940" s="4"/>
      <c r="AQ940" s="4"/>
      <c r="AR940" s="4"/>
      <c r="AS940" s="4"/>
      <c r="AT940" s="4"/>
      <c r="AU940" s="4"/>
      <c r="AV940" s="4"/>
      <c r="AW940" s="4"/>
      <c r="AX940" s="4"/>
      <c r="AY940" s="4"/>
      <c r="AZ940" s="4"/>
      <c r="BA940" s="4"/>
      <c r="BB940" s="4"/>
      <c r="BC940" s="4"/>
      <c r="BD940" s="4"/>
      <c r="BE940" s="4"/>
      <c r="BF940" s="4"/>
      <c r="BG940" s="4"/>
    </row>
    <row r="941" ht="15.75" customHeight="1">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O941" s="4"/>
      <c r="AP941" s="4"/>
      <c r="AQ941" s="4"/>
      <c r="AR941" s="4"/>
      <c r="AS941" s="4"/>
      <c r="AT941" s="4"/>
      <c r="AU941" s="4"/>
      <c r="AV941" s="4"/>
      <c r="AW941" s="4"/>
      <c r="AX941" s="4"/>
      <c r="AY941" s="4"/>
      <c r="AZ941" s="4"/>
      <c r="BA941" s="4"/>
      <c r="BB941" s="4"/>
      <c r="BC941" s="4"/>
      <c r="BD941" s="4"/>
      <c r="BE941" s="4"/>
      <c r="BF941" s="4"/>
      <c r="BG941" s="4"/>
    </row>
    <row r="942" ht="15.75" customHeight="1">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O942" s="4"/>
      <c r="AP942" s="4"/>
      <c r="AQ942" s="4"/>
      <c r="AR942" s="4"/>
      <c r="AS942" s="4"/>
      <c r="AT942" s="4"/>
      <c r="AU942" s="4"/>
      <c r="AV942" s="4"/>
      <c r="AW942" s="4"/>
      <c r="AX942" s="4"/>
      <c r="AY942" s="4"/>
      <c r="AZ942" s="4"/>
      <c r="BA942" s="4"/>
      <c r="BB942" s="4"/>
      <c r="BC942" s="4"/>
      <c r="BD942" s="4"/>
      <c r="BE942" s="4"/>
      <c r="BF942" s="4"/>
      <c r="BG942" s="4"/>
    </row>
    <row r="943" ht="15.75" customHeight="1">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O943" s="4"/>
      <c r="AP943" s="4"/>
      <c r="AQ943" s="4"/>
      <c r="AR943" s="4"/>
      <c r="AS943" s="4"/>
      <c r="AT943" s="4"/>
      <c r="AU943" s="4"/>
      <c r="AV943" s="4"/>
      <c r="AW943" s="4"/>
      <c r="AX943" s="4"/>
      <c r="AY943" s="4"/>
      <c r="AZ943" s="4"/>
      <c r="BA943" s="4"/>
      <c r="BB943" s="4"/>
      <c r="BC943" s="4"/>
      <c r="BD943" s="4"/>
      <c r="BE943" s="4"/>
      <c r="BF943" s="4"/>
      <c r="BG943" s="4"/>
    </row>
    <row r="944" ht="15.75" customHeight="1">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O944" s="4"/>
      <c r="AP944" s="4"/>
      <c r="AQ944" s="4"/>
      <c r="AR944" s="4"/>
      <c r="AS944" s="4"/>
      <c r="AT944" s="4"/>
      <c r="AU944" s="4"/>
      <c r="AV944" s="4"/>
      <c r="AW944" s="4"/>
      <c r="AX944" s="4"/>
      <c r="AY944" s="4"/>
      <c r="AZ944" s="4"/>
      <c r="BA944" s="4"/>
      <c r="BB944" s="4"/>
      <c r="BC944" s="4"/>
      <c r="BD944" s="4"/>
      <c r="BE944" s="4"/>
      <c r="BF944" s="4"/>
      <c r="BG944" s="4"/>
    </row>
    <row r="945" ht="15.75" customHeight="1">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O945" s="4"/>
      <c r="AP945" s="4"/>
      <c r="AQ945" s="4"/>
      <c r="AR945" s="4"/>
      <c r="AS945" s="4"/>
      <c r="AT945" s="4"/>
      <c r="AU945" s="4"/>
      <c r="AV945" s="4"/>
      <c r="AW945" s="4"/>
      <c r="AX945" s="4"/>
      <c r="AY945" s="4"/>
      <c r="AZ945" s="4"/>
      <c r="BA945" s="4"/>
      <c r="BB945" s="4"/>
      <c r="BC945" s="4"/>
      <c r="BD945" s="4"/>
      <c r="BE945" s="4"/>
      <c r="BF945" s="4"/>
      <c r="BG945" s="4"/>
    </row>
    <row r="946" ht="15.75" customHeight="1">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O946" s="4"/>
      <c r="AP946" s="4"/>
      <c r="AQ946" s="4"/>
      <c r="AR946" s="4"/>
      <c r="AS946" s="4"/>
      <c r="AT946" s="4"/>
      <c r="AU946" s="4"/>
      <c r="AV946" s="4"/>
      <c r="AW946" s="4"/>
      <c r="AX946" s="4"/>
      <c r="AY946" s="4"/>
      <c r="AZ946" s="4"/>
      <c r="BA946" s="4"/>
      <c r="BB946" s="4"/>
      <c r="BC946" s="4"/>
      <c r="BD946" s="4"/>
      <c r="BE946" s="4"/>
      <c r="BF946" s="4"/>
      <c r="BG946" s="4"/>
    </row>
    <row r="947" ht="15.75" customHeight="1">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O947" s="4"/>
      <c r="AP947" s="4"/>
      <c r="AQ947" s="4"/>
      <c r="AR947" s="4"/>
      <c r="AS947" s="4"/>
      <c r="AT947" s="4"/>
      <c r="AU947" s="4"/>
      <c r="AV947" s="4"/>
      <c r="AW947" s="4"/>
      <c r="AX947" s="4"/>
      <c r="AY947" s="4"/>
      <c r="AZ947" s="4"/>
      <c r="BA947" s="4"/>
      <c r="BB947" s="4"/>
      <c r="BC947" s="4"/>
      <c r="BD947" s="4"/>
      <c r="BE947" s="4"/>
      <c r="BF947" s="4"/>
      <c r="BG947" s="4"/>
    </row>
    <row r="948" ht="15.75" customHeight="1">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O948" s="4"/>
      <c r="AP948" s="4"/>
      <c r="AQ948" s="4"/>
      <c r="AR948" s="4"/>
      <c r="AS948" s="4"/>
      <c r="AT948" s="4"/>
      <c r="AU948" s="4"/>
      <c r="AV948" s="4"/>
      <c r="AW948" s="4"/>
      <c r="AX948" s="4"/>
      <c r="AY948" s="4"/>
      <c r="AZ948" s="4"/>
      <c r="BA948" s="4"/>
      <c r="BB948" s="4"/>
      <c r="BC948" s="4"/>
      <c r="BD948" s="4"/>
      <c r="BE948" s="4"/>
      <c r="BF948" s="4"/>
      <c r="BG948" s="4"/>
    </row>
    <row r="949" ht="15.75" customHeight="1">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O949" s="4"/>
      <c r="AP949" s="4"/>
      <c r="AQ949" s="4"/>
      <c r="AR949" s="4"/>
      <c r="AS949" s="4"/>
      <c r="AT949" s="4"/>
      <c r="AU949" s="4"/>
      <c r="AV949" s="4"/>
      <c r="AW949" s="4"/>
      <c r="AX949" s="4"/>
      <c r="AY949" s="4"/>
      <c r="AZ949" s="4"/>
      <c r="BA949" s="4"/>
      <c r="BB949" s="4"/>
      <c r="BC949" s="4"/>
      <c r="BD949" s="4"/>
      <c r="BE949" s="4"/>
      <c r="BF949" s="4"/>
      <c r="BG949" s="4"/>
    </row>
    <row r="950" ht="15.75" customHeight="1">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O950" s="4"/>
      <c r="AP950" s="4"/>
      <c r="AQ950" s="4"/>
      <c r="AR950" s="4"/>
      <c r="AS950" s="4"/>
      <c r="AT950" s="4"/>
      <c r="AU950" s="4"/>
      <c r="AV950" s="4"/>
      <c r="AW950" s="4"/>
      <c r="AX950" s="4"/>
      <c r="AY950" s="4"/>
      <c r="AZ950" s="4"/>
      <c r="BA950" s="4"/>
      <c r="BB950" s="4"/>
      <c r="BC950" s="4"/>
      <c r="BD950" s="4"/>
      <c r="BE950" s="4"/>
      <c r="BF950" s="4"/>
      <c r="BG950" s="4"/>
    </row>
    <row r="951" ht="15.75" customHeight="1">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O951" s="4"/>
      <c r="AP951" s="4"/>
      <c r="AQ951" s="4"/>
      <c r="AR951" s="4"/>
      <c r="AS951" s="4"/>
      <c r="AT951" s="4"/>
      <c r="AU951" s="4"/>
      <c r="AV951" s="4"/>
      <c r="AW951" s="4"/>
      <c r="AX951" s="4"/>
      <c r="AY951" s="4"/>
      <c r="AZ951" s="4"/>
      <c r="BA951" s="4"/>
      <c r="BB951" s="4"/>
      <c r="BC951" s="4"/>
      <c r="BD951" s="4"/>
      <c r="BE951" s="4"/>
      <c r="BF951" s="4"/>
      <c r="BG951" s="4"/>
    </row>
    <row r="952" ht="15.75" customHeight="1">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O952" s="4"/>
      <c r="AP952" s="4"/>
      <c r="AQ952" s="4"/>
      <c r="AR952" s="4"/>
      <c r="AS952" s="4"/>
      <c r="AT952" s="4"/>
      <c r="AU952" s="4"/>
      <c r="AV952" s="4"/>
      <c r="AW952" s="4"/>
      <c r="AX952" s="4"/>
      <c r="AY952" s="4"/>
      <c r="AZ952" s="4"/>
      <c r="BA952" s="4"/>
      <c r="BB952" s="4"/>
      <c r="BC952" s="4"/>
      <c r="BD952" s="4"/>
      <c r="BE952" s="4"/>
      <c r="BF952" s="4"/>
      <c r="BG952" s="4"/>
    </row>
    <row r="953" ht="15.75" customHeight="1">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O953" s="4"/>
      <c r="AP953" s="4"/>
      <c r="AQ953" s="4"/>
      <c r="AR953" s="4"/>
      <c r="AS953" s="4"/>
      <c r="AT953" s="4"/>
      <c r="AU953" s="4"/>
      <c r="AV953" s="4"/>
      <c r="AW953" s="4"/>
      <c r="AX953" s="4"/>
      <c r="AY953" s="4"/>
      <c r="AZ953" s="4"/>
      <c r="BA953" s="4"/>
      <c r="BB953" s="4"/>
      <c r="BC953" s="4"/>
      <c r="BD953" s="4"/>
      <c r="BE953" s="4"/>
      <c r="BF953" s="4"/>
      <c r="BG953" s="4"/>
    </row>
    <row r="954" ht="15.75" customHeight="1">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O954" s="4"/>
      <c r="AP954" s="4"/>
      <c r="AQ954" s="4"/>
      <c r="AR954" s="4"/>
      <c r="AS954" s="4"/>
      <c r="AT954" s="4"/>
      <c r="AU954" s="4"/>
      <c r="AV954" s="4"/>
      <c r="AW954" s="4"/>
      <c r="AX954" s="4"/>
      <c r="AY954" s="4"/>
      <c r="AZ954" s="4"/>
      <c r="BA954" s="4"/>
      <c r="BB954" s="4"/>
      <c r="BC954" s="4"/>
      <c r="BD954" s="4"/>
      <c r="BE954" s="4"/>
      <c r="BF954" s="4"/>
      <c r="BG954" s="4"/>
    </row>
    <row r="955" ht="15.75" customHeight="1">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O955" s="4"/>
      <c r="AP955" s="4"/>
      <c r="AQ955" s="4"/>
      <c r="AR955" s="4"/>
      <c r="AS955" s="4"/>
      <c r="AT955" s="4"/>
      <c r="AU955" s="4"/>
      <c r="AV955" s="4"/>
      <c r="AW955" s="4"/>
      <c r="AX955" s="4"/>
      <c r="AY955" s="4"/>
      <c r="AZ955" s="4"/>
      <c r="BA955" s="4"/>
      <c r="BB955" s="4"/>
      <c r="BC955" s="4"/>
      <c r="BD955" s="4"/>
      <c r="BE955" s="4"/>
      <c r="BF955" s="4"/>
      <c r="BG955" s="4"/>
    </row>
    <row r="956" ht="15.75" customHeight="1">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O956" s="4"/>
      <c r="AP956" s="4"/>
      <c r="AQ956" s="4"/>
      <c r="AR956" s="4"/>
      <c r="AS956" s="4"/>
      <c r="AT956" s="4"/>
      <c r="AU956" s="4"/>
      <c r="AV956" s="4"/>
      <c r="AW956" s="4"/>
      <c r="AX956" s="4"/>
      <c r="AY956" s="4"/>
      <c r="AZ956" s="4"/>
      <c r="BA956" s="4"/>
      <c r="BB956" s="4"/>
      <c r="BC956" s="4"/>
      <c r="BD956" s="4"/>
      <c r="BE956" s="4"/>
      <c r="BF956" s="4"/>
      <c r="BG956" s="4"/>
    </row>
    <row r="957" ht="15.75" customHeight="1">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O957" s="4"/>
      <c r="AP957" s="4"/>
      <c r="AQ957" s="4"/>
      <c r="AR957" s="4"/>
      <c r="AS957" s="4"/>
      <c r="AT957" s="4"/>
      <c r="AU957" s="4"/>
      <c r="AV957" s="4"/>
      <c r="AW957" s="4"/>
      <c r="AX957" s="4"/>
      <c r="AY957" s="4"/>
      <c r="AZ957" s="4"/>
      <c r="BA957" s="4"/>
      <c r="BB957" s="4"/>
      <c r="BC957" s="4"/>
      <c r="BD957" s="4"/>
      <c r="BE957" s="4"/>
      <c r="BF957" s="4"/>
      <c r="BG957" s="4"/>
    </row>
    <row r="958" ht="15.75" customHeight="1">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O958" s="4"/>
      <c r="AP958" s="4"/>
      <c r="AQ958" s="4"/>
      <c r="AR958" s="4"/>
      <c r="AS958" s="4"/>
      <c r="AT958" s="4"/>
      <c r="AU958" s="4"/>
      <c r="AV958" s="4"/>
      <c r="AW958" s="4"/>
      <c r="AX958" s="4"/>
      <c r="AY958" s="4"/>
      <c r="AZ958" s="4"/>
      <c r="BA958" s="4"/>
      <c r="BB958" s="4"/>
      <c r="BC958" s="4"/>
      <c r="BD958" s="4"/>
      <c r="BE958" s="4"/>
      <c r="BF958" s="4"/>
      <c r="BG958" s="4"/>
    </row>
    <row r="959" ht="15.75" customHeight="1">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O959" s="4"/>
      <c r="AP959" s="4"/>
      <c r="AQ959" s="4"/>
      <c r="AR959" s="4"/>
      <c r="AS959" s="4"/>
      <c r="AT959" s="4"/>
      <c r="AU959" s="4"/>
      <c r="AV959" s="4"/>
      <c r="AW959" s="4"/>
      <c r="AX959" s="4"/>
      <c r="AY959" s="4"/>
      <c r="AZ959" s="4"/>
      <c r="BA959" s="4"/>
      <c r="BB959" s="4"/>
      <c r="BC959" s="4"/>
      <c r="BD959" s="4"/>
      <c r="BE959" s="4"/>
      <c r="BF959" s="4"/>
      <c r="BG959" s="4"/>
    </row>
    <row r="960" ht="15.75" customHeight="1">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O960" s="4"/>
      <c r="AP960" s="4"/>
      <c r="AQ960" s="4"/>
      <c r="AR960" s="4"/>
      <c r="AS960" s="4"/>
      <c r="AT960" s="4"/>
      <c r="AU960" s="4"/>
      <c r="AV960" s="4"/>
      <c r="AW960" s="4"/>
      <c r="AX960" s="4"/>
      <c r="AY960" s="4"/>
      <c r="AZ960" s="4"/>
      <c r="BA960" s="4"/>
      <c r="BB960" s="4"/>
      <c r="BC960" s="4"/>
      <c r="BD960" s="4"/>
      <c r="BE960" s="4"/>
      <c r="BF960" s="4"/>
      <c r="BG960" s="4"/>
    </row>
    <row r="961" ht="15.75" customHeight="1">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O961" s="4"/>
      <c r="AP961" s="4"/>
      <c r="AQ961" s="4"/>
      <c r="AR961" s="4"/>
      <c r="AS961" s="4"/>
      <c r="AT961" s="4"/>
      <c r="AU961" s="4"/>
      <c r="AV961" s="4"/>
      <c r="AW961" s="4"/>
      <c r="AX961" s="4"/>
      <c r="AY961" s="4"/>
      <c r="AZ961" s="4"/>
      <c r="BA961" s="4"/>
      <c r="BB961" s="4"/>
      <c r="BC961" s="4"/>
      <c r="BD961" s="4"/>
      <c r="BE961" s="4"/>
      <c r="BF961" s="4"/>
      <c r="BG961" s="4"/>
    </row>
    <row r="962" ht="15.75" customHeight="1">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O962" s="4"/>
      <c r="AP962" s="4"/>
      <c r="AQ962" s="4"/>
      <c r="AR962" s="4"/>
      <c r="AS962" s="4"/>
      <c r="AT962" s="4"/>
      <c r="AU962" s="4"/>
      <c r="AV962" s="4"/>
      <c r="AW962" s="4"/>
      <c r="AX962" s="4"/>
      <c r="AY962" s="4"/>
      <c r="AZ962" s="4"/>
      <c r="BA962" s="4"/>
      <c r="BB962" s="4"/>
      <c r="BC962" s="4"/>
      <c r="BD962" s="4"/>
      <c r="BE962" s="4"/>
      <c r="BF962" s="4"/>
      <c r="BG962" s="4"/>
    </row>
    <row r="963" ht="15.75" customHeight="1">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O963" s="4"/>
      <c r="AP963" s="4"/>
      <c r="AQ963" s="4"/>
      <c r="AR963" s="4"/>
      <c r="AS963" s="4"/>
      <c r="AT963" s="4"/>
      <c r="AU963" s="4"/>
      <c r="AV963" s="4"/>
      <c r="AW963" s="4"/>
      <c r="AX963" s="4"/>
      <c r="AY963" s="4"/>
      <c r="AZ963" s="4"/>
      <c r="BA963" s="4"/>
      <c r="BB963" s="4"/>
      <c r="BC963" s="4"/>
      <c r="BD963" s="4"/>
      <c r="BE963" s="4"/>
      <c r="BF963" s="4"/>
      <c r="BG963" s="4"/>
    </row>
    <row r="964" ht="15.75" customHeight="1">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O964" s="4"/>
      <c r="AP964" s="4"/>
      <c r="AQ964" s="4"/>
      <c r="AR964" s="4"/>
      <c r="AS964" s="4"/>
      <c r="AT964" s="4"/>
      <c r="AU964" s="4"/>
      <c r="AV964" s="4"/>
      <c r="AW964" s="4"/>
      <c r="AX964" s="4"/>
      <c r="AY964" s="4"/>
      <c r="AZ964" s="4"/>
      <c r="BA964" s="4"/>
      <c r="BB964" s="4"/>
      <c r="BC964" s="4"/>
      <c r="BD964" s="4"/>
      <c r="BE964" s="4"/>
      <c r="BF964" s="4"/>
      <c r="BG964" s="4"/>
    </row>
    <row r="965" ht="15.75" customHeight="1">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O965" s="4"/>
      <c r="AP965" s="4"/>
      <c r="AQ965" s="4"/>
      <c r="AR965" s="4"/>
      <c r="AS965" s="4"/>
      <c r="AT965" s="4"/>
      <c r="AU965" s="4"/>
      <c r="AV965" s="4"/>
      <c r="AW965" s="4"/>
      <c r="AX965" s="4"/>
      <c r="AY965" s="4"/>
      <c r="AZ965" s="4"/>
      <c r="BA965" s="4"/>
      <c r="BB965" s="4"/>
      <c r="BC965" s="4"/>
      <c r="BD965" s="4"/>
      <c r="BE965" s="4"/>
      <c r="BF965" s="4"/>
      <c r="BG965" s="4"/>
    </row>
    <row r="966" ht="15.75" customHeight="1">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O966" s="4"/>
      <c r="AP966" s="4"/>
      <c r="AQ966" s="4"/>
      <c r="AR966" s="4"/>
      <c r="AS966" s="4"/>
      <c r="AT966" s="4"/>
      <c r="AU966" s="4"/>
      <c r="AV966" s="4"/>
      <c r="AW966" s="4"/>
      <c r="AX966" s="4"/>
      <c r="AY966" s="4"/>
      <c r="AZ966" s="4"/>
      <c r="BA966" s="4"/>
      <c r="BB966" s="4"/>
      <c r="BC966" s="4"/>
      <c r="BD966" s="4"/>
      <c r="BE966" s="4"/>
      <c r="BF966" s="4"/>
      <c r="BG966" s="4"/>
    </row>
    <row r="967" ht="15.75" customHeight="1">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O967" s="4"/>
      <c r="AP967" s="4"/>
      <c r="AQ967" s="4"/>
      <c r="AR967" s="4"/>
      <c r="AS967" s="4"/>
      <c r="AT967" s="4"/>
      <c r="AU967" s="4"/>
      <c r="AV967" s="4"/>
      <c r="AW967" s="4"/>
      <c r="AX967" s="4"/>
      <c r="AY967" s="4"/>
      <c r="AZ967" s="4"/>
      <c r="BA967" s="4"/>
      <c r="BB967" s="4"/>
      <c r="BC967" s="4"/>
      <c r="BD967" s="4"/>
      <c r="BE967" s="4"/>
      <c r="BF967" s="4"/>
      <c r="BG967" s="4"/>
    </row>
    <row r="968" ht="15.75" customHeight="1">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O968" s="4"/>
      <c r="AP968" s="4"/>
      <c r="AQ968" s="4"/>
      <c r="AR968" s="4"/>
      <c r="AS968" s="4"/>
      <c r="AT968" s="4"/>
      <c r="AU968" s="4"/>
      <c r="AV968" s="4"/>
      <c r="AW968" s="4"/>
      <c r="AX968" s="4"/>
      <c r="AY968" s="4"/>
      <c r="AZ968" s="4"/>
      <c r="BA968" s="4"/>
      <c r="BB968" s="4"/>
      <c r="BC968" s="4"/>
      <c r="BD968" s="4"/>
      <c r="BE968" s="4"/>
      <c r="BF968" s="4"/>
      <c r="BG968" s="4"/>
    </row>
    <row r="969" ht="15.75" customHeight="1">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O969" s="4"/>
      <c r="AP969" s="4"/>
      <c r="AQ969" s="4"/>
      <c r="AR969" s="4"/>
      <c r="AS969" s="4"/>
      <c r="AT969" s="4"/>
      <c r="AU969" s="4"/>
      <c r="AV969" s="4"/>
      <c r="AW969" s="4"/>
      <c r="AX969" s="4"/>
      <c r="AY969" s="4"/>
      <c r="AZ969" s="4"/>
      <c r="BA969" s="4"/>
      <c r="BB969" s="4"/>
      <c r="BC969" s="4"/>
      <c r="BD969" s="4"/>
      <c r="BE969" s="4"/>
      <c r="BF969" s="4"/>
      <c r="BG969" s="4"/>
    </row>
    <row r="970" ht="15.75" customHeight="1">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O970" s="4"/>
      <c r="AP970" s="4"/>
      <c r="AQ970" s="4"/>
      <c r="AR970" s="4"/>
      <c r="AS970" s="4"/>
      <c r="AT970" s="4"/>
      <c r="AU970" s="4"/>
      <c r="AV970" s="4"/>
      <c r="AW970" s="4"/>
      <c r="AX970" s="4"/>
      <c r="AY970" s="4"/>
      <c r="AZ970" s="4"/>
      <c r="BA970" s="4"/>
      <c r="BB970" s="4"/>
      <c r="BC970" s="4"/>
      <c r="BD970" s="4"/>
      <c r="BE970" s="4"/>
      <c r="BF970" s="4"/>
      <c r="BG970" s="4"/>
    </row>
    <row r="971" ht="15.75" customHeight="1">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O971" s="4"/>
      <c r="AP971" s="4"/>
      <c r="AQ971" s="4"/>
      <c r="AR971" s="4"/>
      <c r="AS971" s="4"/>
      <c r="AT971" s="4"/>
      <c r="AU971" s="4"/>
      <c r="AV971" s="4"/>
      <c r="AW971" s="4"/>
      <c r="AX971" s="4"/>
      <c r="AY971" s="4"/>
      <c r="AZ971" s="4"/>
      <c r="BA971" s="4"/>
      <c r="BB971" s="4"/>
      <c r="BC971" s="4"/>
      <c r="BD971" s="4"/>
      <c r="BE971" s="4"/>
      <c r="BF971" s="4"/>
      <c r="BG971" s="4"/>
    </row>
    <row r="972" ht="15.75" customHeight="1">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O972" s="4"/>
      <c r="AP972" s="4"/>
      <c r="AQ972" s="4"/>
      <c r="AR972" s="4"/>
      <c r="AS972" s="4"/>
      <c r="AT972" s="4"/>
      <c r="AU972" s="4"/>
      <c r="AV972" s="4"/>
      <c r="AW972" s="4"/>
      <c r="AX972" s="4"/>
      <c r="AY972" s="4"/>
      <c r="AZ972" s="4"/>
      <c r="BA972" s="4"/>
      <c r="BB972" s="4"/>
      <c r="BC972" s="4"/>
      <c r="BD972" s="4"/>
      <c r="BE972" s="4"/>
      <c r="BF972" s="4"/>
      <c r="BG972" s="4"/>
    </row>
    <row r="973" ht="15.75" customHeight="1">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O973" s="4"/>
      <c r="AP973" s="4"/>
      <c r="AQ973" s="4"/>
      <c r="AR973" s="4"/>
      <c r="AS973" s="4"/>
      <c r="AT973" s="4"/>
      <c r="AU973" s="4"/>
      <c r="AV973" s="4"/>
      <c r="AW973" s="4"/>
      <c r="AX973" s="4"/>
      <c r="AY973" s="4"/>
      <c r="AZ973" s="4"/>
      <c r="BA973" s="4"/>
      <c r="BB973" s="4"/>
      <c r="BC973" s="4"/>
      <c r="BD973" s="4"/>
      <c r="BE973" s="4"/>
      <c r="BF973" s="4"/>
      <c r="BG973" s="4"/>
    </row>
    <row r="974" ht="15.75" customHeight="1">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O974" s="4"/>
      <c r="AP974" s="4"/>
      <c r="AQ974" s="4"/>
      <c r="AR974" s="4"/>
      <c r="AS974" s="4"/>
      <c r="AT974" s="4"/>
      <c r="AU974" s="4"/>
      <c r="AV974" s="4"/>
      <c r="AW974" s="4"/>
      <c r="AX974" s="4"/>
      <c r="AY974" s="4"/>
      <c r="AZ974" s="4"/>
      <c r="BA974" s="4"/>
      <c r="BB974" s="4"/>
      <c r="BC974" s="4"/>
      <c r="BD974" s="4"/>
      <c r="BE974" s="4"/>
      <c r="BF974" s="4"/>
      <c r="BG974" s="4"/>
    </row>
    <row r="975" ht="15.75" customHeight="1">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O975" s="4"/>
      <c r="AP975" s="4"/>
      <c r="AQ975" s="4"/>
      <c r="AR975" s="4"/>
      <c r="AS975" s="4"/>
      <c r="AT975" s="4"/>
      <c r="AU975" s="4"/>
      <c r="AV975" s="4"/>
      <c r="AW975" s="4"/>
      <c r="AX975" s="4"/>
      <c r="AY975" s="4"/>
      <c r="AZ975" s="4"/>
      <c r="BA975" s="4"/>
      <c r="BB975" s="4"/>
      <c r="BC975" s="4"/>
      <c r="BD975" s="4"/>
      <c r="BE975" s="4"/>
      <c r="BF975" s="4"/>
      <c r="BG975" s="4"/>
    </row>
    <row r="976" ht="15.75" customHeight="1">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O976" s="4"/>
      <c r="AP976" s="4"/>
      <c r="AQ976" s="4"/>
      <c r="AR976" s="4"/>
      <c r="AS976" s="4"/>
      <c r="AT976" s="4"/>
      <c r="AU976" s="4"/>
      <c r="AV976" s="4"/>
      <c r="AW976" s="4"/>
      <c r="AX976" s="4"/>
      <c r="AY976" s="4"/>
      <c r="AZ976" s="4"/>
      <c r="BA976" s="4"/>
      <c r="BB976" s="4"/>
      <c r="BC976" s="4"/>
      <c r="BD976" s="4"/>
      <c r="BE976" s="4"/>
      <c r="BF976" s="4"/>
      <c r="BG976" s="4"/>
    </row>
    <row r="977" ht="15.75" customHeight="1">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O977" s="4"/>
      <c r="AP977" s="4"/>
      <c r="AQ977" s="4"/>
      <c r="AR977" s="4"/>
      <c r="AS977" s="4"/>
      <c r="AT977" s="4"/>
      <c r="AU977" s="4"/>
      <c r="AV977" s="4"/>
      <c r="AW977" s="4"/>
      <c r="AX977" s="4"/>
      <c r="AY977" s="4"/>
      <c r="AZ977" s="4"/>
      <c r="BA977" s="4"/>
      <c r="BB977" s="4"/>
      <c r="BC977" s="4"/>
      <c r="BD977" s="4"/>
      <c r="BE977" s="4"/>
      <c r="BF977" s="4"/>
      <c r="BG977" s="4"/>
    </row>
    <row r="978" ht="15.75" customHeight="1">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O978" s="4"/>
      <c r="AP978" s="4"/>
      <c r="AQ978" s="4"/>
      <c r="AR978" s="4"/>
      <c r="AS978" s="4"/>
      <c r="AT978" s="4"/>
      <c r="AU978" s="4"/>
      <c r="AV978" s="4"/>
      <c r="AW978" s="4"/>
      <c r="AX978" s="4"/>
      <c r="AY978" s="4"/>
      <c r="AZ978" s="4"/>
      <c r="BA978" s="4"/>
      <c r="BB978" s="4"/>
      <c r="BC978" s="4"/>
      <c r="BD978" s="4"/>
      <c r="BE978" s="4"/>
      <c r="BF978" s="4"/>
      <c r="BG978" s="4"/>
    </row>
    <row r="979" ht="15.75" customHeight="1">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O979" s="4"/>
      <c r="AP979" s="4"/>
      <c r="AQ979" s="4"/>
      <c r="AR979" s="4"/>
      <c r="AS979" s="4"/>
      <c r="AT979" s="4"/>
      <c r="AU979" s="4"/>
      <c r="AV979" s="4"/>
      <c r="AW979" s="4"/>
      <c r="AX979" s="4"/>
      <c r="AY979" s="4"/>
      <c r="AZ979" s="4"/>
      <c r="BA979" s="4"/>
      <c r="BB979" s="4"/>
      <c r="BC979" s="4"/>
      <c r="BD979" s="4"/>
      <c r="BE979" s="4"/>
      <c r="BF979" s="4"/>
      <c r="BG979" s="4"/>
    </row>
    <row r="980" ht="15.75" customHeight="1">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O980" s="4"/>
      <c r="AP980" s="4"/>
      <c r="AQ980" s="4"/>
      <c r="AR980" s="4"/>
      <c r="AS980" s="4"/>
      <c r="AT980" s="4"/>
      <c r="AU980" s="4"/>
      <c r="AV980" s="4"/>
      <c r="AW980" s="4"/>
      <c r="AX980" s="4"/>
      <c r="AY980" s="4"/>
      <c r="AZ980" s="4"/>
      <c r="BA980" s="4"/>
      <c r="BB980" s="4"/>
      <c r="BC980" s="4"/>
      <c r="BD980" s="4"/>
      <c r="BE980" s="4"/>
      <c r="BF980" s="4"/>
      <c r="BG980" s="4"/>
    </row>
    <row r="981" ht="15.75" customHeight="1">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O981" s="4"/>
      <c r="AP981" s="4"/>
      <c r="AQ981" s="4"/>
      <c r="AR981" s="4"/>
      <c r="AS981" s="4"/>
      <c r="AT981" s="4"/>
      <c r="AU981" s="4"/>
      <c r="AV981" s="4"/>
      <c r="AW981" s="4"/>
      <c r="AX981" s="4"/>
      <c r="AY981" s="4"/>
      <c r="AZ981" s="4"/>
      <c r="BA981" s="4"/>
      <c r="BB981" s="4"/>
      <c r="BC981" s="4"/>
      <c r="BD981" s="4"/>
      <c r="BE981" s="4"/>
      <c r="BF981" s="4"/>
      <c r="BG981" s="4"/>
    </row>
    <row r="982" ht="15.75" customHeight="1">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O982" s="4"/>
      <c r="AP982" s="4"/>
      <c r="AQ982" s="4"/>
      <c r="AR982" s="4"/>
      <c r="AS982" s="4"/>
      <c r="AT982" s="4"/>
      <c r="AU982" s="4"/>
      <c r="AV982" s="4"/>
      <c r="AW982" s="4"/>
      <c r="AX982" s="4"/>
      <c r="AY982" s="4"/>
      <c r="AZ982" s="4"/>
      <c r="BA982" s="4"/>
      <c r="BB982" s="4"/>
      <c r="BC982" s="4"/>
      <c r="BD982" s="4"/>
      <c r="BE982" s="4"/>
      <c r="BF982" s="4"/>
      <c r="BG982" s="4"/>
    </row>
    <row r="983" ht="15.75" customHeight="1">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O983" s="4"/>
      <c r="AP983" s="4"/>
      <c r="AQ983" s="4"/>
      <c r="AR983" s="4"/>
      <c r="AS983" s="4"/>
      <c r="AT983" s="4"/>
      <c r="AU983" s="4"/>
      <c r="AV983" s="4"/>
      <c r="AW983" s="4"/>
      <c r="AX983" s="4"/>
      <c r="AY983" s="4"/>
      <c r="AZ983" s="4"/>
      <c r="BA983" s="4"/>
      <c r="BB983" s="4"/>
      <c r="BC983" s="4"/>
      <c r="BD983" s="4"/>
      <c r="BE983" s="4"/>
      <c r="BF983" s="4"/>
      <c r="BG983" s="4"/>
    </row>
    <row r="984" ht="15.75" customHeight="1">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O984" s="4"/>
      <c r="AP984" s="4"/>
      <c r="AQ984" s="4"/>
      <c r="AR984" s="4"/>
      <c r="AS984" s="4"/>
      <c r="AT984" s="4"/>
      <c r="AU984" s="4"/>
      <c r="AV984" s="4"/>
      <c r="AW984" s="4"/>
      <c r="AX984" s="4"/>
      <c r="AY984" s="4"/>
      <c r="AZ984" s="4"/>
      <c r="BA984" s="4"/>
      <c r="BB984" s="4"/>
      <c r="BC984" s="4"/>
      <c r="BD984" s="4"/>
      <c r="BE984" s="4"/>
      <c r="BF984" s="4"/>
      <c r="BG984" s="4"/>
    </row>
    <row r="985" ht="15.75" customHeight="1">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O985" s="4"/>
      <c r="AP985" s="4"/>
      <c r="AQ985" s="4"/>
      <c r="AR985" s="4"/>
      <c r="AS985" s="4"/>
      <c r="AT985" s="4"/>
      <c r="AU985" s="4"/>
      <c r="AV985" s="4"/>
      <c r="AW985" s="4"/>
      <c r="AX985" s="4"/>
      <c r="AY985" s="4"/>
      <c r="AZ985" s="4"/>
      <c r="BA985" s="4"/>
      <c r="BB985" s="4"/>
      <c r="BC985" s="4"/>
      <c r="BD985" s="4"/>
      <c r="BE985" s="4"/>
      <c r="BF985" s="4"/>
      <c r="BG985" s="4"/>
    </row>
    <row r="986" ht="15.75" customHeight="1">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O986" s="4"/>
      <c r="AP986" s="4"/>
      <c r="AQ986" s="4"/>
      <c r="AR986" s="4"/>
      <c r="AS986" s="4"/>
      <c r="AT986" s="4"/>
      <c r="AU986" s="4"/>
      <c r="AV986" s="4"/>
      <c r="AW986" s="4"/>
      <c r="AX986" s="4"/>
      <c r="AY986" s="4"/>
      <c r="AZ986" s="4"/>
      <c r="BA986" s="4"/>
      <c r="BB986" s="4"/>
      <c r="BC986" s="4"/>
      <c r="BD986" s="4"/>
      <c r="BE986" s="4"/>
      <c r="BF986" s="4"/>
      <c r="BG986" s="4"/>
    </row>
    <row r="987" ht="15.75" customHeight="1">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O987" s="4"/>
      <c r="AP987" s="4"/>
      <c r="AQ987" s="4"/>
      <c r="AR987" s="4"/>
      <c r="AS987" s="4"/>
      <c r="AT987" s="4"/>
      <c r="AU987" s="4"/>
      <c r="AV987" s="4"/>
      <c r="AW987" s="4"/>
      <c r="AX987" s="4"/>
      <c r="AY987" s="4"/>
      <c r="AZ987" s="4"/>
      <c r="BA987" s="4"/>
      <c r="BB987" s="4"/>
      <c r="BC987" s="4"/>
      <c r="BD987" s="4"/>
      <c r="BE987" s="4"/>
      <c r="BF987" s="4"/>
      <c r="BG987" s="4"/>
    </row>
    <row r="988" ht="15.75" customHeight="1">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O988" s="4"/>
      <c r="AP988" s="4"/>
      <c r="AQ988" s="4"/>
      <c r="AR988" s="4"/>
      <c r="AS988" s="4"/>
      <c r="AT988" s="4"/>
      <c r="AU988" s="4"/>
      <c r="AV988" s="4"/>
      <c r="AW988" s="4"/>
      <c r="AX988" s="4"/>
      <c r="AY988" s="4"/>
      <c r="AZ988" s="4"/>
      <c r="BA988" s="4"/>
      <c r="BB988" s="4"/>
      <c r="BC988" s="4"/>
      <c r="BD988" s="4"/>
      <c r="BE988" s="4"/>
      <c r="BF988" s="4"/>
      <c r="BG988" s="4"/>
    </row>
    <row r="989" ht="15.75" customHeight="1">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O989" s="4"/>
      <c r="AP989" s="4"/>
      <c r="AQ989" s="4"/>
      <c r="AR989" s="4"/>
      <c r="AS989" s="4"/>
      <c r="AT989" s="4"/>
      <c r="AU989" s="4"/>
      <c r="AV989" s="4"/>
      <c r="AW989" s="4"/>
      <c r="AX989" s="4"/>
      <c r="AY989" s="4"/>
      <c r="AZ989" s="4"/>
      <c r="BA989" s="4"/>
      <c r="BB989" s="4"/>
      <c r="BC989" s="4"/>
      <c r="BD989" s="4"/>
      <c r="BE989" s="4"/>
      <c r="BF989" s="4"/>
      <c r="BG989" s="4"/>
    </row>
    <row r="990" ht="15.75" customHeight="1">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O990" s="4"/>
      <c r="AP990" s="4"/>
      <c r="AQ990" s="4"/>
      <c r="AR990" s="4"/>
      <c r="AS990" s="4"/>
      <c r="AT990" s="4"/>
      <c r="AU990" s="4"/>
      <c r="AV990" s="4"/>
      <c r="AW990" s="4"/>
      <c r="AX990" s="4"/>
      <c r="AY990" s="4"/>
      <c r="AZ990" s="4"/>
      <c r="BA990" s="4"/>
      <c r="BB990" s="4"/>
      <c r="BC990" s="4"/>
      <c r="BD990" s="4"/>
      <c r="BE990" s="4"/>
      <c r="BF990" s="4"/>
      <c r="BG990" s="4"/>
    </row>
    <row r="991" ht="15.75" customHeight="1">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O991" s="4"/>
      <c r="AP991" s="4"/>
      <c r="AQ991" s="4"/>
      <c r="AR991" s="4"/>
      <c r="AS991" s="4"/>
      <c r="AT991" s="4"/>
      <c r="AU991" s="4"/>
      <c r="AV991" s="4"/>
      <c r="AW991" s="4"/>
      <c r="AX991" s="4"/>
      <c r="AY991" s="4"/>
      <c r="AZ991" s="4"/>
      <c r="BA991" s="4"/>
      <c r="BB991" s="4"/>
      <c r="BC991" s="4"/>
      <c r="BD991" s="4"/>
      <c r="BE991" s="4"/>
      <c r="BF991" s="4"/>
      <c r="BG991" s="4"/>
    </row>
    <row r="992" ht="15.75" customHeight="1">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O992" s="4"/>
      <c r="AP992" s="4"/>
      <c r="AQ992" s="4"/>
      <c r="AR992" s="4"/>
      <c r="AS992" s="4"/>
      <c r="AT992" s="4"/>
      <c r="AU992" s="4"/>
      <c r="AV992" s="4"/>
      <c r="AW992" s="4"/>
      <c r="AX992" s="4"/>
      <c r="AY992" s="4"/>
      <c r="AZ992" s="4"/>
      <c r="BA992" s="4"/>
      <c r="BB992" s="4"/>
      <c r="BC992" s="4"/>
      <c r="BD992" s="4"/>
      <c r="BE992" s="4"/>
      <c r="BF992" s="4"/>
      <c r="BG992" s="4"/>
    </row>
    <row r="993" ht="15.75" customHeight="1">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O993" s="4"/>
      <c r="AP993" s="4"/>
      <c r="AQ993" s="4"/>
      <c r="AR993" s="4"/>
      <c r="AS993" s="4"/>
      <c r="AT993" s="4"/>
      <c r="AU993" s="4"/>
      <c r="AV993" s="4"/>
      <c r="AW993" s="4"/>
      <c r="AX993" s="4"/>
      <c r="AY993" s="4"/>
      <c r="AZ993" s="4"/>
      <c r="BA993" s="4"/>
      <c r="BB993" s="4"/>
      <c r="BC993" s="4"/>
      <c r="BD993" s="4"/>
      <c r="BE993" s="4"/>
      <c r="BF993" s="4"/>
      <c r="BG993" s="4"/>
    </row>
    <row r="994" ht="15.75" customHeight="1">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O994" s="4"/>
      <c r="AP994" s="4"/>
      <c r="AQ994" s="4"/>
      <c r="AR994" s="4"/>
      <c r="AS994" s="4"/>
      <c r="AT994" s="4"/>
      <c r="AU994" s="4"/>
      <c r="AV994" s="4"/>
      <c r="AW994" s="4"/>
      <c r="AX994" s="4"/>
      <c r="AY994" s="4"/>
      <c r="AZ994" s="4"/>
      <c r="BA994" s="4"/>
      <c r="BB994" s="4"/>
      <c r="BC994" s="4"/>
      <c r="BD994" s="4"/>
      <c r="BE994" s="4"/>
      <c r="BF994" s="4"/>
      <c r="BG994" s="4"/>
    </row>
    <row r="995" ht="15.75" customHeight="1">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O995" s="4"/>
      <c r="AP995" s="4"/>
      <c r="AQ995" s="4"/>
      <c r="AR995" s="4"/>
      <c r="AS995" s="4"/>
      <c r="AT995" s="4"/>
      <c r="AU995" s="4"/>
      <c r="AV995" s="4"/>
      <c r="AW995" s="4"/>
      <c r="AX995" s="4"/>
      <c r="AY995" s="4"/>
      <c r="AZ995" s="4"/>
      <c r="BA995" s="4"/>
      <c r="BB995" s="4"/>
      <c r="BC995" s="4"/>
      <c r="BD995" s="4"/>
      <c r="BE995" s="4"/>
      <c r="BF995" s="4"/>
      <c r="BG995" s="4"/>
    </row>
    <row r="996" ht="15.75" customHeight="1">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O996" s="4"/>
      <c r="AP996" s="4"/>
      <c r="AQ996" s="4"/>
      <c r="AR996" s="4"/>
      <c r="AS996" s="4"/>
      <c r="AT996" s="4"/>
      <c r="AU996" s="4"/>
      <c r="AV996" s="4"/>
      <c r="AW996" s="4"/>
      <c r="AX996" s="4"/>
      <c r="AY996" s="4"/>
      <c r="AZ996" s="4"/>
      <c r="BA996" s="4"/>
      <c r="BB996" s="4"/>
      <c r="BC996" s="4"/>
      <c r="BD996" s="4"/>
      <c r="BE996" s="4"/>
      <c r="BF996" s="4"/>
      <c r="BG996" s="4"/>
    </row>
    <row r="997" ht="15.75" customHeight="1">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O997" s="4"/>
      <c r="AP997" s="4"/>
      <c r="AQ997" s="4"/>
      <c r="AR997" s="4"/>
      <c r="AS997" s="4"/>
      <c r="AT997" s="4"/>
      <c r="AU997" s="4"/>
      <c r="AV997" s="4"/>
      <c r="AW997" s="4"/>
      <c r="AX997" s="4"/>
      <c r="AY997" s="4"/>
      <c r="AZ997" s="4"/>
      <c r="BA997" s="4"/>
      <c r="BB997" s="4"/>
      <c r="BC997" s="4"/>
      <c r="BD997" s="4"/>
      <c r="BE997" s="4"/>
      <c r="BF997" s="4"/>
      <c r="BG997" s="4"/>
    </row>
    <row r="998" ht="15.75" customHeight="1">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O998" s="4"/>
      <c r="AP998" s="4"/>
      <c r="AQ998" s="4"/>
      <c r="AR998" s="4"/>
      <c r="AS998" s="4"/>
      <c r="AT998" s="4"/>
      <c r="AU998" s="4"/>
      <c r="AV998" s="4"/>
      <c r="AW998" s="4"/>
      <c r="AX998" s="4"/>
      <c r="AY998" s="4"/>
      <c r="AZ998" s="4"/>
      <c r="BA998" s="4"/>
      <c r="BB998" s="4"/>
      <c r="BC998" s="4"/>
      <c r="BD998" s="4"/>
      <c r="BE998" s="4"/>
      <c r="BF998" s="4"/>
      <c r="BG998" s="4"/>
    </row>
    <row r="999" ht="15.75" customHeight="1">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O999" s="4"/>
      <c r="AP999" s="4"/>
      <c r="AQ999" s="4"/>
      <c r="AR999" s="4"/>
      <c r="AS999" s="4"/>
      <c r="AT999" s="4"/>
      <c r="AU999" s="4"/>
      <c r="AV999" s="4"/>
      <c r="AW999" s="4"/>
      <c r="AX999" s="4"/>
      <c r="AY999" s="4"/>
      <c r="AZ999" s="4"/>
      <c r="BA999" s="4"/>
      <c r="BB999" s="4"/>
      <c r="BC999" s="4"/>
      <c r="BD999" s="4"/>
      <c r="BE999" s="4"/>
      <c r="BF999" s="4"/>
      <c r="BG999" s="4"/>
    </row>
    <row r="1000" ht="15.75" customHeight="1">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O1000" s="4"/>
      <c r="AP1000" s="4"/>
      <c r="AQ1000" s="4"/>
      <c r="AR1000" s="4"/>
      <c r="AS1000" s="4"/>
      <c r="AT1000" s="4"/>
      <c r="AU1000" s="4"/>
      <c r="AV1000" s="4"/>
      <c r="AW1000" s="4"/>
      <c r="AX1000" s="4"/>
      <c r="AY1000" s="4"/>
      <c r="AZ1000" s="4"/>
      <c r="BA1000" s="4"/>
      <c r="BB1000" s="4"/>
      <c r="BC1000" s="4"/>
      <c r="BD1000" s="4"/>
      <c r="BE1000" s="4"/>
      <c r="BF1000" s="4"/>
      <c r="BG1000" s="4"/>
    </row>
    <row r="1001" ht="15.75" customHeight="1">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O1001" s="4"/>
      <c r="AP1001" s="4"/>
      <c r="AQ1001" s="4"/>
      <c r="AR1001" s="4"/>
      <c r="AS1001" s="4"/>
      <c r="AT1001" s="4"/>
      <c r="AU1001" s="4"/>
      <c r="AV1001" s="4"/>
      <c r="AW1001" s="4"/>
      <c r="AX1001" s="4"/>
      <c r="AY1001" s="4"/>
      <c r="AZ1001" s="4"/>
      <c r="BA1001" s="4"/>
      <c r="BB1001" s="4"/>
      <c r="BC1001" s="4"/>
      <c r="BD1001" s="4"/>
      <c r="BE1001" s="4"/>
      <c r="BF1001" s="4"/>
      <c r="BG1001" s="4"/>
    </row>
    <row r="1002" ht="15.75" customHeight="1">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O1002" s="4"/>
      <c r="AP1002" s="4"/>
      <c r="AQ1002" s="4"/>
      <c r="AR1002" s="4"/>
      <c r="AS1002" s="4"/>
      <c r="AT1002" s="4"/>
      <c r="AU1002" s="4"/>
      <c r="AV1002" s="4"/>
      <c r="AW1002" s="4"/>
      <c r="AX1002" s="4"/>
      <c r="AY1002" s="4"/>
      <c r="AZ1002" s="4"/>
      <c r="BA1002" s="4"/>
      <c r="BB1002" s="4"/>
      <c r="BC1002" s="4"/>
      <c r="BD1002" s="4"/>
      <c r="BE1002" s="4"/>
      <c r="BF1002" s="4"/>
      <c r="BG1002" s="4"/>
    </row>
    <row r="1003" ht="15.75" customHeight="1">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O1003" s="4"/>
      <c r="AP1003" s="4"/>
      <c r="AQ1003" s="4"/>
      <c r="AR1003" s="4"/>
      <c r="AS1003" s="4"/>
      <c r="AT1003" s="4"/>
      <c r="AU1003" s="4"/>
      <c r="AV1003" s="4"/>
      <c r="AW1003" s="4"/>
      <c r="AX1003" s="4"/>
      <c r="AY1003" s="4"/>
      <c r="AZ1003" s="4"/>
      <c r="BA1003" s="4"/>
      <c r="BB1003" s="4"/>
      <c r="BC1003" s="4"/>
      <c r="BD1003" s="4"/>
      <c r="BE1003" s="4"/>
      <c r="BF1003" s="4"/>
      <c r="BG1003" s="4"/>
    </row>
    <row r="1004" ht="15.75" customHeight="1">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O1004" s="4"/>
      <c r="AP1004" s="4"/>
      <c r="AQ1004" s="4"/>
      <c r="AR1004" s="4"/>
      <c r="AS1004" s="4"/>
      <c r="AT1004" s="4"/>
      <c r="AU1004" s="4"/>
      <c r="AV1004" s="4"/>
      <c r="AW1004" s="4"/>
      <c r="AX1004" s="4"/>
      <c r="AY1004" s="4"/>
      <c r="AZ1004" s="4"/>
      <c r="BA1004" s="4"/>
      <c r="BB1004" s="4"/>
      <c r="BC1004" s="4"/>
      <c r="BD1004" s="4"/>
      <c r="BE1004" s="4"/>
      <c r="BF1004" s="4"/>
      <c r="BG1004" s="4"/>
    </row>
    <row r="1005" ht="15.75" customHeight="1">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O1005" s="4"/>
      <c r="AP1005" s="4"/>
      <c r="AQ1005" s="4"/>
      <c r="AR1005" s="4"/>
      <c r="AS1005" s="4"/>
      <c r="AT1005" s="4"/>
      <c r="AU1005" s="4"/>
      <c r="AV1005" s="4"/>
      <c r="AW1005" s="4"/>
      <c r="AX1005" s="4"/>
      <c r="AY1005" s="4"/>
      <c r="AZ1005" s="4"/>
      <c r="BA1005" s="4"/>
      <c r="BB1005" s="4"/>
      <c r="BC1005" s="4"/>
      <c r="BD1005" s="4"/>
      <c r="BE1005" s="4"/>
      <c r="BF1005" s="4"/>
      <c r="BG1005" s="4"/>
    </row>
  </sheetData>
  <autoFilter ref="$A$6:$AM$6"/>
  <mergeCells count="4">
    <mergeCell ref="A1:B2"/>
    <mergeCell ref="A3:B3"/>
    <mergeCell ref="A4:B4"/>
    <mergeCell ref="B33:D3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29"/>
    <col customWidth="1" min="2" max="2" width="62.43"/>
    <col customWidth="1" min="3" max="3" width="11.71"/>
    <col customWidth="1" min="4" max="5" width="12.0"/>
    <col customWidth="1" min="6" max="6" width="10.71"/>
    <col customWidth="1" min="7" max="7" width="11.14"/>
    <col customWidth="1" min="8" max="29" width="12.86"/>
  </cols>
  <sheetData>
    <row r="1" ht="15.0" customHeight="1">
      <c r="A1" s="1" t="s">
        <v>72</v>
      </c>
      <c r="C1" s="2" t="s">
        <v>1</v>
      </c>
      <c r="D1" s="2" t="s">
        <v>2</v>
      </c>
      <c r="E1" s="2" t="s">
        <v>3</v>
      </c>
      <c r="F1" s="3"/>
      <c r="G1" s="3"/>
      <c r="H1" s="3"/>
      <c r="I1" s="3"/>
      <c r="J1" s="3"/>
      <c r="K1" s="3"/>
      <c r="L1" s="3"/>
      <c r="M1" s="3"/>
      <c r="N1" s="3"/>
      <c r="O1" s="3"/>
      <c r="P1" s="3"/>
      <c r="Q1" s="3"/>
      <c r="R1" s="3"/>
      <c r="S1" s="3"/>
      <c r="T1" s="3"/>
      <c r="U1" s="3"/>
      <c r="V1" s="3"/>
      <c r="W1" s="3"/>
      <c r="X1" s="3"/>
      <c r="Y1" s="3"/>
      <c r="Z1" s="3"/>
      <c r="AA1" s="3"/>
      <c r="AB1" s="3"/>
      <c r="AC1" s="3"/>
    </row>
    <row r="2" ht="15.0" customHeight="1">
      <c r="C2" s="5">
        <v>2.0</v>
      </c>
      <c r="D2" s="6">
        <v>43914.0</v>
      </c>
      <c r="E2" s="6">
        <v>43950.0</v>
      </c>
      <c r="F2" s="3"/>
      <c r="G2" s="3"/>
      <c r="H2" s="3"/>
      <c r="I2" s="3"/>
      <c r="J2" s="3"/>
      <c r="K2" s="3"/>
      <c r="L2" s="3"/>
      <c r="M2" s="3"/>
      <c r="N2" s="3"/>
      <c r="O2" s="3"/>
      <c r="P2" s="3"/>
      <c r="Q2" s="3"/>
      <c r="R2" s="3"/>
      <c r="S2" s="3"/>
      <c r="T2" s="3"/>
      <c r="U2" s="3"/>
      <c r="V2" s="3"/>
      <c r="W2" s="3"/>
      <c r="X2" s="3"/>
      <c r="Y2" s="3"/>
      <c r="Z2" s="3"/>
      <c r="AA2" s="3"/>
      <c r="AB2" s="3"/>
      <c r="AC2" s="3"/>
    </row>
    <row r="3">
      <c r="A3" s="7" t="s">
        <v>73</v>
      </c>
      <c r="C3" s="5"/>
      <c r="D3" s="6"/>
      <c r="E3" s="6"/>
      <c r="F3" s="8"/>
      <c r="G3" s="8"/>
      <c r="H3" s="8"/>
      <c r="I3" s="8"/>
      <c r="J3" s="8"/>
      <c r="K3" s="8"/>
      <c r="L3" s="8"/>
      <c r="M3" s="8"/>
      <c r="N3" s="8"/>
      <c r="O3" s="8"/>
      <c r="P3" s="8"/>
      <c r="Q3" s="8"/>
      <c r="R3" s="8"/>
      <c r="S3" s="8"/>
      <c r="T3" s="8"/>
      <c r="U3" s="8"/>
      <c r="V3" s="8"/>
      <c r="W3" s="8"/>
      <c r="X3" s="8"/>
      <c r="Y3" s="8"/>
      <c r="Z3" s="8"/>
      <c r="AA3" s="8"/>
      <c r="AB3" s="8"/>
      <c r="AC3" s="8"/>
    </row>
    <row r="4">
      <c r="A4" s="7" t="s">
        <v>5</v>
      </c>
      <c r="C4" s="5"/>
      <c r="D4" s="6"/>
      <c r="E4" s="6"/>
      <c r="F4" s="8"/>
      <c r="G4" s="8"/>
      <c r="H4" s="8"/>
      <c r="I4" s="8"/>
      <c r="J4" s="8"/>
      <c r="K4" s="8"/>
      <c r="L4" s="8"/>
      <c r="M4" s="8"/>
      <c r="N4" s="8"/>
      <c r="O4" s="8"/>
      <c r="P4" s="8"/>
      <c r="Q4" s="8"/>
      <c r="R4" s="8"/>
      <c r="S4" s="8"/>
      <c r="T4" s="8"/>
      <c r="U4" s="8"/>
      <c r="V4" s="8"/>
      <c r="W4" s="8"/>
      <c r="X4" s="8"/>
      <c r="Y4" s="8"/>
      <c r="Z4" s="8"/>
      <c r="AA4" s="8"/>
      <c r="AB4" s="8"/>
      <c r="AC4" s="8"/>
    </row>
    <row r="5">
      <c r="A5" s="7"/>
      <c r="B5" s="4"/>
      <c r="C5" s="9"/>
      <c r="D5" s="8"/>
      <c r="E5" s="8"/>
      <c r="F5" s="8"/>
      <c r="G5" s="8"/>
      <c r="H5" s="8"/>
      <c r="I5" s="8"/>
      <c r="J5" s="8"/>
      <c r="K5" s="8"/>
      <c r="L5" s="8"/>
      <c r="M5" s="8"/>
      <c r="N5" s="8"/>
      <c r="O5" s="8"/>
      <c r="P5" s="8"/>
      <c r="Q5" s="8"/>
      <c r="R5" s="8"/>
      <c r="S5" s="8"/>
      <c r="T5" s="8"/>
      <c r="U5" s="8"/>
      <c r="V5" s="8"/>
      <c r="W5" s="8"/>
      <c r="X5" s="8"/>
      <c r="Y5" s="8"/>
      <c r="Z5" s="8"/>
      <c r="AA5" s="8"/>
      <c r="AB5" s="8"/>
      <c r="AC5" s="8"/>
    </row>
    <row r="6">
      <c r="A6" s="66" t="s">
        <v>74</v>
      </c>
      <c r="B6" s="67"/>
      <c r="C6" s="67"/>
      <c r="D6" s="67"/>
      <c r="E6" s="67"/>
      <c r="F6" s="67"/>
      <c r="G6" s="67"/>
      <c r="H6" s="67"/>
      <c r="I6" s="68"/>
      <c r="J6" s="69"/>
      <c r="K6" s="69"/>
      <c r="L6" s="69"/>
      <c r="M6" s="69"/>
      <c r="N6" s="69"/>
      <c r="O6" s="69"/>
      <c r="P6" s="69"/>
      <c r="Q6" s="69"/>
      <c r="R6" s="69"/>
      <c r="S6" s="69"/>
      <c r="T6" s="69"/>
      <c r="U6" s="69"/>
      <c r="V6" s="69"/>
      <c r="W6" s="69"/>
      <c r="X6" s="69"/>
      <c r="Y6" s="69"/>
      <c r="Z6" s="69"/>
      <c r="AA6" s="69"/>
      <c r="AB6" s="69"/>
      <c r="AC6" s="69"/>
    </row>
    <row r="7">
      <c r="A7" s="2" t="s">
        <v>6</v>
      </c>
      <c r="B7" s="2" t="s">
        <v>7</v>
      </c>
      <c r="C7" s="2" t="s">
        <v>8</v>
      </c>
      <c r="D7" s="2" t="s">
        <v>9</v>
      </c>
      <c r="E7" s="2" t="s">
        <v>10</v>
      </c>
      <c r="F7" s="2" t="s">
        <v>11</v>
      </c>
      <c r="G7" s="2" t="s">
        <v>12</v>
      </c>
      <c r="H7" s="2" t="s">
        <v>13</v>
      </c>
      <c r="I7" s="70">
        <v>43984.0</v>
      </c>
      <c r="J7" s="69"/>
      <c r="K7" s="69"/>
      <c r="L7" s="69"/>
      <c r="M7" s="69"/>
      <c r="N7" s="69"/>
      <c r="O7" s="69"/>
      <c r="P7" s="69"/>
      <c r="Q7" s="69"/>
      <c r="R7" s="69"/>
      <c r="S7" s="69"/>
      <c r="T7" s="69"/>
      <c r="U7" s="69"/>
      <c r="V7" s="69"/>
      <c r="W7" s="69"/>
      <c r="X7" s="69"/>
      <c r="Y7" s="69"/>
      <c r="Z7" s="69"/>
      <c r="AA7" s="69"/>
      <c r="AB7" s="69"/>
      <c r="AC7" s="69"/>
    </row>
    <row r="8" ht="15.0" customHeight="1">
      <c r="A8" s="13" t="s">
        <v>14</v>
      </c>
      <c r="B8" s="71"/>
      <c r="C8" s="19"/>
      <c r="D8" s="20"/>
      <c r="E8" s="72"/>
      <c r="F8" s="72"/>
      <c r="G8" s="72"/>
      <c r="H8" s="72"/>
      <c r="I8" s="73"/>
      <c r="J8" s="69"/>
      <c r="K8" s="69"/>
      <c r="L8" s="69"/>
      <c r="M8" s="69"/>
      <c r="N8" s="69"/>
      <c r="O8" s="69"/>
      <c r="P8" s="69"/>
      <c r="Q8" s="69"/>
      <c r="R8" s="69"/>
      <c r="S8" s="69"/>
      <c r="T8" s="69"/>
      <c r="U8" s="69"/>
      <c r="V8" s="69"/>
      <c r="W8" s="69"/>
      <c r="X8" s="69"/>
      <c r="Y8" s="69"/>
      <c r="Z8" s="69"/>
      <c r="AA8" s="69"/>
      <c r="AB8" s="69"/>
      <c r="AC8" s="69"/>
    </row>
    <row r="9" ht="15.0" customHeight="1">
      <c r="A9" s="23">
        <v>2.0</v>
      </c>
      <c r="B9" s="74" t="s">
        <v>14</v>
      </c>
      <c r="C9" s="25" t="s">
        <v>16</v>
      </c>
      <c r="D9" s="26" t="s">
        <v>17</v>
      </c>
      <c r="E9" s="75">
        <v>48.0</v>
      </c>
      <c r="F9" s="75">
        <v>48.0</v>
      </c>
      <c r="G9" s="44">
        <v>43914.0</v>
      </c>
      <c r="H9" s="76">
        <v>43948.0</v>
      </c>
      <c r="I9" s="77">
        <v>1.0</v>
      </c>
      <c r="J9" s="69"/>
      <c r="K9" s="69"/>
      <c r="L9" s="69"/>
      <c r="M9" s="69"/>
      <c r="N9" s="69"/>
      <c r="O9" s="69"/>
      <c r="P9" s="69"/>
      <c r="Q9" s="69"/>
      <c r="R9" s="69"/>
      <c r="S9" s="69"/>
      <c r="T9" s="69"/>
      <c r="U9" s="69"/>
      <c r="V9" s="69"/>
      <c r="W9" s="69"/>
      <c r="X9" s="69"/>
      <c r="Y9" s="69"/>
      <c r="Z9" s="69"/>
      <c r="AA9" s="69"/>
      <c r="AB9" s="69"/>
      <c r="AC9" s="69"/>
    </row>
    <row r="10" ht="15.0" customHeight="1">
      <c r="A10" s="23">
        <v>3.0</v>
      </c>
      <c r="B10" s="74" t="s">
        <v>75</v>
      </c>
      <c r="C10" s="25" t="s">
        <v>16</v>
      </c>
      <c r="D10" s="26" t="s">
        <v>42</v>
      </c>
      <c r="E10" s="75">
        <v>40.0</v>
      </c>
      <c r="F10" s="75">
        <v>56.0</v>
      </c>
      <c r="G10" s="44">
        <v>43914.0</v>
      </c>
      <c r="H10" s="76">
        <v>43955.0</v>
      </c>
      <c r="I10" s="77">
        <v>1.0</v>
      </c>
      <c r="J10" s="69"/>
      <c r="K10" s="69"/>
      <c r="L10" s="69"/>
      <c r="M10" s="69"/>
      <c r="N10" s="69"/>
      <c r="O10" s="69"/>
      <c r="P10" s="69"/>
      <c r="Q10" s="69"/>
      <c r="R10" s="69"/>
      <c r="S10" s="69"/>
      <c r="T10" s="69"/>
      <c r="U10" s="69"/>
      <c r="V10" s="69"/>
      <c r="W10" s="69"/>
      <c r="X10" s="69"/>
      <c r="Y10" s="69"/>
      <c r="Z10" s="69"/>
      <c r="AA10" s="69"/>
      <c r="AB10" s="69"/>
      <c r="AC10" s="69"/>
    </row>
    <row r="11" ht="15.0" customHeight="1">
      <c r="A11" s="23">
        <v>4.0</v>
      </c>
      <c r="B11" s="78" t="s">
        <v>76</v>
      </c>
      <c r="C11" s="25" t="s">
        <v>20</v>
      </c>
      <c r="D11" s="26" t="s">
        <v>55</v>
      </c>
      <c r="E11" s="79">
        <v>40.0</v>
      </c>
      <c r="F11" s="79">
        <v>64.0</v>
      </c>
      <c r="G11" s="80">
        <v>43957.0</v>
      </c>
      <c r="H11" s="76">
        <v>43986.0</v>
      </c>
      <c r="I11" s="81">
        <v>1.0</v>
      </c>
      <c r="J11" s="69"/>
      <c r="K11" s="69"/>
      <c r="L11" s="69"/>
      <c r="M11" s="69"/>
      <c r="N11" s="69"/>
      <c r="O11" s="69"/>
      <c r="P11" s="69"/>
      <c r="Q11" s="69"/>
      <c r="R11" s="69"/>
      <c r="S11" s="69"/>
      <c r="T11" s="69"/>
      <c r="U11" s="69"/>
      <c r="V11" s="69"/>
      <c r="W11" s="69"/>
      <c r="X11" s="69"/>
      <c r="Y11" s="69"/>
      <c r="Z11" s="69"/>
      <c r="AA11" s="69"/>
      <c r="AB11" s="69"/>
      <c r="AC11" s="69"/>
    </row>
    <row r="12" ht="15.0" customHeight="1">
      <c r="A12" s="23">
        <v>5.0</v>
      </c>
      <c r="B12" s="74" t="s">
        <v>77</v>
      </c>
      <c r="C12" s="25" t="s">
        <v>16</v>
      </c>
      <c r="D12" s="26" t="s">
        <v>51</v>
      </c>
      <c r="E12" s="75">
        <v>40.0</v>
      </c>
      <c r="F12" s="75">
        <v>48.0</v>
      </c>
      <c r="G12" s="80">
        <v>43914.0</v>
      </c>
      <c r="H12" s="76">
        <v>43955.0</v>
      </c>
      <c r="I12" s="81">
        <v>1.0</v>
      </c>
      <c r="J12" s="69"/>
      <c r="K12" s="69"/>
      <c r="L12" s="69"/>
      <c r="M12" s="69"/>
      <c r="N12" s="69"/>
      <c r="O12" s="69"/>
      <c r="P12" s="69"/>
      <c r="Q12" s="69"/>
      <c r="R12" s="69"/>
      <c r="S12" s="69"/>
      <c r="T12" s="69"/>
      <c r="U12" s="69"/>
      <c r="V12" s="69"/>
      <c r="W12" s="69"/>
      <c r="X12" s="69"/>
      <c r="Y12" s="69"/>
      <c r="Z12" s="69"/>
      <c r="AA12" s="69"/>
      <c r="AB12" s="69"/>
      <c r="AC12" s="69"/>
    </row>
    <row r="13" ht="15.0" customHeight="1">
      <c r="A13" s="13" t="s">
        <v>40</v>
      </c>
      <c r="B13" s="82"/>
      <c r="C13" s="83"/>
      <c r="D13" s="83"/>
      <c r="E13" s="83"/>
      <c r="F13" s="83"/>
      <c r="G13" s="83"/>
      <c r="H13" s="83"/>
      <c r="I13" s="84"/>
      <c r="J13" s="69"/>
      <c r="K13" s="69"/>
      <c r="L13" s="69"/>
      <c r="M13" s="69"/>
      <c r="N13" s="69"/>
      <c r="O13" s="69"/>
      <c r="P13" s="69"/>
      <c r="Q13" s="69"/>
      <c r="R13" s="69"/>
      <c r="S13" s="69"/>
      <c r="T13" s="69"/>
      <c r="U13" s="69"/>
      <c r="V13" s="69"/>
      <c r="W13" s="69"/>
      <c r="X13" s="69"/>
      <c r="Y13" s="69"/>
      <c r="Z13" s="69"/>
      <c r="AA13" s="69"/>
      <c r="AB13" s="69"/>
      <c r="AC13" s="69"/>
    </row>
    <row r="14" ht="15.0" customHeight="1">
      <c r="A14" s="23">
        <v>6.0</v>
      </c>
      <c r="B14" s="74" t="s">
        <v>78</v>
      </c>
      <c r="C14" s="25" t="s">
        <v>16</v>
      </c>
      <c r="D14" s="5" t="s">
        <v>42</v>
      </c>
      <c r="E14" s="75">
        <v>32.0</v>
      </c>
      <c r="F14" s="75">
        <v>44.0</v>
      </c>
      <c r="G14" s="44">
        <v>43963.0</v>
      </c>
      <c r="H14" s="44">
        <v>43986.0</v>
      </c>
      <c r="I14" s="77">
        <v>1.0</v>
      </c>
      <c r="J14" s="69"/>
      <c r="K14" s="69"/>
      <c r="L14" s="69"/>
      <c r="M14" s="69"/>
      <c r="N14" s="69"/>
      <c r="O14" s="69"/>
      <c r="P14" s="69"/>
      <c r="Q14" s="69"/>
      <c r="R14" s="69"/>
      <c r="S14" s="69"/>
      <c r="T14" s="69"/>
      <c r="U14" s="69"/>
      <c r="V14" s="69"/>
      <c r="W14" s="69"/>
      <c r="X14" s="69"/>
      <c r="Y14" s="69"/>
      <c r="Z14" s="69"/>
      <c r="AA14" s="69"/>
      <c r="AB14" s="69"/>
      <c r="AC14" s="69"/>
    </row>
    <row r="15" ht="15.0" customHeight="1">
      <c r="A15" s="23">
        <v>7.0</v>
      </c>
      <c r="B15" s="74" t="s">
        <v>79</v>
      </c>
      <c r="C15" s="25" t="s">
        <v>20</v>
      </c>
      <c r="D15" s="5" t="s">
        <v>17</v>
      </c>
      <c r="E15" s="75">
        <v>8.0</v>
      </c>
      <c r="F15" s="75">
        <v>8.0</v>
      </c>
      <c r="G15" s="44"/>
      <c r="H15" s="44"/>
      <c r="I15" s="77">
        <v>0.8</v>
      </c>
      <c r="J15" s="69"/>
      <c r="K15" s="69"/>
      <c r="L15" s="69"/>
      <c r="M15" s="69"/>
      <c r="N15" s="69"/>
      <c r="O15" s="69"/>
      <c r="P15" s="69"/>
      <c r="Q15" s="69"/>
      <c r="R15" s="69"/>
      <c r="S15" s="69"/>
      <c r="T15" s="69"/>
      <c r="U15" s="69"/>
      <c r="V15" s="69"/>
      <c r="W15" s="69"/>
      <c r="X15" s="69"/>
      <c r="Y15" s="69"/>
      <c r="Z15" s="69"/>
      <c r="AA15" s="69"/>
      <c r="AB15" s="69"/>
      <c r="AC15" s="69"/>
    </row>
    <row r="16" ht="15.0" customHeight="1">
      <c r="A16" s="23">
        <v>8.0</v>
      </c>
      <c r="B16" s="85" t="s">
        <v>45</v>
      </c>
      <c r="C16" s="50"/>
      <c r="D16" s="51"/>
      <c r="E16" s="86">
        <f t="shared" ref="E16:F16" si="1">SUM(E8:E15)</f>
        <v>208</v>
      </c>
      <c r="F16" s="86">
        <f t="shared" si="1"/>
        <v>268</v>
      </c>
      <c r="G16" s="87"/>
      <c r="H16" s="87"/>
      <c r="I16" s="88"/>
      <c r="J16" s="89"/>
      <c r="K16" s="89"/>
      <c r="L16" s="89"/>
      <c r="M16" s="89"/>
      <c r="N16" s="89"/>
      <c r="O16" s="89"/>
      <c r="P16" s="89"/>
      <c r="Q16" s="89"/>
      <c r="R16" s="89"/>
      <c r="S16" s="89"/>
      <c r="T16" s="89"/>
      <c r="U16" s="89"/>
      <c r="V16" s="89"/>
      <c r="W16" s="89"/>
      <c r="X16" s="89"/>
      <c r="Y16" s="89"/>
      <c r="Z16" s="89"/>
      <c r="AA16" s="89"/>
      <c r="AB16" s="89"/>
      <c r="AC16" s="89"/>
    </row>
    <row r="17" ht="19.5" customHeight="1">
      <c r="A17" s="13"/>
      <c r="B17" s="90" t="s">
        <v>80</v>
      </c>
      <c r="C17" s="50"/>
      <c r="D17" s="50"/>
      <c r="E17" s="50"/>
      <c r="F17" s="50"/>
      <c r="G17" s="50"/>
      <c r="H17" s="51"/>
      <c r="I17" s="87">
        <v>43985.0</v>
      </c>
      <c r="J17" s="89"/>
      <c r="K17" s="91"/>
      <c r="L17" s="91"/>
      <c r="M17" s="91"/>
      <c r="N17" s="91"/>
      <c r="O17" s="91"/>
      <c r="P17" s="91"/>
      <c r="Q17" s="91"/>
      <c r="R17" s="91"/>
      <c r="S17" s="91"/>
      <c r="T17" s="91"/>
      <c r="U17" s="91"/>
      <c r="V17" s="91"/>
      <c r="W17" s="91"/>
      <c r="X17" s="91"/>
      <c r="Y17" s="91"/>
      <c r="Z17" s="91"/>
      <c r="AA17" s="91"/>
      <c r="AB17" s="91"/>
      <c r="AC17" s="91"/>
    </row>
    <row r="18" ht="19.5" customHeight="1">
      <c r="A18" s="13"/>
      <c r="B18" s="90" t="s">
        <v>81</v>
      </c>
      <c r="C18" s="50"/>
      <c r="D18" s="50"/>
      <c r="E18" s="50"/>
      <c r="F18" s="50"/>
      <c r="G18" s="50"/>
      <c r="H18" s="51"/>
      <c r="I18" s="87">
        <v>43986.0</v>
      </c>
      <c r="J18" s="89"/>
      <c r="K18" s="91"/>
      <c r="L18" s="91"/>
      <c r="M18" s="91"/>
      <c r="N18" s="91"/>
      <c r="O18" s="91"/>
      <c r="P18" s="91"/>
      <c r="Q18" s="91"/>
      <c r="R18" s="91"/>
      <c r="S18" s="91"/>
      <c r="T18" s="91"/>
      <c r="U18" s="91"/>
      <c r="V18" s="91"/>
      <c r="W18" s="91"/>
      <c r="X18" s="91"/>
      <c r="Y18" s="91"/>
      <c r="Z18" s="91"/>
      <c r="AA18" s="91"/>
      <c r="AB18" s="91"/>
      <c r="AC18" s="91"/>
    </row>
    <row r="19" ht="19.5" customHeight="1">
      <c r="A19" s="36"/>
      <c r="B19" s="92"/>
      <c r="C19" s="92"/>
      <c r="D19" s="92"/>
      <c r="E19" s="92"/>
      <c r="F19" s="92"/>
      <c r="G19" s="92"/>
      <c r="H19" s="92"/>
      <c r="I19" s="93"/>
      <c r="J19" s="89"/>
      <c r="K19" s="91"/>
      <c r="L19" s="91"/>
      <c r="M19" s="91"/>
      <c r="N19" s="91"/>
      <c r="O19" s="91"/>
      <c r="P19" s="91"/>
      <c r="Q19" s="91"/>
      <c r="R19" s="91"/>
      <c r="S19" s="91"/>
      <c r="T19" s="91"/>
      <c r="U19" s="91"/>
      <c r="V19" s="91"/>
      <c r="W19" s="91"/>
      <c r="X19" s="91"/>
      <c r="Y19" s="91"/>
      <c r="Z19" s="91"/>
      <c r="AA19" s="91"/>
      <c r="AB19" s="91"/>
      <c r="AC19" s="91"/>
    </row>
    <row r="20" ht="15.75" customHeight="1">
      <c r="A20" s="53" t="s">
        <v>82</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mergeCells count="7">
    <mergeCell ref="A1:B2"/>
    <mergeCell ref="A3:B3"/>
    <mergeCell ref="A4:B4"/>
    <mergeCell ref="A6:I6"/>
    <mergeCell ref="B16:D16"/>
    <mergeCell ref="B17:H17"/>
    <mergeCell ref="B18:H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71"/>
    <col customWidth="1" min="2" max="2" width="51.29"/>
    <col customWidth="1" min="3" max="3" width="11.71"/>
    <col customWidth="1" min="4" max="4" width="12.0"/>
    <col customWidth="1" min="5" max="31" width="12.71"/>
  </cols>
  <sheetData>
    <row r="1" ht="15.0" customHeight="1">
      <c r="A1" s="1" t="s">
        <v>83</v>
      </c>
      <c r="C1" s="2" t="s">
        <v>1</v>
      </c>
      <c r="D1" s="2" t="s">
        <v>2</v>
      </c>
      <c r="E1" s="2" t="s">
        <v>3</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row>
    <row r="2" ht="15.0" customHeight="1">
      <c r="C2" s="5">
        <v>3.0</v>
      </c>
      <c r="D2" s="6">
        <v>43981.0</v>
      </c>
      <c r="E2" s="6">
        <v>43994.0</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c r="A3" s="7" t="s">
        <v>84</v>
      </c>
      <c r="C3" s="5"/>
      <c r="D3" s="6"/>
      <c r="E3" s="6"/>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c r="A4" s="7" t="s">
        <v>5</v>
      </c>
      <c r="C4" s="5"/>
      <c r="D4" s="6"/>
      <c r="E4" s="6"/>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row>
    <row r="5">
      <c r="A5" s="7"/>
      <c r="B5" s="4"/>
      <c r="C5" s="9"/>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row>
    <row r="6">
      <c r="A6" s="66"/>
      <c r="B6" s="67"/>
      <c r="C6" s="67"/>
      <c r="D6" s="67"/>
      <c r="E6" s="67"/>
      <c r="F6" s="67"/>
      <c r="G6" s="67"/>
      <c r="H6" s="68"/>
      <c r="I6" s="94"/>
      <c r="J6" s="94"/>
      <c r="K6" s="94"/>
      <c r="L6" s="94"/>
      <c r="M6" s="94"/>
      <c r="N6" s="94"/>
      <c r="O6" s="94"/>
      <c r="P6" s="94"/>
      <c r="Q6" s="94"/>
      <c r="R6" s="94"/>
      <c r="S6" s="94"/>
      <c r="T6" s="94"/>
      <c r="U6" s="94"/>
      <c r="V6" s="94"/>
      <c r="W6" s="94"/>
      <c r="X6" s="94"/>
      <c r="Y6" s="94"/>
      <c r="Z6" s="94"/>
      <c r="AA6" s="94"/>
      <c r="AB6" s="94"/>
      <c r="AC6" s="94"/>
      <c r="AD6" s="94"/>
      <c r="AE6" s="94"/>
      <c r="AF6" s="69"/>
      <c r="AG6" s="69"/>
      <c r="AH6" s="69"/>
      <c r="AI6" s="69"/>
      <c r="AJ6" s="69"/>
      <c r="AK6" s="69"/>
      <c r="AL6" s="69"/>
      <c r="AM6" s="69"/>
      <c r="AN6" s="69"/>
      <c r="AO6" s="69"/>
      <c r="AP6" s="69"/>
      <c r="AQ6" s="69"/>
      <c r="AR6" s="69"/>
      <c r="AS6" s="69"/>
      <c r="AT6" s="69"/>
      <c r="AU6" s="69"/>
      <c r="AV6" s="69"/>
      <c r="AW6" s="69"/>
      <c r="AX6" s="69"/>
      <c r="AY6" s="69"/>
    </row>
    <row r="7">
      <c r="A7" s="95" t="s">
        <v>6</v>
      </c>
      <c r="B7" s="96" t="s">
        <v>7</v>
      </c>
      <c r="C7" s="97" t="s">
        <v>8</v>
      </c>
      <c r="D7" s="96" t="s">
        <v>9</v>
      </c>
      <c r="E7" s="96" t="s">
        <v>10</v>
      </c>
      <c r="F7" s="96" t="s">
        <v>11</v>
      </c>
      <c r="G7" s="96" t="s">
        <v>12</v>
      </c>
      <c r="H7" s="96" t="s">
        <v>13</v>
      </c>
      <c r="I7" s="70">
        <v>44006.0</v>
      </c>
      <c r="J7" s="98">
        <v>44005.0</v>
      </c>
      <c r="K7" s="98">
        <v>44004.0</v>
      </c>
      <c r="L7" s="98">
        <v>44001.0</v>
      </c>
      <c r="M7" s="98">
        <v>44000.0</v>
      </c>
      <c r="N7" s="98">
        <v>43999.0</v>
      </c>
      <c r="O7" s="98">
        <v>43998.0</v>
      </c>
      <c r="P7" s="98">
        <v>43997.0</v>
      </c>
      <c r="Q7" s="98">
        <v>43996.0</v>
      </c>
      <c r="R7" s="98">
        <v>43995.0</v>
      </c>
      <c r="S7" s="98">
        <v>43994.0</v>
      </c>
      <c r="T7" s="98">
        <v>43993.0</v>
      </c>
      <c r="U7" s="98">
        <v>43992.0</v>
      </c>
      <c r="V7" s="98">
        <v>43991.0</v>
      </c>
      <c r="W7" s="98">
        <v>43990.0</v>
      </c>
      <c r="X7" s="98">
        <v>43989.0</v>
      </c>
      <c r="Y7" s="98">
        <v>43988.0</v>
      </c>
      <c r="Z7" s="98">
        <v>43987.0</v>
      </c>
      <c r="AA7" s="98">
        <v>43986.0</v>
      </c>
      <c r="AB7" s="98">
        <v>43985.0</v>
      </c>
      <c r="AC7" s="98">
        <v>43984.0</v>
      </c>
      <c r="AD7" s="98">
        <v>43983.0</v>
      </c>
      <c r="AE7" s="98">
        <v>43981.0</v>
      </c>
      <c r="AF7" s="69"/>
      <c r="AG7" s="69"/>
      <c r="AH7" s="69"/>
      <c r="AI7" s="69"/>
      <c r="AJ7" s="69"/>
      <c r="AK7" s="69"/>
      <c r="AL7" s="69"/>
      <c r="AM7" s="69"/>
      <c r="AN7" s="69"/>
      <c r="AO7" s="69"/>
      <c r="AP7" s="69"/>
      <c r="AQ7" s="69"/>
      <c r="AR7" s="69"/>
      <c r="AS7" s="69"/>
      <c r="AT7" s="69"/>
      <c r="AU7" s="69"/>
      <c r="AV7" s="69"/>
      <c r="AW7" s="69"/>
      <c r="AX7" s="69"/>
      <c r="AY7" s="69"/>
    </row>
    <row r="8" ht="78.75" customHeight="1">
      <c r="A8" s="99">
        <v>1.0</v>
      </c>
      <c r="B8" s="100" t="s">
        <v>85</v>
      </c>
      <c r="C8" s="101" t="s">
        <v>86</v>
      </c>
      <c r="D8" s="102" t="s">
        <v>42</v>
      </c>
      <c r="E8" s="102">
        <v>8.0</v>
      </c>
      <c r="F8" s="102">
        <v>10.0</v>
      </c>
      <c r="G8" s="6">
        <v>43983.0</v>
      </c>
      <c r="H8" s="6">
        <v>43984.0</v>
      </c>
      <c r="I8" s="103">
        <v>1.0</v>
      </c>
      <c r="J8" s="103">
        <v>1.0</v>
      </c>
      <c r="K8" s="103">
        <v>1.0</v>
      </c>
      <c r="L8" s="103">
        <v>1.0</v>
      </c>
      <c r="M8" s="103">
        <v>1.0</v>
      </c>
      <c r="N8" s="103">
        <v>1.0</v>
      </c>
      <c r="O8" s="103">
        <v>1.0</v>
      </c>
      <c r="P8" s="103">
        <v>1.0</v>
      </c>
      <c r="Q8" s="103">
        <v>1.0</v>
      </c>
      <c r="R8" s="103">
        <v>1.0</v>
      </c>
      <c r="S8" s="103">
        <v>1.0</v>
      </c>
      <c r="T8" s="103">
        <v>1.0</v>
      </c>
      <c r="U8" s="103">
        <v>1.0</v>
      </c>
      <c r="V8" s="103">
        <v>1.0</v>
      </c>
      <c r="W8" s="103">
        <v>1.0</v>
      </c>
      <c r="X8" s="103">
        <v>1.0</v>
      </c>
      <c r="Y8" s="103">
        <v>1.0</v>
      </c>
      <c r="Z8" s="103">
        <v>1.0</v>
      </c>
      <c r="AA8" s="103">
        <v>1.0</v>
      </c>
      <c r="AB8" s="103">
        <v>1.0</v>
      </c>
      <c r="AC8" s="103">
        <v>1.0</v>
      </c>
      <c r="AD8" s="103">
        <v>0.5</v>
      </c>
      <c r="AE8" s="103"/>
      <c r="AF8" s="3"/>
      <c r="AG8" s="3"/>
      <c r="AH8" s="3"/>
      <c r="AI8" s="3"/>
      <c r="AJ8" s="3"/>
      <c r="AK8" s="3"/>
      <c r="AL8" s="3"/>
      <c r="AM8" s="3"/>
      <c r="AN8" s="3"/>
      <c r="AO8" s="3"/>
      <c r="AP8" s="3"/>
      <c r="AQ8" s="3"/>
      <c r="AR8" s="3"/>
      <c r="AS8" s="3"/>
      <c r="AT8" s="3"/>
      <c r="AU8" s="3"/>
      <c r="AV8" s="3"/>
      <c r="AW8" s="3"/>
      <c r="AX8" s="3"/>
      <c r="AY8" s="3"/>
    </row>
    <row r="9" ht="79.5" customHeight="1">
      <c r="A9" s="99">
        <v>2.0</v>
      </c>
      <c r="B9" s="100" t="s">
        <v>87</v>
      </c>
      <c r="C9" s="101" t="s">
        <v>86</v>
      </c>
      <c r="D9" s="102" t="s">
        <v>55</v>
      </c>
      <c r="E9" s="102">
        <v>8.0</v>
      </c>
      <c r="F9" s="102">
        <v>9.0</v>
      </c>
      <c r="G9" s="6">
        <v>43988.0</v>
      </c>
      <c r="H9" s="6">
        <v>43988.0</v>
      </c>
      <c r="I9" s="103">
        <v>1.0</v>
      </c>
      <c r="J9" s="103">
        <v>1.0</v>
      </c>
      <c r="K9" s="103">
        <v>1.0</v>
      </c>
      <c r="L9" s="103">
        <v>1.0</v>
      </c>
      <c r="M9" s="103">
        <v>1.0</v>
      </c>
      <c r="N9" s="103">
        <v>1.0</v>
      </c>
      <c r="O9" s="103">
        <v>1.0</v>
      </c>
      <c r="P9" s="103">
        <v>1.0</v>
      </c>
      <c r="Q9" s="103">
        <v>1.0</v>
      </c>
      <c r="R9" s="103">
        <v>1.0</v>
      </c>
      <c r="S9" s="103">
        <v>1.0</v>
      </c>
      <c r="T9" s="103">
        <v>1.0</v>
      </c>
      <c r="U9" s="103">
        <v>1.0</v>
      </c>
      <c r="V9" s="103">
        <v>1.0</v>
      </c>
      <c r="W9" s="103">
        <v>1.0</v>
      </c>
      <c r="X9" s="103">
        <v>1.0</v>
      </c>
      <c r="Y9" s="103">
        <v>1.0</v>
      </c>
      <c r="Z9" s="103"/>
      <c r="AA9" s="103"/>
      <c r="AB9" s="103"/>
      <c r="AC9" s="103"/>
      <c r="AD9" s="103"/>
      <c r="AE9" s="103"/>
      <c r="AF9" s="3"/>
      <c r="AG9" s="3"/>
      <c r="AH9" s="3"/>
      <c r="AI9" s="3"/>
      <c r="AJ9" s="3"/>
      <c r="AK9" s="3"/>
      <c r="AL9" s="3"/>
      <c r="AM9" s="3"/>
      <c r="AN9" s="3"/>
      <c r="AO9" s="3"/>
      <c r="AP9" s="3"/>
      <c r="AQ9" s="3"/>
      <c r="AR9" s="3"/>
      <c r="AS9" s="3"/>
      <c r="AT9" s="3"/>
      <c r="AU9" s="3"/>
      <c r="AV9" s="3"/>
      <c r="AW9" s="3"/>
      <c r="AX9" s="3"/>
      <c r="AY9" s="3"/>
    </row>
    <row r="10">
      <c r="A10" s="99">
        <v>3.0</v>
      </c>
      <c r="B10" s="100" t="s">
        <v>88</v>
      </c>
      <c r="C10" s="101" t="s">
        <v>86</v>
      </c>
      <c r="D10" s="102" t="s">
        <v>42</v>
      </c>
      <c r="E10" s="102">
        <v>8.0</v>
      </c>
      <c r="F10" s="102">
        <v>8.0</v>
      </c>
      <c r="G10" s="6">
        <v>43984.0</v>
      </c>
      <c r="H10" s="6">
        <v>43984.0</v>
      </c>
      <c r="I10" s="103">
        <v>1.0</v>
      </c>
      <c r="J10" s="103">
        <v>1.0</v>
      </c>
      <c r="K10" s="103">
        <v>1.0</v>
      </c>
      <c r="L10" s="103">
        <v>1.0</v>
      </c>
      <c r="M10" s="103">
        <v>1.0</v>
      </c>
      <c r="N10" s="103">
        <v>1.0</v>
      </c>
      <c r="O10" s="103">
        <v>1.0</v>
      </c>
      <c r="P10" s="103">
        <v>1.0</v>
      </c>
      <c r="Q10" s="103">
        <v>1.0</v>
      </c>
      <c r="R10" s="103">
        <v>1.0</v>
      </c>
      <c r="S10" s="103">
        <v>1.0</v>
      </c>
      <c r="T10" s="103">
        <v>1.0</v>
      </c>
      <c r="U10" s="103">
        <v>1.0</v>
      </c>
      <c r="V10" s="103">
        <v>1.0</v>
      </c>
      <c r="W10" s="103">
        <v>1.0</v>
      </c>
      <c r="X10" s="103">
        <v>1.0</v>
      </c>
      <c r="Y10" s="103">
        <v>1.0</v>
      </c>
      <c r="Z10" s="103">
        <v>1.0</v>
      </c>
      <c r="AA10" s="103">
        <v>1.0</v>
      </c>
      <c r="AB10" s="103">
        <v>1.0</v>
      </c>
      <c r="AC10" s="103"/>
      <c r="AD10" s="103"/>
      <c r="AE10" s="103"/>
      <c r="AF10" s="3"/>
      <c r="AG10" s="3"/>
      <c r="AH10" s="3"/>
      <c r="AI10" s="3"/>
      <c r="AJ10" s="3"/>
      <c r="AK10" s="3"/>
      <c r="AL10" s="3"/>
      <c r="AM10" s="3"/>
      <c r="AN10" s="3"/>
      <c r="AO10" s="3"/>
      <c r="AP10" s="3"/>
      <c r="AQ10" s="3"/>
      <c r="AR10" s="3"/>
      <c r="AS10" s="3"/>
      <c r="AT10" s="3"/>
      <c r="AU10" s="3"/>
      <c r="AV10" s="3"/>
      <c r="AW10" s="3"/>
      <c r="AX10" s="3"/>
      <c r="AY10" s="3"/>
    </row>
    <row r="11">
      <c r="A11" s="99">
        <v>4.0</v>
      </c>
      <c r="B11" s="100" t="s">
        <v>89</v>
      </c>
      <c r="C11" s="101" t="s">
        <v>86</v>
      </c>
      <c r="D11" s="102" t="s">
        <v>42</v>
      </c>
      <c r="E11" s="102">
        <v>32.0</v>
      </c>
      <c r="F11" s="102">
        <v>35.0</v>
      </c>
      <c r="G11" s="6">
        <v>43985.0</v>
      </c>
      <c r="H11" s="6">
        <v>43988.0</v>
      </c>
      <c r="I11" s="103">
        <v>1.0</v>
      </c>
      <c r="J11" s="103">
        <v>1.0</v>
      </c>
      <c r="K11" s="103">
        <v>1.0</v>
      </c>
      <c r="L11" s="103">
        <v>1.0</v>
      </c>
      <c r="M11" s="103">
        <v>1.0</v>
      </c>
      <c r="N11" s="103">
        <v>1.0</v>
      </c>
      <c r="O11" s="103">
        <v>1.0</v>
      </c>
      <c r="P11" s="103">
        <v>1.0</v>
      </c>
      <c r="Q11" s="103">
        <v>1.0</v>
      </c>
      <c r="R11" s="103">
        <v>1.0</v>
      </c>
      <c r="S11" s="103">
        <v>1.0</v>
      </c>
      <c r="T11" s="103">
        <v>1.0</v>
      </c>
      <c r="U11" s="103">
        <v>1.0</v>
      </c>
      <c r="V11" s="103">
        <v>1.0</v>
      </c>
      <c r="W11" s="103">
        <v>1.0</v>
      </c>
      <c r="X11" s="103">
        <v>1.0</v>
      </c>
      <c r="Y11" s="103">
        <v>1.0</v>
      </c>
      <c r="Z11" s="103">
        <v>0.75</v>
      </c>
      <c r="AA11" s="103">
        <v>0.5</v>
      </c>
      <c r="AB11" s="103">
        <v>0.25</v>
      </c>
      <c r="AC11" s="103"/>
      <c r="AD11" s="103"/>
      <c r="AE11" s="103"/>
      <c r="AF11" s="3"/>
      <c r="AG11" s="3"/>
      <c r="AH11" s="3"/>
      <c r="AI11" s="3"/>
      <c r="AJ11" s="3"/>
      <c r="AK11" s="3"/>
      <c r="AL11" s="3"/>
      <c r="AM11" s="3"/>
      <c r="AN11" s="3"/>
      <c r="AO11" s="3"/>
      <c r="AP11" s="3"/>
      <c r="AQ11" s="3"/>
      <c r="AR11" s="3"/>
      <c r="AS11" s="3"/>
      <c r="AT11" s="3"/>
      <c r="AU11" s="3"/>
      <c r="AV11" s="3"/>
      <c r="AW11" s="3"/>
      <c r="AX11" s="3"/>
      <c r="AY11" s="3"/>
    </row>
    <row r="12">
      <c r="A12" s="99">
        <v>5.0</v>
      </c>
      <c r="B12" s="100" t="s">
        <v>90</v>
      </c>
      <c r="C12" s="101" t="s">
        <v>86</v>
      </c>
      <c r="D12" s="104" t="s">
        <v>55</v>
      </c>
      <c r="E12" s="102">
        <v>8.0</v>
      </c>
      <c r="F12" s="102">
        <v>8.0</v>
      </c>
      <c r="G12" s="6">
        <v>43989.0</v>
      </c>
      <c r="H12" s="6">
        <v>43989.0</v>
      </c>
      <c r="I12" s="103">
        <v>1.0</v>
      </c>
      <c r="J12" s="103">
        <v>1.0</v>
      </c>
      <c r="K12" s="103">
        <v>1.0</v>
      </c>
      <c r="L12" s="103">
        <v>1.0</v>
      </c>
      <c r="M12" s="103">
        <v>1.0</v>
      </c>
      <c r="N12" s="103">
        <v>1.0</v>
      </c>
      <c r="O12" s="103">
        <v>1.0</v>
      </c>
      <c r="P12" s="103">
        <v>1.0</v>
      </c>
      <c r="Q12" s="103">
        <v>1.0</v>
      </c>
      <c r="R12" s="103">
        <v>1.0</v>
      </c>
      <c r="S12" s="103">
        <v>1.0</v>
      </c>
      <c r="T12" s="103">
        <v>1.0</v>
      </c>
      <c r="U12" s="103">
        <v>1.0</v>
      </c>
      <c r="V12" s="103">
        <v>1.0</v>
      </c>
      <c r="W12" s="103">
        <v>1.0</v>
      </c>
      <c r="X12" s="103">
        <v>1.0</v>
      </c>
      <c r="Y12" s="103"/>
      <c r="Z12" s="103"/>
      <c r="AA12" s="103"/>
      <c r="AB12" s="103"/>
      <c r="AC12" s="103"/>
      <c r="AD12" s="103"/>
      <c r="AE12" s="103"/>
      <c r="AF12" s="3"/>
      <c r="AG12" s="3"/>
      <c r="AH12" s="3"/>
      <c r="AI12" s="3"/>
      <c r="AJ12" s="3"/>
      <c r="AK12" s="3"/>
      <c r="AL12" s="3"/>
      <c r="AM12" s="3"/>
      <c r="AN12" s="3"/>
      <c r="AO12" s="3"/>
      <c r="AP12" s="3"/>
      <c r="AQ12" s="3"/>
      <c r="AR12" s="3"/>
      <c r="AS12" s="3"/>
      <c r="AT12" s="3"/>
      <c r="AU12" s="3"/>
      <c r="AV12" s="3"/>
      <c r="AW12" s="3"/>
      <c r="AX12" s="3"/>
      <c r="AY12" s="3"/>
    </row>
    <row r="13">
      <c r="A13" s="99">
        <v>6.0</v>
      </c>
      <c r="B13" s="100" t="s">
        <v>91</v>
      </c>
      <c r="C13" s="101" t="s">
        <v>86</v>
      </c>
      <c r="D13" s="105" t="s">
        <v>55</v>
      </c>
      <c r="E13" s="102">
        <v>24.0</v>
      </c>
      <c r="F13" s="102">
        <v>12.0</v>
      </c>
      <c r="G13" s="6">
        <v>43990.0</v>
      </c>
      <c r="H13" s="6">
        <v>43990.0</v>
      </c>
      <c r="I13" s="103">
        <v>1.0</v>
      </c>
      <c r="J13" s="103">
        <v>1.0</v>
      </c>
      <c r="K13" s="103">
        <v>1.0</v>
      </c>
      <c r="L13" s="103">
        <v>1.0</v>
      </c>
      <c r="M13" s="103">
        <v>1.0</v>
      </c>
      <c r="N13" s="103">
        <v>1.0</v>
      </c>
      <c r="O13" s="103">
        <v>1.0</v>
      </c>
      <c r="P13" s="103">
        <v>1.0</v>
      </c>
      <c r="Q13" s="103">
        <v>1.0</v>
      </c>
      <c r="R13" s="103">
        <v>1.0</v>
      </c>
      <c r="S13" s="103">
        <v>1.0</v>
      </c>
      <c r="T13" s="103">
        <v>1.0</v>
      </c>
      <c r="U13" s="103">
        <v>1.0</v>
      </c>
      <c r="V13" s="103">
        <v>1.0</v>
      </c>
      <c r="W13" s="103">
        <v>1.0</v>
      </c>
      <c r="X13" s="103"/>
      <c r="Y13" s="103"/>
      <c r="Z13" s="103"/>
      <c r="AA13" s="103"/>
      <c r="AB13" s="103"/>
      <c r="AC13" s="103"/>
      <c r="AD13" s="103"/>
      <c r="AE13" s="103"/>
      <c r="AF13" s="3"/>
      <c r="AG13" s="3"/>
      <c r="AH13" s="3"/>
      <c r="AI13" s="3"/>
      <c r="AJ13" s="3"/>
      <c r="AK13" s="3"/>
      <c r="AL13" s="3"/>
      <c r="AM13" s="3"/>
      <c r="AN13" s="3"/>
      <c r="AO13" s="3"/>
      <c r="AP13" s="3"/>
      <c r="AQ13" s="3"/>
      <c r="AR13" s="3"/>
      <c r="AS13" s="3"/>
      <c r="AT13" s="3"/>
      <c r="AU13" s="3"/>
      <c r="AV13" s="3"/>
      <c r="AW13" s="3"/>
      <c r="AX13" s="3"/>
      <c r="AY13" s="3"/>
    </row>
    <row r="14" ht="15.0" customHeight="1">
      <c r="A14" s="99">
        <v>7.0</v>
      </c>
      <c r="B14" s="106" t="s">
        <v>92</v>
      </c>
      <c r="C14" s="101" t="s">
        <v>86</v>
      </c>
      <c r="D14" s="105" t="s">
        <v>42</v>
      </c>
      <c r="E14" s="102">
        <v>8.0</v>
      </c>
      <c r="F14" s="102">
        <v>8.0</v>
      </c>
      <c r="G14" s="6">
        <v>43990.0</v>
      </c>
      <c r="H14" s="6">
        <v>43990.0</v>
      </c>
      <c r="I14" s="103">
        <v>1.0</v>
      </c>
      <c r="J14" s="103">
        <v>1.0</v>
      </c>
      <c r="K14" s="103">
        <v>1.0</v>
      </c>
      <c r="L14" s="103">
        <v>1.0</v>
      </c>
      <c r="M14" s="103">
        <v>1.0</v>
      </c>
      <c r="N14" s="103">
        <v>1.0</v>
      </c>
      <c r="O14" s="103">
        <v>1.0</v>
      </c>
      <c r="P14" s="103">
        <v>1.0</v>
      </c>
      <c r="Q14" s="103">
        <v>1.0</v>
      </c>
      <c r="R14" s="103">
        <v>1.0</v>
      </c>
      <c r="S14" s="103">
        <v>1.0</v>
      </c>
      <c r="T14" s="103">
        <v>1.0</v>
      </c>
      <c r="U14" s="103">
        <v>1.0</v>
      </c>
      <c r="V14" s="103">
        <v>1.0</v>
      </c>
      <c r="W14" s="103">
        <v>1.0</v>
      </c>
      <c r="X14" s="103"/>
      <c r="Y14" s="103"/>
      <c r="Z14" s="103"/>
      <c r="AA14" s="103"/>
      <c r="AB14" s="103"/>
      <c r="AC14" s="103"/>
      <c r="AD14" s="103"/>
      <c r="AE14" s="103"/>
      <c r="AF14" s="3"/>
      <c r="AG14" s="3"/>
      <c r="AH14" s="3"/>
      <c r="AI14" s="3"/>
      <c r="AJ14" s="3"/>
      <c r="AK14" s="3"/>
      <c r="AL14" s="3"/>
      <c r="AM14" s="3"/>
      <c r="AN14" s="3"/>
      <c r="AO14" s="3"/>
      <c r="AP14" s="3"/>
      <c r="AQ14" s="3"/>
      <c r="AR14" s="3"/>
      <c r="AS14" s="3"/>
      <c r="AT14" s="3"/>
      <c r="AU14" s="3"/>
      <c r="AV14" s="3"/>
      <c r="AW14" s="3"/>
      <c r="AX14" s="3"/>
      <c r="AY14" s="3"/>
    </row>
    <row r="15">
      <c r="A15" s="99">
        <v>8.0</v>
      </c>
      <c r="B15" s="100" t="s">
        <v>93</v>
      </c>
      <c r="C15" s="101" t="s">
        <v>86</v>
      </c>
      <c r="D15" s="102" t="s">
        <v>42</v>
      </c>
      <c r="E15" s="102">
        <v>8.0</v>
      </c>
      <c r="F15" s="102">
        <v>8.0</v>
      </c>
      <c r="G15" s="6">
        <v>43991.0</v>
      </c>
      <c r="H15" s="6">
        <v>43991.0</v>
      </c>
      <c r="I15" s="103">
        <v>1.0</v>
      </c>
      <c r="J15" s="103">
        <v>1.0</v>
      </c>
      <c r="K15" s="103">
        <v>1.0</v>
      </c>
      <c r="L15" s="103">
        <v>1.0</v>
      </c>
      <c r="M15" s="103">
        <v>1.0</v>
      </c>
      <c r="N15" s="103">
        <v>1.0</v>
      </c>
      <c r="O15" s="103">
        <v>1.0</v>
      </c>
      <c r="P15" s="103">
        <v>1.0</v>
      </c>
      <c r="Q15" s="103">
        <v>1.0</v>
      </c>
      <c r="R15" s="103">
        <v>1.0</v>
      </c>
      <c r="S15" s="103">
        <v>1.0</v>
      </c>
      <c r="T15" s="103">
        <v>1.0</v>
      </c>
      <c r="U15" s="103">
        <v>1.0</v>
      </c>
      <c r="V15" s="103">
        <v>1.0</v>
      </c>
      <c r="W15" s="103"/>
      <c r="X15" s="103"/>
      <c r="Y15" s="103"/>
      <c r="Z15" s="103"/>
      <c r="AA15" s="103"/>
      <c r="AB15" s="103"/>
      <c r="AC15" s="103"/>
      <c r="AD15" s="103"/>
      <c r="AE15" s="103"/>
      <c r="AF15" s="3"/>
      <c r="AG15" s="3"/>
      <c r="AH15" s="3"/>
      <c r="AI15" s="3"/>
      <c r="AJ15" s="3"/>
      <c r="AK15" s="3"/>
      <c r="AL15" s="3"/>
      <c r="AM15" s="3"/>
      <c r="AN15" s="3"/>
      <c r="AO15" s="3"/>
      <c r="AP15" s="3"/>
      <c r="AQ15" s="3"/>
      <c r="AR15" s="3"/>
      <c r="AS15" s="3"/>
      <c r="AT15" s="3"/>
      <c r="AU15" s="3"/>
      <c r="AV15" s="3"/>
      <c r="AW15" s="3"/>
      <c r="AX15" s="3"/>
      <c r="AY15" s="3"/>
    </row>
    <row r="16">
      <c r="A16" s="99">
        <v>9.0</v>
      </c>
      <c r="B16" s="100" t="s">
        <v>94</v>
      </c>
      <c r="C16" s="101" t="s">
        <v>86</v>
      </c>
      <c r="D16" s="102" t="s">
        <v>55</v>
      </c>
      <c r="E16" s="102">
        <v>8.0</v>
      </c>
      <c r="F16" s="102">
        <v>8.0</v>
      </c>
      <c r="G16" s="6">
        <v>43991.0</v>
      </c>
      <c r="H16" s="6">
        <v>43991.0</v>
      </c>
      <c r="I16" s="103">
        <v>1.0</v>
      </c>
      <c r="J16" s="103">
        <v>1.0</v>
      </c>
      <c r="K16" s="103">
        <v>1.0</v>
      </c>
      <c r="L16" s="103">
        <v>1.0</v>
      </c>
      <c r="M16" s="103">
        <v>1.0</v>
      </c>
      <c r="N16" s="103">
        <v>1.0</v>
      </c>
      <c r="O16" s="103">
        <v>1.0</v>
      </c>
      <c r="P16" s="103">
        <v>1.0</v>
      </c>
      <c r="Q16" s="103">
        <v>1.0</v>
      </c>
      <c r="R16" s="103">
        <v>1.0</v>
      </c>
      <c r="S16" s="103">
        <v>1.0</v>
      </c>
      <c r="T16" s="103">
        <v>1.0</v>
      </c>
      <c r="U16" s="103">
        <v>1.0</v>
      </c>
      <c r="V16" s="103">
        <v>1.0</v>
      </c>
      <c r="W16" s="103"/>
      <c r="X16" s="103"/>
      <c r="Y16" s="103"/>
      <c r="Z16" s="103"/>
      <c r="AA16" s="103"/>
      <c r="AB16" s="103"/>
      <c r="AC16" s="103"/>
      <c r="AD16" s="103"/>
      <c r="AE16" s="103"/>
      <c r="AF16" s="3"/>
      <c r="AG16" s="3"/>
      <c r="AH16" s="3"/>
      <c r="AI16" s="3"/>
      <c r="AJ16" s="3"/>
      <c r="AK16" s="3"/>
      <c r="AL16" s="3"/>
      <c r="AM16" s="3"/>
      <c r="AN16" s="3"/>
      <c r="AO16" s="3"/>
      <c r="AP16" s="3"/>
      <c r="AQ16" s="3"/>
      <c r="AR16" s="3"/>
      <c r="AS16" s="3"/>
      <c r="AT16" s="3"/>
      <c r="AU16" s="3"/>
      <c r="AV16" s="3"/>
      <c r="AW16" s="3"/>
      <c r="AX16" s="3"/>
      <c r="AY16" s="3"/>
    </row>
    <row r="17">
      <c r="A17" s="99">
        <v>10.0</v>
      </c>
      <c r="B17" s="100" t="s">
        <v>95</v>
      </c>
      <c r="C17" s="101" t="s">
        <v>86</v>
      </c>
      <c r="D17" s="102" t="s">
        <v>42</v>
      </c>
      <c r="E17" s="102">
        <v>8.0</v>
      </c>
      <c r="F17" s="102">
        <v>12.0</v>
      </c>
      <c r="G17" s="6">
        <v>43992.0</v>
      </c>
      <c r="H17" s="6">
        <v>43993.0</v>
      </c>
      <c r="I17" s="103">
        <v>1.0</v>
      </c>
      <c r="J17" s="103">
        <v>1.0</v>
      </c>
      <c r="K17" s="103">
        <v>1.0</v>
      </c>
      <c r="L17" s="103">
        <v>1.0</v>
      </c>
      <c r="M17" s="103">
        <v>1.0</v>
      </c>
      <c r="N17" s="103">
        <v>1.0</v>
      </c>
      <c r="O17" s="103">
        <v>1.0</v>
      </c>
      <c r="P17" s="103">
        <v>1.0</v>
      </c>
      <c r="Q17" s="103">
        <v>1.0</v>
      </c>
      <c r="R17" s="103">
        <v>1.0</v>
      </c>
      <c r="S17" s="103">
        <v>1.0</v>
      </c>
      <c r="T17" s="103">
        <v>1.0</v>
      </c>
      <c r="U17" s="103">
        <v>0.6</v>
      </c>
      <c r="V17" s="103"/>
      <c r="W17" s="103"/>
      <c r="X17" s="103"/>
      <c r="Y17" s="103"/>
      <c r="Z17" s="103"/>
      <c r="AA17" s="103"/>
      <c r="AB17" s="103"/>
      <c r="AC17" s="103"/>
      <c r="AD17" s="103"/>
      <c r="AE17" s="103"/>
      <c r="AF17" s="3"/>
      <c r="AG17" s="3"/>
      <c r="AH17" s="3"/>
      <c r="AI17" s="3"/>
      <c r="AJ17" s="3"/>
      <c r="AK17" s="3"/>
      <c r="AL17" s="3"/>
      <c r="AM17" s="3"/>
      <c r="AN17" s="3"/>
      <c r="AO17" s="3"/>
      <c r="AP17" s="3"/>
      <c r="AQ17" s="3"/>
      <c r="AR17" s="3"/>
      <c r="AS17" s="3"/>
      <c r="AT17" s="3"/>
      <c r="AU17" s="3"/>
      <c r="AV17" s="3"/>
      <c r="AW17" s="3"/>
      <c r="AX17" s="3"/>
      <c r="AY17" s="3"/>
    </row>
    <row r="18">
      <c r="A18" s="99">
        <v>11.0</v>
      </c>
      <c r="B18" s="100" t="s">
        <v>96</v>
      </c>
      <c r="C18" s="101" t="s">
        <v>86</v>
      </c>
      <c r="D18" s="102" t="s">
        <v>51</v>
      </c>
      <c r="E18" s="102">
        <v>8.0</v>
      </c>
      <c r="F18" s="102">
        <v>8.0</v>
      </c>
      <c r="G18" s="6">
        <v>43981.0</v>
      </c>
      <c r="H18" s="6">
        <v>43981.0</v>
      </c>
      <c r="I18" s="103">
        <v>1.0</v>
      </c>
      <c r="J18" s="103">
        <v>1.0</v>
      </c>
      <c r="K18" s="103">
        <v>1.0</v>
      </c>
      <c r="L18" s="103">
        <v>1.0</v>
      </c>
      <c r="M18" s="103">
        <v>1.0</v>
      </c>
      <c r="N18" s="103">
        <v>1.0</v>
      </c>
      <c r="O18" s="103">
        <v>1.0</v>
      </c>
      <c r="P18" s="103">
        <v>1.0</v>
      </c>
      <c r="Q18" s="103">
        <v>1.0</v>
      </c>
      <c r="R18" s="103">
        <v>1.0</v>
      </c>
      <c r="S18" s="103">
        <v>1.0</v>
      </c>
      <c r="T18" s="103">
        <v>1.0</v>
      </c>
      <c r="U18" s="103">
        <v>1.0</v>
      </c>
      <c r="V18" s="103">
        <v>1.0</v>
      </c>
      <c r="W18" s="103">
        <v>1.0</v>
      </c>
      <c r="X18" s="103">
        <v>1.0</v>
      </c>
      <c r="Y18" s="103">
        <v>1.0</v>
      </c>
      <c r="Z18" s="103">
        <v>1.0</v>
      </c>
      <c r="AA18" s="103">
        <v>1.0</v>
      </c>
      <c r="AB18" s="103">
        <v>1.0</v>
      </c>
      <c r="AC18" s="103">
        <v>1.0</v>
      </c>
      <c r="AD18" s="103">
        <v>1.0</v>
      </c>
      <c r="AE18" s="103">
        <v>1.0</v>
      </c>
      <c r="AF18" s="107"/>
      <c r="AG18" s="107"/>
      <c r="AH18" s="107"/>
      <c r="AI18" s="107"/>
      <c r="AJ18" s="107"/>
      <c r="AK18" s="107"/>
      <c r="AL18" s="107"/>
      <c r="AM18" s="107"/>
      <c r="AN18" s="107"/>
      <c r="AO18" s="107"/>
      <c r="AP18" s="107"/>
      <c r="AQ18" s="107"/>
      <c r="AR18" s="107"/>
      <c r="AS18" s="107"/>
      <c r="AT18" s="107"/>
      <c r="AU18" s="107"/>
      <c r="AV18" s="107"/>
      <c r="AW18" s="107"/>
      <c r="AX18" s="107"/>
      <c r="AY18" s="107"/>
    </row>
    <row r="19">
      <c r="A19" s="99">
        <v>12.0</v>
      </c>
      <c r="B19" s="100" t="s">
        <v>97</v>
      </c>
      <c r="C19" s="101" t="s">
        <v>86</v>
      </c>
      <c r="D19" s="102" t="s">
        <v>51</v>
      </c>
      <c r="E19" s="102">
        <v>8.0</v>
      </c>
      <c r="F19" s="102">
        <v>8.0</v>
      </c>
      <c r="G19" s="6">
        <v>43983.0</v>
      </c>
      <c r="H19" s="6">
        <v>43983.0</v>
      </c>
      <c r="I19" s="103">
        <v>1.0</v>
      </c>
      <c r="J19" s="103">
        <v>1.0</v>
      </c>
      <c r="K19" s="103">
        <v>1.0</v>
      </c>
      <c r="L19" s="103">
        <v>1.0</v>
      </c>
      <c r="M19" s="103">
        <v>1.0</v>
      </c>
      <c r="N19" s="103">
        <v>1.0</v>
      </c>
      <c r="O19" s="103">
        <v>1.0</v>
      </c>
      <c r="P19" s="103">
        <v>1.0</v>
      </c>
      <c r="Q19" s="103">
        <v>1.0</v>
      </c>
      <c r="R19" s="103">
        <v>1.0</v>
      </c>
      <c r="S19" s="103">
        <v>1.0</v>
      </c>
      <c r="T19" s="103">
        <v>1.0</v>
      </c>
      <c r="U19" s="103">
        <v>1.0</v>
      </c>
      <c r="V19" s="103">
        <v>1.0</v>
      </c>
      <c r="W19" s="103">
        <v>1.0</v>
      </c>
      <c r="X19" s="103">
        <v>1.0</v>
      </c>
      <c r="Y19" s="103">
        <v>1.0</v>
      </c>
      <c r="Z19" s="103">
        <v>1.0</v>
      </c>
      <c r="AA19" s="103">
        <v>1.0</v>
      </c>
      <c r="AB19" s="103">
        <v>1.0</v>
      </c>
      <c r="AC19" s="103">
        <v>1.0</v>
      </c>
      <c r="AD19" s="103">
        <v>1.0</v>
      </c>
      <c r="AE19" s="103"/>
      <c r="AF19" s="3"/>
      <c r="AG19" s="3"/>
      <c r="AH19" s="3"/>
      <c r="AI19" s="3"/>
      <c r="AJ19" s="3"/>
      <c r="AK19" s="3"/>
      <c r="AL19" s="3"/>
      <c r="AM19" s="3"/>
      <c r="AN19" s="3"/>
      <c r="AO19" s="3"/>
      <c r="AP19" s="3"/>
      <c r="AQ19" s="3"/>
      <c r="AR19" s="3"/>
      <c r="AS19" s="3"/>
      <c r="AT19" s="3"/>
      <c r="AU19" s="3"/>
      <c r="AV19" s="3"/>
      <c r="AW19" s="3"/>
      <c r="AX19" s="3"/>
      <c r="AY19" s="3"/>
    </row>
    <row r="20">
      <c r="A20" s="99">
        <v>13.0</v>
      </c>
      <c r="B20" s="100" t="s">
        <v>98</v>
      </c>
      <c r="C20" s="101" t="s">
        <v>86</v>
      </c>
      <c r="D20" s="102" t="s">
        <v>42</v>
      </c>
      <c r="E20" s="102">
        <v>8.0</v>
      </c>
      <c r="F20" s="102">
        <v>8.0</v>
      </c>
      <c r="G20" s="6">
        <v>43992.0</v>
      </c>
      <c r="H20" s="6">
        <v>43992.0</v>
      </c>
      <c r="I20" s="103">
        <v>1.0</v>
      </c>
      <c r="J20" s="103">
        <v>1.0</v>
      </c>
      <c r="K20" s="103">
        <v>1.0</v>
      </c>
      <c r="L20" s="103">
        <v>1.0</v>
      </c>
      <c r="M20" s="103">
        <v>1.0</v>
      </c>
      <c r="N20" s="103">
        <v>1.0</v>
      </c>
      <c r="O20" s="103">
        <v>1.0</v>
      </c>
      <c r="P20" s="103">
        <v>1.0</v>
      </c>
      <c r="Q20" s="103">
        <v>1.0</v>
      </c>
      <c r="R20" s="103">
        <v>1.0</v>
      </c>
      <c r="S20" s="103">
        <v>1.0</v>
      </c>
      <c r="T20" s="103">
        <v>1.0</v>
      </c>
      <c r="U20" s="103">
        <v>1.0</v>
      </c>
      <c r="V20" s="103"/>
      <c r="W20" s="103"/>
      <c r="X20" s="103"/>
      <c r="Y20" s="103"/>
      <c r="Z20" s="103"/>
      <c r="AA20" s="103"/>
      <c r="AB20" s="103"/>
      <c r="AC20" s="103"/>
      <c r="AD20" s="103"/>
      <c r="AE20" s="103"/>
      <c r="AF20" s="3"/>
      <c r="AG20" s="3"/>
      <c r="AH20" s="3"/>
      <c r="AI20" s="3"/>
      <c r="AJ20" s="3"/>
      <c r="AK20" s="3"/>
      <c r="AL20" s="3"/>
      <c r="AM20" s="3"/>
      <c r="AN20" s="3"/>
      <c r="AO20" s="3"/>
      <c r="AP20" s="3"/>
      <c r="AQ20" s="3"/>
      <c r="AR20" s="3"/>
      <c r="AS20" s="3"/>
      <c r="AT20" s="3"/>
      <c r="AU20" s="3"/>
      <c r="AV20" s="3"/>
      <c r="AW20" s="3"/>
      <c r="AX20" s="3"/>
      <c r="AY20" s="3"/>
    </row>
    <row r="21">
      <c r="A21" s="99">
        <v>14.0</v>
      </c>
      <c r="B21" s="100" t="s">
        <v>99</v>
      </c>
      <c r="C21" s="101" t="s">
        <v>86</v>
      </c>
      <c r="D21" s="102" t="s">
        <v>55</v>
      </c>
      <c r="E21" s="102">
        <v>8.0</v>
      </c>
      <c r="F21" s="102">
        <v>8.0</v>
      </c>
      <c r="G21" s="6">
        <v>43992.0</v>
      </c>
      <c r="H21" s="6">
        <v>43992.0</v>
      </c>
      <c r="I21" s="103">
        <v>1.0</v>
      </c>
      <c r="J21" s="103">
        <v>1.0</v>
      </c>
      <c r="K21" s="103">
        <v>1.0</v>
      </c>
      <c r="L21" s="103">
        <v>1.0</v>
      </c>
      <c r="M21" s="103">
        <v>1.0</v>
      </c>
      <c r="N21" s="103">
        <v>1.0</v>
      </c>
      <c r="O21" s="103">
        <v>1.0</v>
      </c>
      <c r="P21" s="103">
        <v>1.0</v>
      </c>
      <c r="Q21" s="103">
        <v>1.0</v>
      </c>
      <c r="R21" s="103">
        <v>1.0</v>
      </c>
      <c r="S21" s="103">
        <v>1.0</v>
      </c>
      <c r="T21" s="103">
        <v>1.0</v>
      </c>
      <c r="U21" s="103">
        <v>1.0</v>
      </c>
      <c r="V21" s="103"/>
      <c r="W21" s="103"/>
      <c r="X21" s="103"/>
      <c r="Y21" s="103"/>
      <c r="Z21" s="103"/>
      <c r="AA21" s="103"/>
      <c r="AB21" s="103"/>
      <c r="AC21" s="103"/>
      <c r="AD21" s="103"/>
      <c r="AE21" s="103"/>
      <c r="AF21" s="3"/>
      <c r="AG21" s="3"/>
      <c r="AH21" s="3"/>
      <c r="AI21" s="3"/>
      <c r="AJ21" s="3"/>
      <c r="AK21" s="3"/>
      <c r="AL21" s="3"/>
      <c r="AM21" s="3"/>
      <c r="AN21" s="3"/>
      <c r="AO21" s="3"/>
      <c r="AP21" s="3"/>
      <c r="AQ21" s="3"/>
      <c r="AR21" s="3"/>
      <c r="AS21" s="3"/>
      <c r="AT21" s="3"/>
      <c r="AU21" s="3"/>
      <c r="AV21" s="3"/>
      <c r="AW21" s="3"/>
      <c r="AX21" s="3"/>
      <c r="AY21" s="3"/>
    </row>
    <row r="22">
      <c r="A22" s="99">
        <v>15.0</v>
      </c>
      <c r="B22" s="100" t="s">
        <v>100</v>
      </c>
      <c r="C22" s="101" t="s">
        <v>86</v>
      </c>
      <c r="D22" s="102" t="s">
        <v>42</v>
      </c>
      <c r="E22" s="102">
        <v>16.0</v>
      </c>
      <c r="F22" s="102">
        <v>18.0</v>
      </c>
      <c r="G22" s="6">
        <v>43992.0</v>
      </c>
      <c r="H22" s="6">
        <v>43993.0</v>
      </c>
      <c r="I22" s="103">
        <v>1.0</v>
      </c>
      <c r="J22" s="103">
        <v>1.0</v>
      </c>
      <c r="K22" s="103">
        <v>1.0</v>
      </c>
      <c r="L22" s="103">
        <v>1.0</v>
      </c>
      <c r="M22" s="103">
        <v>1.0</v>
      </c>
      <c r="N22" s="103">
        <v>1.0</v>
      </c>
      <c r="O22" s="103">
        <v>1.0</v>
      </c>
      <c r="P22" s="103">
        <v>1.0</v>
      </c>
      <c r="Q22" s="103">
        <v>1.0</v>
      </c>
      <c r="R22" s="103">
        <v>1.0</v>
      </c>
      <c r="S22" s="103">
        <v>1.0</v>
      </c>
      <c r="T22" s="103">
        <v>1.0</v>
      </c>
      <c r="U22" s="103">
        <v>0.5</v>
      </c>
      <c r="V22" s="103"/>
      <c r="W22" s="103"/>
      <c r="X22" s="103"/>
      <c r="Y22" s="103"/>
      <c r="Z22" s="103"/>
      <c r="AA22" s="103"/>
      <c r="AB22" s="103"/>
      <c r="AC22" s="103"/>
      <c r="AD22" s="103"/>
      <c r="AE22" s="103"/>
      <c r="AF22" s="3"/>
      <c r="AG22" s="3"/>
      <c r="AH22" s="3"/>
      <c r="AI22" s="3"/>
      <c r="AJ22" s="3"/>
      <c r="AK22" s="3"/>
      <c r="AL22" s="3"/>
      <c r="AM22" s="3"/>
      <c r="AN22" s="3"/>
      <c r="AO22" s="3"/>
      <c r="AP22" s="3"/>
      <c r="AQ22" s="3"/>
      <c r="AR22" s="3"/>
      <c r="AS22" s="3"/>
      <c r="AT22" s="3"/>
      <c r="AU22" s="3"/>
      <c r="AV22" s="3"/>
      <c r="AW22" s="3"/>
      <c r="AX22" s="3"/>
      <c r="AY22" s="3"/>
    </row>
    <row r="23">
      <c r="A23" s="99">
        <v>16.0</v>
      </c>
      <c r="B23" s="100" t="s">
        <v>101</v>
      </c>
      <c r="C23" s="101" t="s">
        <v>86</v>
      </c>
      <c r="D23" s="102" t="s">
        <v>55</v>
      </c>
      <c r="E23" s="102">
        <v>8.0</v>
      </c>
      <c r="F23" s="102">
        <v>8.0</v>
      </c>
      <c r="G23" s="6">
        <v>43993.0</v>
      </c>
      <c r="H23" s="6">
        <v>43993.0</v>
      </c>
      <c r="I23" s="103">
        <v>1.0</v>
      </c>
      <c r="J23" s="103">
        <v>1.0</v>
      </c>
      <c r="K23" s="103">
        <v>1.0</v>
      </c>
      <c r="L23" s="103">
        <v>1.0</v>
      </c>
      <c r="M23" s="103">
        <v>1.0</v>
      </c>
      <c r="N23" s="103">
        <v>1.0</v>
      </c>
      <c r="O23" s="103">
        <v>1.0</v>
      </c>
      <c r="P23" s="103">
        <v>1.0</v>
      </c>
      <c r="Q23" s="103">
        <v>1.0</v>
      </c>
      <c r="R23" s="103">
        <v>1.0</v>
      </c>
      <c r="S23" s="103">
        <v>1.0</v>
      </c>
      <c r="T23" s="103">
        <v>1.0</v>
      </c>
      <c r="U23" s="103"/>
      <c r="V23" s="103"/>
      <c r="W23" s="103"/>
      <c r="X23" s="103"/>
      <c r="Y23" s="103"/>
      <c r="Z23" s="103"/>
      <c r="AA23" s="103"/>
      <c r="AB23" s="103"/>
      <c r="AC23" s="103"/>
      <c r="AD23" s="103"/>
      <c r="AE23" s="103"/>
      <c r="AF23" s="3"/>
      <c r="AG23" s="3"/>
      <c r="AH23" s="3"/>
      <c r="AI23" s="3"/>
      <c r="AJ23" s="3"/>
      <c r="AK23" s="3"/>
      <c r="AL23" s="3"/>
      <c r="AM23" s="3"/>
      <c r="AN23" s="3"/>
      <c r="AO23" s="3"/>
      <c r="AP23" s="3"/>
      <c r="AQ23" s="3"/>
      <c r="AR23" s="3"/>
      <c r="AS23" s="3"/>
      <c r="AT23" s="3"/>
      <c r="AU23" s="3"/>
      <c r="AV23" s="3"/>
      <c r="AW23" s="3"/>
      <c r="AX23" s="3"/>
      <c r="AY23" s="3"/>
    </row>
    <row r="24" ht="48.75" customHeight="1">
      <c r="A24" s="99">
        <v>17.0</v>
      </c>
      <c r="B24" s="100" t="s">
        <v>102</v>
      </c>
      <c r="C24" s="101" t="s">
        <v>86</v>
      </c>
      <c r="D24" s="102" t="s">
        <v>51</v>
      </c>
      <c r="E24" s="102">
        <v>8.0</v>
      </c>
      <c r="F24" s="102">
        <v>12.0</v>
      </c>
      <c r="G24" s="6">
        <v>43984.0</v>
      </c>
      <c r="H24" s="6">
        <v>43985.0</v>
      </c>
      <c r="I24" s="103">
        <v>1.0</v>
      </c>
      <c r="J24" s="103">
        <v>1.0</v>
      </c>
      <c r="K24" s="103">
        <v>1.0</v>
      </c>
      <c r="L24" s="103">
        <v>1.0</v>
      </c>
      <c r="M24" s="103">
        <v>1.0</v>
      </c>
      <c r="N24" s="103">
        <v>1.0</v>
      </c>
      <c r="O24" s="103">
        <v>1.0</v>
      </c>
      <c r="P24" s="103">
        <v>1.0</v>
      </c>
      <c r="Q24" s="103">
        <v>1.0</v>
      </c>
      <c r="R24" s="103">
        <v>1.0</v>
      </c>
      <c r="S24" s="103">
        <v>1.0</v>
      </c>
      <c r="T24" s="103">
        <v>1.0</v>
      </c>
      <c r="U24" s="103">
        <v>1.0</v>
      </c>
      <c r="V24" s="103">
        <v>1.0</v>
      </c>
      <c r="W24" s="103">
        <v>1.0</v>
      </c>
      <c r="X24" s="103">
        <v>1.0</v>
      </c>
      <c r="Y24" s="103">
        <v>1.0</v>
      </c>
      <c r="Z24" s="103">
        <v>1.0</v>
      </c>
      <c r="AA24" s="103">
        <v>1.0</v>
      </c>
      <c r="AB24" s="103">
        <v>1.0</v>
      </c>
      <c r="AC24" s="103">
        <v>0.5</v>
      </c>
      <c r="AD24" s="103"/>
      <c r="AE24" s="103"/>
      <c r="AF24" s="3"/>
      <c r="AG24" s="3"/>
      <c r="AH24" s="3"/>
      <c r="AI24" s="3"/>
      <c r="AJ24" s="3"/>
      <c r="AK24" s="3"/>
      <c r="AL24" s="3"/>
      <c r="AM24" s="3"/>
      <c r="AN24" s="3"/>
      <c r="AO24" s="3"/>
      <c r="AP24" s="3"/>
      <c r="AQ24" s="3"/>
      <c r="AR24" s="3"/>
      <c r="AS24" s="3"/>
      <c r="AT24" s="3"/>
      <c r="AU24" s="3"/>
      <c r="AV24" s="3"/>
      <c r="AW24" s="3"/>
      <c r="AX24" s="3"/>
      <c r="AY24" s="3"/>
    </row>
    <row r="25" ht="48.75" customHeight="1">
      <c r="A25" s="99">
        <v>18.0</v>
      </c>
      <c r="B25" s="100" t="s">
        <v>103</v>
      </c>
      <c r="C25" s="101" t="s">
        <v>86</v>
      </c>
      <c r="D25" s="102" t="s">
        <v>51</v>
      </c>
      <c r="E25" s="102">
        <v>16.0</v>
      </c>
      <c r="F25" s="102">
        <v>24.0</v>
      </c>
      <c r="G25" s="6">
        <v>43987.0</v>
      </c>
      <c r="H25" s="6">
        <v>43991.0</v>
      </c>
      <c r="I25" s="103">
        <v>1.0</v>
      </c>
      <c r="J25" s="103">
        <v>1.0</v>
      </c>
      <c r="K25" s="103">
        <v>1.0</v>
      </c>
      <c r="L25" s="103">
        <v>1.0</v>
      </c>
      <c r="M25" s="103">
        <v>1.0</v>
      </c>
      <c r="N25" s="103">
        <v>1.0</v>
      </c>
      <c r="O25" s="103">
        <v>1.0</v>
      </c>
      <c r="P25" s="103">
        <v>1.0</v>
      </c>
      <c r="Q25" s="103">
        <v>1.0</v>
      </c>
      <c r="R25" s="103">
        <v>1.0</v>
      </c>
      <c r="S25" s="103">
        <v>1.0</v>
      </c>
      <c r="T25" s="103">
        <v>1.0</v>
      </c>
      <c r="U25" s="103">
        <v>1.0</v>
      </c>
      <c r="V25" s="103">
        <v>1.0</v>
      </c>
      <c r="W25" s="103">
        <v>0.75</v>
      </c>
      <c r="X25" s="103">
        <v>0.75</v>
      </c>
      <c r="Y25" s="103">
        <v>0.5</v>
      </c>
      <c r="Z25" s="103">
        <v>0.25</v>
      </c>
      <c r="AA25" s="103"/>
      <c r="AB25" s="103"/>
      <c r="AC25" s="103"/>
      <c r="AD25" s="103"/>
      <c r="AE25" s="103"/>
      <c r="AF25" s="3"/>
      <c r="AG25" s="3"/>
      <c r="AH25" s="3"/>
      <c r="AI25" s="3"/>
      <c r="AJ25" s="3"/>
      <c r="AK25" s="3"/>
      <c r="AL25" s="3"/>
      <c r="AM25" s="3"/>
      <c r="AN25" s="3"/>
      <c r="AO25" s="3"/>
      <c r="AP25" s="3"/>
      <c r="AQ25" s="3"/>
      <c r="AR25" s="3"/>
      <c r="AS25" s="3"/>
      <c r="AT25" s="3"/>
      <c r="AU25" s="3"/>
      <c r="AV25" s="3"/>
      <c r="AW25" s="3"/>
      <c r="AX25" s="3"/>
      <c r="AY25" s="3"/>
    </row>
    <row r="26">
      <c r="A26" s="99">
        <v>19.0</v>
      </c>
      <c r="B26" s="100" t="s">
        <v>104</v>
      </c>
      <c r="C26" s="101" t="s">
        <v>86</v>
      </c>
      <c r="D26" s="102" t="s">
        <v>42</v>
      </c>
      <c r="E26" s="102">
        <v>16.0</v>
      </c>
      <c r="F26" s="102">
        <v>14.0</v>
      </c>
      <c r="G26" s="6">
        <v>43994.0</v>
      </c>
      <c r="H26" s="6">
        <v>43995.0</v>
      </c>
      <c r="I26" s="103">
        <v>1.0</v>
      </c>
      <c r="J26" s="103">
        <v>1.0</v>
      </c>
      <c r="K26" s="103">
        <v>1.0</v>
      </c>
      <c r="L26" s="103">
        <v>1.0</v>
      </c>
      <c r="M26" s="103">
        <v>1.0</v>
      </c>
      <c r="N26" s="103">
        <v>1.0</v>
      </c>
      <c r="O26" s="103">
        <v>1.0</v>
      </c>
      <c r="P26" s="103">
        <v>1.0</v>
      </c>
      <c r="Q26" s="103">
        <v>1.0</v>
      </c>
      <c r="R26" s="103">
        <v>1.0</v>
      </c>
      <c r="S26" s="103">
        <v>0.5</v>
      </c>
      <c r="T26" s="103"/>
      <c r="U26" s="103"/>
      <c r="V26" s="103"/>
      <c r="W26" s="103"/>
      <c r="X26" s="103"/>
      <c r="Y26" s="103"/>
      <c r="Z26" s="103"/>
      <c r="AA26" s="103"/>
      <c r="AB26" s="103"/>
      <c r="AC26" s="103"/>
      <c r="AD26" s="103"/>
      <c r="AE26" s="103"/>
      <c r="AF26" s="3"/>
      <c r="AG26" s="3"/>
      <c r="AH26" s="3"/>
      <c r="AI26" s="3"/>
      <c r="AJ26" s="3"/>
      <c r="AK26" s="3"/>
      <c r="AL26" s="3"/>
      <c r="AM26" s="3"/>
      <c r="AN26" s="3"/>
      <c r="AO26" s="3"/>
      <c r="AP26" s="3"/>
      <c r="AQ26" s="3"/>
      <c r="AR26" s="3"/>
      <c r="AS26" s="3"/>
      <c r="AT26" s="3"/>
      <c r="AU26" s="3"/>
      <c r="AV26" s="3"/>
      <c r="AW26" s="3"/>
      <c r="AX26" s="3"/>
      <c r="AY26" s="3"/>
    </row>
    <row r="27">
      <c r="A27" s="99">
        <v>20.0</v>
      </c>
      <c r="B27" s="100" t="s">
        <v>105</v>
      </c>
      <c r="C27" s="101" t="s">
        <v>86</v>
      </c>
      <c r="D27" s="102" t="s">
        <v>55</v>
      </c>
      <c r="E27" s="102">
        <v>16.0</v>
      </c>
      <c r="F27" s="102">
        <v>15.0</v>
      </c>
      <c r="G27" s="6">
        <v>43994.0</v>
      </c>
      <c r="H27" s="6">
        <v>43995.0</v>
      </c>
      <c r="I27" s="103">
        <v>1.0</v>
      </c>
      <c r="J27" s="103">
        <v>1.0</v>
      </c>
      <c r="K27" s="103">
        <v>1.0</v>
      </c>
      <c r="L27" s="103">
        <v>1.0</v>
      </c>
      <c r="M27" s="103">
        <v>1.0</v>
      </c>
      <c r="N27" s="103">
        <v>1.0</v>
      </c>
      <c r="O27" s="103">
        <v>1.0</v>
      </c>
      <c r="P27" s="103">
        <v>1.0</v>
      </c>
      <c r="Q27" s="103">
        <v>1.0</v>
      </c>
      <c r="R27" s="103">
        <v>1.0</v>
      </c>
      <c r="S27" s="103">
        <v>0.5</v>
      </c>
      <c r="T27" s="103"/>
      <c r="U27" s="103"/>
      <c r="V27" s="103"/>
      <c r="W27" s="103"/>
      <c r="X27" s="103"/>
      <c r="Y27" s="103"/>
      <c r="Z27" s="103"/>
      <c r="AA27" s="103"/>
      <c r="AB27" s="103"/>
      <c r="AC27" s="103"/>
      <c r="AD27" s="103"/>
      <c r="AE27" s="103"/>
      <c r="AF27" s="3"/>
      <c r="AG27" s="3"/>
      <c r="AH27" s="3"/>
      <c r="AI27" s="3"/>
      <c r="AJ27" s="3"/>
      <c r="AK27" s="3"/>
      <c r="AL27" s="3"/>
      <c r="AM27" s="3"/>
      <c r="AN27" s="3"/>
      <c r="AO27" s="3"/>
      <c r="AP27" s="3"/>
      <c r="AQ27" s="3"/>
      <c r="AR27" s="3"/>
      <c r="AS27" s="3"/>
      <c r="AT27" s="3"/>
      <c r="AU27" s="3"/>
      <c r="AV27" s="3"/>
      <c r="AW27" s="3"/>
      <c r="AX27" s="3"/>
      <c r="AY27" s="3"/>
    </row>
    <row r="28">
      <c r="A28" s="99">
        <v>20.0</v>
      </c>
      <c r="B28" s="100" t="s">
        <v>106</v>
      </c>
      <c r="C28" s="101" t="s">
        <v>86</v>
      </c>
      <c r="D28" s="102" t="s">
        <v>51</v>
      </c>
      <c r="E28" s="102">
        <v>16.0</v>
      </c>
      <c r="F28" s="102">
        <v>16.0</v>
      </c>
      <c r="G28" s="6">
        <v>43992.0</v>
      </c>
      <c r="H28" s="6">
        <v>43993.0</v>
      </c>
      <c r="I28" s="103">
        <v>1.0</v>
      </c>
      <c r="J28" s="103">
        <v>1.0</v>
      </c>
      <c r="K28" s="103">
        <v>1.0</v>
      </c>
      <c r="L28" s="103">
        <v>1.0</v>
      </c>
      <c r="M28" s="103">
        <v>1.0</v>
      </c>
      <c r="N28" s="103">
        <v>1.0</v>
      </c>
      <c r="O28" s="103">
        <v>1.0</v>
      </c>
      <c r="P28" s="103">
        <v>1.0</v>
      </c>
      <c r="Q28" s="103">
        <v>1.0</v>
      </c>
      <c r="R28" s="103">
        <v>1.0</v>
      </c>
      <c r="S28" s="103">
        <v>1.0</v>
      </c>
      <c r="T28" s="103">
        <v>1.0</v>
      </c>
      <c r="U28" s="103">
        <v>0.5</v>
      </c>
      <c r="V28" s="103"/>
      <c r="W28" s="103"/>
      <c r="X28" s="103"/>
      <c r="Y28" s="103"/>
      <c r="Z28" s="103"/>
      <c r="AA28" s="103"/>
      <c r="AB28" s="103"/>
      <c r="AC28" s="103"/>
      <c r="AD28" s="103"/>
      <c r="AE28" s="103"/>
      <c r="AF28" s="3"/>
      <c r="AG28" s="3"/>
      <c r="AH28" s="3"/>
      <c r="AI28" s="3"/>
      <c r="AJ28" s="3"/>
      <c r="AK28" s="3"/>
      <c r="AL28" s="3"/>
      <c r="AM28" s="3"/>
      <c r="AN28" s="3"/>
      <c r="AO28" s="3"/>
      <c r="AP28" s="3"/>
      <c r="AQ28" s="3"/>
      <c r="AR28" s="3"/>
      <c r="AS28" s="3"/>
      <c r="AT28" s="3"/>
      <c r="AU28" s="3"/>
      <c r="AV28" s="3"/>
      <c r="AW28" s="3"/>
      <c r="AX28" s="3"/>
      <c r="AY28" s="3"/>
    </row>
    <row r="29" ht="15.0" customHeight="1">
      <c r="A29" s="99">
        <v>21.0</v>
      </c>
      <c r="B29" s="106" t="s">
        <v>107</v>
      </c>
      <c r="C29" s="101" t="s">
        <v>86</v>
      </c>
      <c r="D29" s="102" t="s">
        <v>42</v>
      </c>
      <c r="E29" s="102">
        <v>32.0</v>
      </c>
      <c r="F29" s="102">
        <v>37.0</v>
      </c>
      <c r="G29" s="6">
        <v>43995.0</v>
      </c>
      <c r="H29" s="6">
        <v>43998.0</v>
      </c>
      <c r="I29" s="103">
        <v>1.0</v>
      </c>
      <c r="J29" s="103">
        <v>1.0</v>
      </c>
      <c r="K29" s="103">
        <v>1.0</v>
      </c>
      <c r="L29" s="103">
        <v>1.0</v>
      </c>
      <c r="M29" s="103">
        <v>1.0</v>
      </c>
      <c r="N29" s="103">
        <v>1.0</v>
      </c>
      <c r="O29" s="103">
        <v>1.0</v>
      </c>
      <c r="P29" s="103">
        <v>0.9</v>
      </c>
      <c r="Q29" s="103">
        <v>0.6</v>
      </c>
      <c r="R29" s="103">
        <v>0.3</v>
      </c>
      <c r="S29" s="103"/>
      <c r="T29" s="103"/>
      <c r="U29" s="103"/>
      <c r="V29" s="103"/>
      <c r="W29" s="103"/>
      <c r="X29" s="103"/>
      <c r="Y29" s="103"/>
      <c r="Z29" s="103"/>
      <c r="AA29" s="103"/>
      <c r="AB29" s="103"/>
      <c r="AC29" s="103"/>
      <c r="AD29" s="103"/>
      <c r="AE29" s="103"/>
      <c r="AF29" s="3"/>
      <c r="AG29" s="3"/>
      <c r="AH29" s="3"/>
      <c r="AI29" s="3"/>
      <c r="AJ29" s="3"/>
      <c r="AK29" s="3"/>
      <c r="AL29" s="3"/>
      <c r="AM29" s="3"/>
      <c r="AN29" s="3"/>
      <c r="AO29" s="3"/>
      <c r="AP29" s="3"/>
      <c r="AQ29" s="3"/>
      <c r="AR29" s="3"/>
      <c r="AS29" s="3"/>
      <c r="AT29" s="3"/>
      <c r="AU29" s="3"/>
      <c r="AV29" s="3"/>
      <c r="AW29" s="3"/>
      <c r="AX29" s="3"/>
      <c r="AY29" s="3"/>
    </row>
    <row r="30" ht="15.0" customHeight="1">
      <c r="A30" s="99">
        <v>22.0</v>
      </c>
      <c r="B30" s="106" t="s">
        <v>108</v>
      </c>
      <c r="C30" s="101" t="s">
        <v>86</v>
      </c>
      <c r="D30" s="102" t="s">
        <v>55</v>
      </c>
      <c r="E30" s="102">
        <v>32.0</v>
      </c>
      <c r="F30" s="102">
        <v>40.0</v>
      </c>
      <c r="G30" s="6">
        <v>43995.0</v>
      </c>
      <c r="H30" s="6">
        <v>43998.0</v>
      </c>
      <c r="I30" s="103">
        <v>1.0</v>
      </c>
      <c r="J30" s="103">
        <v>1.0</v>
      </c>
      <c r="K30" s="103">
        <v>1.0</v>
      </c>
      <c r="L30" s="103">
        <v>1.0</v>
      </c>
      <c r="M30" s="103">
        <v>1.0</v>
      </c>
      <c r="N30" s="103">
        <v>1.0</v>
      </c>
      <c r="O30" s="103">
        <v>1.0</v>
      </c>
      <c r="P30" s="103">
        <v>0.9</v>
      </c>
      <c r="Q30" s="103">
        <v>0.6</v>
      </c>
      <c r="R30" s="103">
        <v>0.3</v>
      </c>
      <c r="S30" s="103"/>
      <c r="T30" s="103"/>
      <c r="U30" s="103"/>
      <c r="V30" s="103"/>
      <c r="W30" s="103"/>
      <c r="X30" s="103"/>
      <c r="Y30" s="103"/>
      <c r="Z30" s="103"/>
      <c r="AA30" s="103"/>
      <c r="AB30" s="103"/>
      <c r="AC30" s="103"/>
      <c r="AD30" s="103"/>
      <c r="AE30" s="103"/>
      <c r="AF30" s="3"/>
      <c r="AG30" s="3"/>
      <c r="AH30" s="3"/>
      <c r="AI30" s="3"/>
      <c r="AJ30" s="3"/>
      <c r="AK30" s="3"/>
      <c r="AL30" s="3"/>
      <c r="AM30" s="3"/>
      <c r="AN30" s="3"/>
      <c r="AO30" s="3"/>
      <c r="AP30" s="3"/>
      <c r="AQ30" s="3"/>
      <c r="AR30" s="3"/>
      <c r="AS30" s="3"/>
      <c r="AT30" s="3"/>
      <c r="AU30" s="3"/>
      <c r="AV30" s="3"/>
      <c r="AW30" s="3"/>
      <c r="AX30" s="3"/>
      <c r="AY30" s="3"/>
    </row>
    <row r="31" ht="15.0" customHeight="1">
      <c r="A31" s="99">
        <v>22.0</v>
      </c>
      <c r="B31" s="106" t="s">
        <v>109</v>
      </c>
      <c r="C31" s="101" t="s">
        <v>86</v>
      </c>
      <c r="D31" s="102" t="s">
        <v>51</v>
      </c>
      <c r="E31" s="102">
        <v>16.0</v>
      </c>
      <c r="F31" s="102">
        <v>20.0</v>
      </c>
      <c r="G31" s="6">
        <v>43995.0</v>
      </c>
      <c r="H31" s="6">
        <v>43998.0</v>
      </c>
      <c r="I31" s="103">
        <v>1.0</v>
      </c>
      <c r="J31" s="103">
        <v>1.0</v>
      </c>
      <c r="K31" s="103">
        <v>1.0</v>
      </c>
      <c r="L31" s="103">
        <v>1.0</v>
      </c>
      <c r="M31" s="103">
        <v>1.0</v>
      </c>
      <c r="N31" s="103">
        <v>1.0</v>
      </c>
      <c r="O31" s="103">
        <v>1.0</v>
      </c>
      <c r="P31" s="103">
        <v>0.9</v>
      </c>
      <c r="Q31" s="103">
        <v>0.6</v>
      </c>
      <c r="R31" s="103">
        <v>0.3</v>
      </c>
      <c r="S31" s="103"/>
      <c r="T31" s="103"/>
      <c r="U31" s="103"/>
      <c r="V31" s="103"/>
      <c r="W31" s="103"/>
      <c r="X31" s="103"/>
      <c r="Y31" s="103"/>
      <c r="Z31" s="103"/>
      <c r="AA31" s="103"/>
      <c r="AB31" s="103"/>
      <c r="AC31" s="103"/>
      <c r="AD31" s="103"/>
      <c r="AE31" s="103"/>
      <c r="AF31" s="3"/>
      <c r="AG31" s="3"/>
      <c r="AH31" s="3"/>
      <c r="AI31" s="3"/>
      <c r="AJ31" s="3"/>
      <c r="AK31" s="3"/>
      <c r="AL31" s="3"/>
      <c r="AM31" s="3"/>
      <c r="AN31" s="3"/>
      <c r="AO31" s="3"/>
      <c r="AP31" s="3"/>
      <c r="AQ31" s="3"/>
      <c r="AR31" s="3"/>
      <c r="AS31" s="3"/>
      <c r="AT31" s="3"/>
      <c r="AU31" s="3"/>
      <c r="AV31" s="3"/>
      <c r="AW31" s="3"/>
      <c r="AX31" s="3"/>
      <c r="AY31" s="3"/>
    </row>
    <row r="32" ht="15.0" customHeight="1">
      <c r="A32" s="108" t="s">
        <v>45</v>
      </c>
      <c r="B32" s="50"/>
      <c r="C32" s="51"/>
      <c r="D32" s="101"/>
      <c r="E32" s="109">
        <f t="shared" ref="E32:F32" si="1">SUM(E8:E31)</f>
        <v>328</v>
      </c>
      <c r="F32" s="109">
        <f t="shared" si="1"/>
        <v>354</v>
      </c>
      <c r="G32" s="110"/>
      <c r="H32" s="110"/>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2"/>
      <c r="AG32" s="112"/>
      <c r="AH32" s="112"/>
      <c r="AI32" s="112"/>
      <c r="AJ32" s="112"/>
      <c r="AK32" s="112"/>
      <c r="AL32" s="112"/>
      <c r="AM32" s="112"/>
      <c r="AN32" s="112"/>
      <c r="AO32" s="112"/>
      <c r="AP32" s="112"/>
      <c r="AQ32" s="112"/>
      <c r="AR32" s="112"/>
      <c r="AS32" s="112"/>
      <c r="AT32" s="112"/>
      <c r="AU32" s="112"/>
      <c r="AV32" s="112"/>
      <c r="AW32" s="112"/>
      <c r="AX32" s="112"/>
      <c r="AY32" s="112"/>
    </row>
    <row r="33" ht="19.5" customHeight="1">
      <c r="A33" s="113" t="s">
        <v>80</v>
      </c>
      <c r="B33" s="50"/>
      <c r="C33" s="50"/>
      <c r="D33" s="50"/>
      <c r="E33" s="50"/>
      <c r="F33" s="50"/>
      <c r="G33" s="50"/>
      <c r="H33" s="50"/>
      <c r="I33" s="114">
        <v>43994.0</v>
      </c>
      <c r="J33" s="115"/>
      <c r="K33" s="115"/>
      <c r="L33" s="115"/>
      <c r="M33" s="115"/>
      <c r="N33" s="115"/>
      <c r="O33" s="115"/>
      <c r="P33" s="115"/>
      <c r="Q33" s="115"/>
      <c r="R33" s="115"/>
      <c r="S33" s="115"/>
      <c r="T33" s="115"/>
      <c r="U33" s="115"/>
      <c r="V33" s="115"/>
      <c r="W33" s="115"/>
      <c r="X33" s="115"/>
      <c r="Y33" s="115"/>
      <c r="Z33" s="115"/>
      <c r="AA33" s="115"/>
      <c r="AB33" s="115"/>
      <c r="AC33" s="115"/>
      <c r="AD33" s="116"/>
      <c r="AE33" s="110"/>
      <c r="AF33" s="117"/>
      <c r="AG33" s="117"/>
      <c r="AH33" s="117"/>
      <c r="AI33" s="117"/>
      <c r="AJ33" s="117"/>
      <c r="AK33" s="117"/>
      <c r="AL33" s="117"/>
      <c r="AM33" s="117"/>
      <c r="AN33" s="117"/>
      <c r="AO33" s="117"/>
      <c r="AP33" s="117"/>
      <c r="AQ33" s="117"/>
      <c r="AR33" s="117"/>
      <c r="AS33" s="117"/>
      <c r="AT33" s="117"/>
      <c r="AU33" s="117"/>
      <c r="AV33" s="117"/>
      <c r="AW33" s="117"/>
      <c r="AX33" s="117"/>
      <c r="AY33" s="117"/>
    </row>
    <row r="34" ht="15.75" customHeight="1">
      <c r="A34" s="69"/>
      <c r="B34" s="69"/>
      <c r="C34" s="69"/>
      <c r="D34" s="4"/>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row>
    <row r="35" ht="15.75" customHeight="1">
      <c r="A35" s="53" t="s">
        <v>110</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row>
    <row r="36" ht="15.75" customHeight="1">
      <c r="A36" s="69"/>
      <c r="B36" s="69"/>
      <c r="C36" s="69"/>
      <c r="D36" s="4"/>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row>
    <row r="37" ht="15.75" customHeight="1">
      <c r="A37" s="69"/>
      <c r="B37" s="69"/>
      <c r="C37" s="69"/>
      <c r="D37" s="4"/>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row>
    <row r="38" ht="15.75" customHeight="1">
      <c r="A38" s="69"/>
      <c r="B38" s="69"/>
      <c r="C38" s="69"/>
      <c r="D38" s="4"/>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row>
    <row r="39" ht="15.75" customHeight="1">
      <c r="A39" s="69"/>
      <c r="B39" s="69"/>
      <c r="C39" s="69"/>
      <c r="D39" s="4"/>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row>
    <row r="40" ht="15.75" customHeight="1">
      <c r="A40" s="69"/>
      <c r="B40" s="69"/>
      <c r="C40" s="69"/>
      <c r="D40" s="4"/>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row>
    <row r="41" ht="15.75" customHeight="1">
      <c r="A41" s="69"/>
      <c r="B41" s="69"/>
      <c r="C41" s="69"/>
      <c r="D41" s="4"/>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row>
    <row r="42" ht="15.75" customHeight="1">
      <c r="A42" s="69"/>
      <c r="B42" s="69"/>
      <c r="C42" s="69"/>
      <c r="D42" s="4"/>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row>
    <row r="43" ht="15.75" customHeight="1">
      <c r="A43" s="69"/>
      <c r="B43" s="69"/>
      <c r="C43" s="69"/>
      <c r="D43" s="4"/>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row>
    <row r="44" ht="15.75" customHeight="1">
      <c r="A44" s="69"/>
      <c r="B44" s="69"/>
      <c r="C44" s="69"/>
      <c r="D44" s="4"/>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row>
    <row r="45" ht="15.75" customHeight="1">
      <c r="A45" s="69"/>
      <c r="B45" s="69"/>
      <c r="C45" s="69"/>
      <c r="D45" s="4"/>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row>
    <row r="46" ht="15.75" customHeight="1">
      <c r="A46" s="69"/>
      <c r="B46" s="69"/>
      <c r="C46" s="69"/>
      <c r="D46" s="4"/>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row>
    <row r="47" ht="15.75" customHeight="1">
      <c r="A47" s="69"/>
      <c r="B47" s="69"/>
      <c r="C47" s="69"/>
      <c r="D47" s="4"/>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row>
    <row r="48" ht="15.75" customHeight="1">
      <c r="A48" s="69"/>
      <c r="B48" s="69"/>
      <c r="C48" s="69"/>
      <c r="D48" s="4"/>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row>
    <row r="49" ht="15.75" customHeight="1">
      <c r="A49" s="69"/>
      <c r="B49" s="69"/>
      <c r="C49" s="69"/>
      <c r="D49" s="4"/>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row>
    <row r="50" ht="15.75" customHeight="1">
      <c r="A50" s="69"/>
      <c r="B50" s="69"/>
      <c r="C50" s="69"/>
      <c r="D50" s="4"/>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row>
    <row r="51" ht="15.75" customHeight="1">
      <c r="A51" s="69"/>
      <c r="B51" s="69"/>
      <c r="C51" s="69"/>
      <c r="D51" s="4"/>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row>
    <row r="52" ht="15.75" customHeight="1">
      <c r="A52" s="69"/>
      <c r="B52" s="69"/>
      <c r="C52" s="69"/>
      <c r="D52" s="4"/>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row>
    <row r="53" ht="15.75" customHeight="1">
      <c r="A53" s="69"/>
      <c r="B53" s="69"/>
      <c r="C53" s="69"/>
      <c r="D53" s="4"/>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row>
    <row r="54" ht="15.75" customHeight="1">
      <c r="A54" s="69"/>
      <c r="B54" s="69"/>
      <c r="C54" s="69"/>
      <c r="D54" s="4"/>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row>
    <row r="55" ht="15.75" customHeight="1">
      <c r="A55" s="69"/>
      <c r="B55" s="69"/>
      <c r="C55" s="69"/>
      <c r="D55" s="4"/>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row>
    <row r="56" ht="15.75" customHeight="1">
      <c r="A56" s="69"/>
      <c r="B56" s="69"/>
      <c r="C56" s="69"/>
      <c r="D56" s="4"/>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row>
    <row r="57" ht="15.75" customHeight="1">
      <c r="A57" s="69"/>
      <c r="B57" s="69"/>
      <c r="C57" s="69"/>
      <c r="D57" s="4"/>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row>
    <row r="58" ht="15.75" customHeight="1">
      <c r="A58" s="69"/>
      <c r="B58" s="69"/>
      <c r="C58" s="69"/>
      <c r="D58" s="4"/>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row>
    <row r="59" ht="15.75" customHeight="1">
      <c r="A59" s="69"/>
      <c r="B59" s="69"/>
      <c r="C59" s="69"/>
      <c r="D59" s="4"/>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row>
    <row r="60" ht="15.75" customHeight="1">
      <c r="A60" s="69"/>
      <c r="B60" s="69"/>
      <c r="C60" s="69"/>
      <c r="D60" s="4"/>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row>
    <row r="61" ht="15.75" customHeight="1">
      <c r="A61" s="69"/>
      <c r="B61" s="69"/>
      <c r="C61" s="69"/>
      <c r="D61" s="4"/>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row>
    <row r="62" ht="15.75" customHeight="1">
      <c r="A62" s="69"/>
      <c r="B62" s="69"/>
      <c r="C62" s="69"/>
      <c r="D62" s="4"/>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row>
    <row r="63" ht="15.75" customHeight="1">
      <c r="A63" s="69"/>
      <c r="B63" s="69"/>
      <c r="C63" s="69"/>
      <c r="D63" s="4"/>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row>
    <row r="64" ht="15.75" customHeight="1">
      <c r="A64" s="69"/>
      <c r="B64" s="69"/>
      <c r="C64" s="69"/>
      <c r="D64" s="4"/>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row>
    <row r="65" ht="15.75" customHeight="1">
      <c r="A65" s="69"/>
      <c r="B65" s="69"/>
      <c r="C65" s="69"/>
      <c r="D65" s="4"/>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row>
    <row r="66" ht="15.75" customHeight="1">
      <c r="A66" s="69"/>
      <c r="B66" s="69"/>
      <c r="C66" s="69"/>
      <c r="D66" s="4"/>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row>
    <row r="67" ht="15.75" customHeight="1">
      <c r="A67" s="69"/>
      <c r="B67" s="69"/>
      <c r="C67" s="69"/>
      <c r="D67" s="4"/>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row>
    <row r="68" ht="15.75" customHeight="1">
      <c r="A68" s="69"/>
      <c r="B68" s="69"/>
      <c r="C68" s="69"/>
      <c r="D68" s="4"/>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row>
    <row r="69" ht="15.75" customHeight="1">
      <c r="A69" s="69"/>
      <c r="B69" s="69"/>
      <c r="C69" s="69"/>
      <c r="D69" s="4"/>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row>
    <row r="70" ht="15.75" customHeight="1">
      <c r="A70" s="69"/>
      <c r="B70" s="69"/>
      <c r="C70" s="69"/>
      <c r="D70" s="4"/>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row>
    <row r="71" ht="15.75" customHeight="1">
      <c r="A71" s="69"/>
      <c r="B71" s="69"/>
      <c r="C71" s="69"/>
      <c r="D71" s="4"/>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row>
    <row r="72" ht="15.75" customHeight="1">
      <c r="A72" s="69"/>
      <c r="B72" s="69"/>
      <c r="C72" s="69"/>
      <c r="D72" s="4"/>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row>
    <row r="73" ht="15.75" customHeight="1">
      <c r="A73" s="69"/>
      <c r="B73" s="69"/>
      <c r="C73" s="69"/>
      <c r="D73" s="4"/>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row>
    <row r="74" ht="15.75" customHeight="1">
      <c r="A74" s="69"/>
      <c r="B74" s="69"/>
      <c r="C74" s="69"/>
      <c r="D74" s="4"/>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row>
    <row r="75" ht="15.75" customHeight="1">
      <c r="A75" s="69"/>
      <c r="B75" s="69"/>
      <c r="C75" s="69"/>
      <c r="D75" s="4"/>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row>
    <row r="76" ht="15.75" customHeight="1">
      <c r="A76" s="69"/>
      <c r="B76" s="69"/>
      <c r="C76" s="69"/>
      <c r="D76" s="4"/>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row>
    <row r="77" ht="15.75" customHeight="1">
      <c r="A77" s="69"/>
      <c r="B77" s="69"/>
      <c r="C77" s="69"/>
      <c r="D77" s="4"/>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row>
    <row r="78" ht="15.75" customHeight="1">
      <c r="A78" s="69"/>
      <c r="B78" s="69"/>
      <c r="C78" s="69"/>
      <c r="D78" s="4"/>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row>
    <row r="79" ht="15.75" customHeight="1">
      <c r="A79" s="69"/>
      <c r="B79" s="69"/>
      <c r="C79" s="69"/>
      <c r="D79" s="4"/>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row>
    <row r="80" ht="15.75" customHeight="1">
      <c r="A80" s="69"/>
      <c r="B80" s="69"/>
      <c r="C80" s="69"/>
      <c r="D80" s="4"/>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row>
    <row r="81" ht="15.75" customHeight="1">
      <c r="A81" s="69"/>
      <c r="B81" s="69"/>
      <c r="C81" s="69"/>
      <c r="D81" s="4"/>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row>
    <row r="82" ht="15.75" customHeight="1">
      <c r="A82" s="69"/>
      <c r="B82" s="69"/>
      <c r="C82" s="69"/>
      <c r="D82" s="4"/>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row>
    <row r="83" ht="15.75" customHeight="1">
      <c r="A83" s="69"/>
      <c r="B83" s="69"/>
      <c r="C83" s="69"/>
      <c r="D83" s="4"/>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row>
    <row r="84" ht="15.75" customHeight="1">
      <c r="A84" s="69"/>
      <c r="B84" s="69"/>
      <c r="C84" s="69"/>
      <c r="D84" s="4"/>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row>
    <row r="85" ht="15.75" customHeight="1">
      <c r="A85" s="69"/>
      <c r="B85" s="69"/>
      <c r="C85" s="69"/>
      <c r="D85" s="4"/>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row>
    <row r="86" ht="15.75" customHeight="1">
      <c r="A86" s="69"/>
      <c r="B86" s="69"/>
      <c r="C86" s="69"/>
      <c r="D86" s="4"/>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row>
    <row r="87" ht="15.75" customHeight="1">
      <c r="A87" s="69"/>
      <c r="B87" s="69"/>
      <c r="C87" s="69"/>
      <c r="D87" s="4"/>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row>
    <row r="88" ht="15.75" customHeight="1">
      <c r="A88" s="69"/>
      <c r="B88" s="69"/>
      <c r="C88" s="69"/>
      <c r="D88" s="4"/>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row>
    <row r="89" ht="15.75" customHeight="1">
      <c r="A89" s="69"/>
      <c r="B89" s="69"/>
      <c r="C89" s="69"/>
      <c r="D89" s="4"/>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row>
    <row r="90" ht="15.75" customHeight="1">
      <c r="A90" s="69"/>
      <c r="B90" s="69"/>
      <c r="C90" s="69"/>
      <c r="D90" s="4"/>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row>
    <row r="91" ht="15.75" customHeight="1">
      <c r="A91" s="69"/>
      <c r="B91" s="69"/>
      <c r="C91" s="69"/>
      <c r="D91" s="4"/>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row>
    <row r="92" ht="15.75" customHeight="1">
      <c r="A92" s="69"/>
      <c r="B92" s="69"/>
      <c r="C92" s="69"/>
      <c r="D92" s="4"/>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row>
    <row r="93" ht="15.75" customHeight="1">
      <c r="A93" s="69"/>
      <c r="B93" s="69"/>
      <c r="C93" s="69"/>
      <c r="D93" s="4"/>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row>
    <row r="94" ht="15.75" customHeight="1">
      <c r="A94" s="69"/>
      <c r="B94" s="69"/>
      <c r="C94" s="69"/>
      <c r="D94" s="4"/>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row>
    <row r="95" ht="15.75" customHeight="1">
      <c r="A95" s="69"/>
      <c r="B95" s="69"/>
      <c r="C95" s="69"/>
      <c r="D95" s="4"/>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row>
    <row r="96" ht="15.75" customHeight="1">
      <c r="A96" s="69"/>
      <c r="B96" s="69"/>
      <c r="C96" s="69"/>
      <c r="D96" s="4"/>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row>
    <row r="97" ht="15.75" customHeight="1">
      <c r="A97" s="69"/>
      <c r="B97" s="69"/>
      <c r="C97" s="69"/>
      <c r="D97" s="4"/>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row>
    <row r="98" ht="15.75" customHeight="1">
      <c r="A98" s="69"/>
      <c r="B98" s="69"/>
      <c r="C98" s="69"/>
      <c r="D98" s="4"/>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row>
    <row r="99" ht="15.75" customHeight="1">
      <c r="A99" s="69"/>
      <c r="B99" s="69"/>
      <c r="C99" s="69"/>
      <c r="D99" s="4"/>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row>
    <row r="100" ht="15.75" customHeight="1">
      <c r="A100" s="69"/>
      <c r="B100" s="69"/>
      <c r="C100" s="69"/>
      <c r="D100" s="4"/>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row>
    <row r="101" ht="15.75" customHeight="1">
      <c r="A101" s="69"/>
      <c r="B101" s="69"/>
      <c r="C101" s="69"/>
      <c r="D101" s="4"/>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row>
    <row r="102" ht="15.75" customHeight="1">
      <c r="A102" s="69"/>
      <c r="B102" s="69"/>
      <c r="C102" s="69"/>
      <c r="D102" s="4"/>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row>
    <row r="103" ht="15.75" customHeight="1">
      <c r="A103" s="69"/>
      <c r="B103" s="69"/>
      <c r="C103" s="69"/>
      <c r="D103" s="4"/>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row>
    <row r="104" ht="15.75" customHeight="1">
      <c r="A104" s="69"/>
      <c r="B104" s="69"/>
      <c r="C104" s="69"/>
      <c r="D104" s="4"/>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row>
    <row r="105" ht="15.75" customHeight="1">
      <c r="A105" s="69"/>
      <c r="B105" s="69"/>
      <c r="C105" s="69"/>
      <c r="D105" s="4"/>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row>
    <row r="106" ht="15.75" customHeight="1">
      <c r="A106" s="69"/>
      <c r="B106" s="69"/>
      <c r="C106" s="69"/>
      <c r="D106" s="4"/>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row>
    <row r="107" ht="15.75" customHeight="1">
      <c r="A107" s="69"/>
      <c r="B107" s="69"/>
      <c r="C107" s="69"/>
      <c r="D107" s="4"/>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row>
    <row r="108" ht="15.75" customHeight="1">
      <c r="A108" s="69"/>
      <c r="B108" s="69"/>
      <c r="C108" s="69"/>
      <c r="D108" s="4"/>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row>
    <row r="109" ht="15.75" customHeight="1">
      <c r="A109" s="69"/>
      <c r="B109" s="69"/>
      <c r="C109" s="69"/>
      <c r="D109" s="4"/>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row>
    <row r="110" ht="15.75" customHeight="1">
      <c r="A110" s="69"/>
      <c r="B110" s="69"/>
      <c r="C110" s="69"/>
      <c r="D110" s="4"/>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row>
    <row r="111" ht="15.75" customHeight="1">
      <c r="A111" s="69"/>
      <c r="B111" s="69"/>
      <c r="C111" s="69"/>
      <c r="D111" s="4"/>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row>
    <row r="112" ht="15.75" customHeight="1">
      <c r="A112" s="69"/>
      <c r="B112" s="69"/>
      <c r="C112" s="69"/>
      <c r="D112" s="4"/>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row>
    <row r="113" ht="15.75" customHeight="1">
      <c r="A113" s="69"/>
      <c r="B113" s="69"/>
      <c r="C113" s="69"/>
      <c r="D113" s="4"/>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row>
    <row r="114" ht="15.75" customHeight="1">
      <c r="A114" s="69"/>
      <c r="B114" s="69"/>
      <c r="C114" s="69"/>
      <c r="D114" s="4"/>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row>
    <row r="115" ht="15.75" customHeight="1">
      <c r="A115" s="69"/>
      <c r="B115" s="69"/>
      <c r="C115" s="69"/>
      <c r="D115" s="4"/>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row>
    <row r="116" ht="15.75" customHeight="1">
      <c r="A116" s="69"/>
      <c r="B116" s="69"/>
      <c r="C116" s="69"/>
      <c r="D116" s="4"/>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row>
    <row r="117" ht="15.75" customHeight="1">
      <c r="A117" s="69"/>
      <c r="B117" s="69"/>
      <c r="C117" s="69"/>
      <c r="D117" s="4"/>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row>
    <row r="118" ht="15.75" customHeight="1">
      <c r="A118" s="69"/>
      <c r="B118" s="69"/>
      <c r="C118" s="69"/>
      <c r="D118" s="4"/>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row>
    <row r="119" ht="15.75" customHeight="1">
      <c r="A119" s="69"/>
      <c r="B119" s="69"/>
      <c r="C119" s="69"/>
      <c r="D119" s="4"/>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row>
    <row r="120" ht="15.75" customHeight="1">
      <c r="A120" s="69"/>
      <c r="B120" s="69"/>
      <c r="C120" s="69"/>
      <c r="D120" s="4"/>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row>
    <row r="121" ht="15.75" customHeight="1">
      <c r="A121" s="69"/>
      <c r="B121" s="69"/>
      <c r="C121" s="69"/>
      <c r="D121" s="4"/>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row>
    <row r="122" ht="15.75" customHeight="1">
      <c r="A122" s="69"/>
      <c r="B122" s="69"/>
      <c r="C122" s="69"/>
      <c r="D122" s="4"/>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row>
    <row r="123" ht="15.75" customHeight="1">
      <c r="A123" s="69"/>
      <c r="B123" s="69"/>
      <c r="C123" s="69"/>
      <c r="D123" s="4"/>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row>
    <row r="124" ht="15.75" customHeight="1">
      <c r="A124" s="69"/>
      <c r="B124" s="69"/>
      <c r="C124" s="69"/>
      <c r="D124" s="4"/>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row>
    <row r="125" ht="15.75" customHeight="1">
      <c r="A125" s="69"/>
      <c r="B125" s="69"/>
      <c r="C125" s="69"/>
      <c r="D125" s="4"/>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row>
    <row r="126" ht="15.75" customHeight="1">
      <c r="A126" s="69"/>
      <c r="B126" s="69"/>
      <c r="C126" s="69"/>
      <c r="D126" s="4"/>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row>
    <row r="127" ht="15.75" customHeight="1">
      <c r="A127" s="69"/>
      <c r="B127" s="69"/>
      <c r="C127" s="69"/>
      <c r="D127" s="4"/>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row>
    <row r="128" ht="15.75" customHeight="1">
      <c r="A128" s="69"/>
      <c r="B128" s="69"/>
      <c r="C128" s="69"/>
      <c r="D128" s="4"/>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row>
    <row r="129" ht="15.75" customHeight="1">
      <c r="A129" s="69"/>
      <c r="B129" s="69"/>
      <c r="C129" s="69"/>
      <c r="D129" s="4"/>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row>
    <row r="130" ht="15.75" customHeight="1">
      <c r="A130" s="69"/>
      <c r="B130" s="69"/>
      <c r="C130" s="69"/>
      <c r="D130" s="4"/>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row>
    <row r="131" ht="15.75" customHeight="1">
      <c r="A131" s="69"/>
      <c r="B131" s="69"/>
      <c r="C131" s="69"/>
      <c r="D131" s="4"/>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row>
    <row r="132" ht="15.75" customHeight="1">
      <c r="A132" s="69"/>
      <c r="B132" s="69"/>
      <c r="C132" s="69"/>
      <c r="D132" s="4"/>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row>
    <row r="133" ht="15.75" customHeight="1">
      <c r="A133" s="69"/>
      <c r="B133" s="69"/>
      <c r="C133" s="69"/>
      <c r="D133" s="4"/>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row>
    <row r="134" ht="15.75" customHeight="1">
      <c r="A134" s="69"/>
      <c r="B134" s="69"/>
      <c r="C134" s="69"/>
      <c r="D134" s="4"/>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row>
    <row r="135" ht="15.75" customHeight="1">
      <c r="A135" s="69"/>
      <c r="B135" s="69"/>
      <c r="C135" s="69"/>
      <c r="D135" s="4"/>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row>
    <row r="136" ht="15.75" customHeight="1">
      <c r="A136" s="69"/>
      <c r="B136" s="69"/>
      <c r="C136" s="69"/>
      <c r="D136" s="4"/>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row>
    <row r="137" ht="15.75" customHeight="1">
      <c r="A137" s="69"/>
      <c r="B137" s="69"/>
      <c r="C137" s="69"/>
      <c r="D137" s="4"/>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row>
    <row r="138" ht="15.75" customHeight="1">
      <c r="A138" s="69"/>
      <c r="B138" s="69"/>
      <c r="C138" s="69"/>
      <c r="D138" s="4"/>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row>
    <row r="139" ht="15.75" customHeight="1">
      <c r="A139" s="69"/>
      <c r="B139" s="69"/>
      <c r="C139" s="69"/>
      <c r="D139" s="4"/>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row>
    <row r="140" ht="15.75" customHeight="1">
      <c r="A140" s="69"/>
      <c r="B140" s="69"/>
      <c r="C140" s="69"/>
      <c r="D140" s="4"/>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row>
    <row r="141" ht="15.75" customHeight="1">
      <c r="A141" s="69"/>
      <c r="B141" s="69"/>
      <c r="C141" s="69"/>
      <c r="D141" s="4"/>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row>
    <row r="142" ht="15.75" customHeight="1">
      <c r="A142" s="69"/>
      <c r="B142" s="69"/>
      <c r="C142" s="69"/>
      <c r="D142" s="4"/>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row>
    <row r="143" ht="15.75" customHeight="1">
      <c r="A143" s="69"/>
      <c r="B143" s="69"/>
      <c r="C143" s="69"/>
      <c r="D143" s="4"/>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row>
    <row r="144" ht="15.75" customHeight="1">
      <c r="A144" s="69"/>
      <c r="B144" s="69"/>
      <c r="C144" s="69"/>
      <c r="D144" s="4"/>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row>
    <row r="145" ht="15.75" customHeight="1">
      <c r="A145" s="69"/>
      <c r="B145" s="69"/>
      <c r="C145" s="69"/>
      <c r="D145" s="4"/>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row>
    <row r="146" ht="15.75" customHeight="1">
      <c r="A146" s="69"/>
      <c r="B146" s="69"/>
      <c r="C146" s="69"/>
      <c r="D146" s="4"/>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row>
    <row r="147" ht="15.75" customHeight="1">
      <c r="A147" s="69"/>
      <c r="B147" s="69"/>
      <c r="C147" s="69"/>
      <c r="D147" s="4"/>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row>
    <row r="148" ht="15.75" customHeight="1">
      <c r="A148" s="69"/>
      <c r="B148" s="69"/>
      <c r="C148" s="69"/>
      <c r="D148" s="4"/>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row>
    <row r="149" ht="15.75" customHeight="1">
      <c r="A149" s="69"/>
      <c r="B149" s="69"/>
      <c r="C149" s="69"/>
      <c r="D149" s="4"/>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row>
    <row r="150" ht="15.75" customHeight="1">
      <c r="A150" s="69"/>
      <c r="B150" s="69"/>
      <c r="C150" s="69"/>
      <c r="D150" s="4"/>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row>
    <row r="151" ht="15.75" customHeight="1">
      <c r="A151" s="69"/>
      <c r="B151" s="69"/>
      <c r="C151" s="69"/>
      <c r="D151" s="4"/>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row>
    <row r="152" ht="15.75" customHeight="1">
      <c r="A152" s="69"/>
      <c r="B152" s="69"/>
      <c r="C152" s="69"/>
      <c r="D152" s="4"/>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row>
    <row r="153" ht="15.75" customHeight="1">
      <c r="A153" s="69"/>
      <c r="B153" s="69"/>
      <c r="C153" s="69"/>
      <c r="D153" s="4"/>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row>
    <row r="154" ht="15.75" customHeight="1">
      <c r="A154" s="69"/>
      <c r="B154" s="69"/>
      <c r="C154" s="69"/>
      <c r="D154" s="4"/>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row>
    <row r="155" ht="15.75" customHeight="1">
      <c r="A155" s="69"/>
      <c r="B155" s="69"/>
      <c r="C155" s="69"/>
      <c r="D155" s="4"/>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row>
    <row r="156" ht="15.75" customHeight="1">
      <c r="A156" s="69"/>
      <c r="B156" s="69"/>
      <c r="C156" s="69"/>
      <c r="D156" s="4"/>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row>
    <row r="157" ht="15.75" customHeight="1">
      <c r="A157" s="69"/>
      <c r="B157" s="69"/>
      <c r="C157" s="69"/>
      <c r="D157" s="4"/>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row>
    <row r="158" ht="15.75" customHeight="1">
      <c r="A158" s="69"/>
      <c r="B158" s="69"/>
      <c r="C158" s="69"/>
      <c r="D158" s="4"/>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row>
    <row r="159" ht="15.75" customHeight="1">
      <c r="A159" s="69"/>
      <c r="B159" s="69"/>
      <c r="C159" s="69"/>
      <c r="D159" s="4"/>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row>
    <row r="160" ht="15.75" customHeight="1">
      <c r="A160" s="69"/>
      <c r="B160" s="69"/>
      <c r="C160" s="69"/>
      <c r="D160" s="4"/>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row>
    <row r="161" ht="15.75" customHeight="1">
      <c r="A161" s="69"/>
      <c r="B161" s="69"/>
      <c r="C161" s="69"/>
      <c r="D161" s="4"/>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row>
    <row r="162" ht="15.75" customHeight="1">
      <c r="A162" s="69"/>
      <c r="B162" s="69"/>
      <c r="C162" s="69"/>
      <c r="D162" s="4"/>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row>
    <row r="163" ht="15.75" customHeight="1">
      <c r="A163" s="69"/>
      <c r="B163" s="69"/>
      <c r="C163" s="69"/>
      <c r="D163" s="4"/>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row>
    <row r="164" ht="15.75" customHeight="1">
      <c r="A164" s="69"/>
      <c r="B164" s="69"/>
      <c r="C164" s="69"/>
      <c r="D164" s="4"/>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row>
    <row r="165" ht="15.75" customHeight="1">
      <c r="A165" s="69"/>
      <c r="B165" s="69"/>
      <c r="C165" s="69"/>
      <c r="D165" s="4"/>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row>
    <row r="166" ht="15.75" customHeight="1">
      <c r="A166" s="69"/>
      <c r="B166" s="69"/>
      <c r="C166" s="69"/>
      <c r="D166" s="4"/>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row>
    <row r="167" ht="15.75" customHeight="1">
      <c r="A167" s="69"/>
      <c r="B167" s="69"/>
      <c r="C167" s="69"/>
      <c r="D167" s="4"/>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row>
    <row r="168" ht="15.75" customHeight="1">
      <c r="A168" s="69"/>
      <c r="B168" s="69"/>
      <c r="C168" s="69"/>
      <c r="D168" s="4"/>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row>
    <row r="169" ht="15.75" customHeight="1">
      <c r="A169" s="69"/>
      <c r="B169" s="69"/>
      <c r="C169" s="69"/>
      <c r="D169" s="4"/>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row>
    <row r="170" ht="15.75" customHeight="1">
      <c r="A170" s="69"/>
      <c r="B170" s="69"/>
      <c r="C170" s="69"/>
      <c r="D170" s="4"/>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row>
    <row r="171" ht="15.75" customHeight="1">
      <c r="A171" s="69"/>
      <c r="B171" s="69"/>
      <c r="C171" s="69"/>
      <c r="D171" s="4"/>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row>
    <row r="172" ht="15.75" customHeight="1">
      <c r="A172" s="69"/>
      <c r="B172" s="69"/>
      <c r="C172" s="69"/>
      <c r="D172" s="4"/>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row>
    <row r="173" ht="15.75" customHeight="1">
      <c r="A173" s="69"/>
      <c r="B173" s="69"/>
      <c r="C173" s="69"/>
      <c r="D173" s="4"/>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row>
    <row r="174" ht="15.75" customHeight="1">
      <c r="A174" s="69"/>
      <c r="B174" s="69"/>
      <c r="C174" s="69"/>
      <c r="D174" s="4"/>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row>
    <row r="175" ht="15.75" customHeight="1">
      <c r="A175" s="69"/>
      <c r="B175" s="69"/>
      <c r="C175" s="69"/>
      <c r="D175" s="4"/>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row>
    <row r="176" ht="15.75" customHeight="1">
      <c r="A176" s="69"/>
      <c r="B176" s="69"/>
      <c r="C176" s="69"/>
      <c r="D176" s="4"/>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row>
    <row r="177" ht="15.75" customHeight="1">
      <c r="A177" s="69"/>
      <c r="B177" s="69"/>
      <c r="C177" s="69"/>
      <c r="D177" s="4"/>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row>
    <row r="178" ht="15.75" customHeight="1">
      <c r="A178" s="69"/>
      <c r="B178" s="69"/>
      <c r="C178" s="69"/>
      <c r="D178" s="4"/>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row>
    <row r="179" ht="15.75" customHeight="1">
      <c r="A179" s="69"/>
      <c r="B179" s="69"/>
      <c r="C179" s="69"/>
      <c r="D179" s="4"/>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row>
    <row r="180" ht="15.75" customHeight="1">
      <c r="A180" s="69"/>
      <c r="B180" s="69"/>
      <c r="C180" s="69"/>
      <c r="D180" s="4"/>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row>
    <row r="181" ht="15.75" customHeight="1">
      <c r="A181" s="69"/>
      <c r="B181" s="69"/>
      <c r="C181" s="69"/>
      <c r="D181" s="4"/>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row>
    <row r="182" ht="15.75" customHeight="1">
      <c r="A182" s="69"/>
      <c r="B182" s="69"/>
      <c r="C182" s="69"/>
      <c r="D182" s="4"/>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row>
    <row r="183" ht="15.75" customHeight="1">
      <c r="A183" s="69"/>
      <c r="B183" s="69"/>
      <c r="C183" s="69"/>
      <c r="D183" s="4"/>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row>
    <row r="184" ht="15.75" customHeight="1">
      <c r="A184" s="69"/>
      <c r="B184" s="69"/>
      <c r="C184" s="69"/>
      <c r="D184" s="4"/>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row>
    <row r="185" ht="15.75" customHeight="1">
      <c r="A185" s="69"/>
      <c r="B185" s="69"/>
      <c r="C185" s="69"/>
      <c r="D185" s="4"/>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row>
    <row r="186" ht="15.75" customHeight="1">
      <c r="A186" s="69"/>
      <c r="B186" s="69"/>
      <c r="C186" s="69"/>
      <c r="D186" s="4"/>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row>
    <row r="187" ht="15.75" customHeight="1">
      <c r="A187" s="69"/>
      <c r="B187" s="69"/>
      <c r="C187" s="69"/>
      <c r="D187" s="4"/>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row>
    <row r="188" ht="15.75" customHeight="1">
      <c r="A188" s="69"/>
      <c r="B188" s="69"/>
      <c r="C188" s="69"/>
      <c r="D188" s="4"/>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row>
    <row r="189" ht="15.75" customHeight="1">
      <c r="A189" s="69"/>
      <c r="B189" s="69"/>
      <c r="C189" s="69"/>
      <c r="D189" s="4"/>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row>
    <row r="190" ht="15.75" customHeight="1">
      <c r="A190" s="69"/>
      <c r="B190" s="69"/>
      <c r="C190" s="69"/>
      <c r="D190" s="4"/>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row>
    <row r="191" ht="15.75" customHeight="1">
      <c r="A191" s="69"/>
      <c r="B191" s="69"/>
      <c r="C191" s="69"/>
      <c r="D191" s="4"/>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row>
    <row r="192" ht="15.75" customHeight="1">
      <c r="A192" s="69"/>
      <c r="B192" s="69"/>
      <c r="C192" s="69"/>
      <c r="D192" s="4"/>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row>
    <row r="193" ht="15.75" customHeight="1">
      <c r="A193" s="69"/>
      <c r="B193" s="69"/>
      <c r="C193" s="69"/>
      <c r="D193" s="4"/>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row>
    <row r="194" ht="15.75" customHeight="1">
      <c r="A194" s="69"/>
      <c r="B194" s="69"/>
      <c r="C194" s="69"/>
      <c r="D194" s="4"/>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row>
    <row r="195" ht="15.75" customHeight="1">
      <c r="A195" s="69"/>
      <c r="B195" s="69"/>
      <c r="C195" s="69"/>
      <c r="D195" s="4"/>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row>
    <row r="196" ht="15.75" customHeight="1">
      <c r="A196" s="69"/>
      <c r="B196" s="69"/>
      <c r="C196" s="69"/>
      <c r="D196" s="4"/>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row>
    <row r="197" ht="15.75" customHeight="1">
      <c r="A197" s="69"/>
      <c r="B197" s="69"/>
      <c r="C197" s="69"/>
      <c r="D197" s="4"/>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row>
    <row r="198" ht="15.75" customHeight="1">
      <c r="A198" s="69"/>
      <c r="B198" s="69"/>
      <c r="C198" s="69"/>
      <c r="D198" s="4"/>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row>
    <row r="199" ht="15.75" customHeight="1">
      <c r="A199" s="69"/>
      <c r="B199" s="69"/>
      <c r="C199" s="69"/>
      <c r="D199" s="4"/>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row>
    <row r="200" ht="15.75" customHeight="1">
      <c r="A200" s="69"/>
      <c r="B200" s="69"/>
      <c r="C200" s="69"/>
      <c r="D200" s="4"/>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row>
    <row r="201" ht="15.75" customHeight="1">
      <c r="A201" s="69"/>
      <c r="B201" s="69"/>
      <c r="C201" s="69"/>
      <c r="D201" s="4"/>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row>
    <row r="202" ht="15.75" customHeight="1">
      <c r="A202" s="69"/>
      <c r="B202" s="69"/>
      <c r="C202" s="69"/>
      <c r="D202" s="4"/>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row>
    <row r="203" ht="15.75" customHeight="1">
      <c r="A203" s="69"/>
      <c r="B203" s="69"/>
      <c r="C203" s="69"/>
      <c r="D203" s="4"/>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row>
    <row r="204" ht="15.75" customHeight="1">
      <c r="A204" s="69"/>
      <c r="B204" s="69"/>
      <c r="C204" s="69"/>
      <c r="D204" s="4"/>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row>
    <row r="205" ht="15.75" customHeight="1">
      <c r="A205" s="69"/>
      <c r="B205" s="69"/>
      <c r="C205" s="69"/>
      <c r="D205" s="4"/>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row>
    <row r="206" ht="15.75" customHeight="1">
      <c r="A206" s="69"/>
      <c r="B206" s="69"/>
      <c r="C206" s="69"/>
      <c r="D206" s="4"/>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row>
    <row r="207" ht="15.75" customHeight="1">
      <c r="A207" s="69"/>
      <c r="B207" s="69"/>
      <c r="C207" s="69"/>
      <c r="D207" s="4"/>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row>
    <row r="208" ht="15.75" customHeight="1">
      <c r="A208" s="69"/>
      <c r="B208" s="69"/>
      <c r="C208" s="69"/>
      <c r="D208" s="4"/>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row>
    <row r="209" ht="15.75" customHeight="1">
      <c r="A209" s="69"/>
      <c r="B209" s="69"/>
      <c r="C209" s="69"/>
      <c r="D209" s="4"/>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row>
    <row r="210" ht="15.75" customHeight="1">
      <c r="A210" s="69"/>
      <c r="B210" s="69"/>
      <c r="C210" s="69"/>
      <c r="D210" s="4"/>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row>
    <row r="211" ht="15.75" customHeight="1">
      <c r="A211" s="69"/>
      <c r="B211" s="69"/>
      <c r="C211" s="69"/>
      <c r="D211" s="4"/>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row>
    <row r="212" ht="15.75" customHeight="1">
      <c r="A212" s="69"/>
      <c r="B212" s="69"/>
      <c r="C212" s="69"/>
      <c r="D212" s="4"/>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row>
    <row r="213" ht="15.75" customHeight="1">
      <c r="A213" s="69"/>
      <c r="B213" s="69"/>
      <c r="C213" s="69"/>
      <c r="D213" s="4"/>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row>
    <row r="214" ht="15.75" customHeight="1">
      <c r="A214" s="69"/>
      <c r="B214" s="69"/>
      <c r="C214" s="69"/>
      <c r="D214" s="4"/>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row>
    <row r="215" ht="15.75" customHeight="1">
      <c r="A215" s="69"/>
      <c r="B215" s="69"/>
      <c r="C215" s="69"/>
      <c r="D215" s="4"/>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row>
    <row r="216" ht="15.75" customHeight="1">
      <c r="A216" s="69"/>
      <c r="B216" s="69"/>
      <c r="C216" s="69"/>
      <c r="D216" s="4"/>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row>
    <row r="217" ht="15.75" customHeight="1">
      <c r="A217" s="69"/>
      <c r="B217" s="69"/>
      <c r="C217" s="69"/>
      <c r="D217" s="4"/>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row>
    <row r="218" ht="15.75" customHeight="1">
      <c r="A218" s="69"/>
      <c r="B218" s="69"/>
      <c r="C218" s="69"/>
      <c r="D218" s="4"/>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row>
    <row r="219" ht="15.75" customHeight="1">
      <c r="A219" s="69"/>
      <c r="B219" s="69"/>
      <c r="C219" s="69"/>
      <c r="D219" s="4"/>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row>
    <row r="220" ht="15.75" customHeight="1">
      <c r="A220" s="69"/>
      <c r="B220" s="69"/>
      <c r="C220" s="69"/>
      <c r="D220" s="4"/>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row>
    <row r="221" ht="15.75" customHeight="1">
      <c r="A221" s="69"/>
      <c r="B221" s="69"/>
      <c r="C221" s="69"/>
      <c r="D221" s="4"/>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row>
    <row r="222" ht="15.75" customHeight="1">
      <c r="A222" s="69"/>
      <c r="B222" s="69"/>
      <c r="C222" s="69"/>
      <c r="D222" s="4"/>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row>
    <row r="223" ht="15.75" customHeight="1">
      <c r="A223" s="69"/>
      <c r="B223" s="69"/>
      <c r="C223" s="69"/>
      <c r="D223" s="4"/>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row>
    <row r="224" ht="15.75" customHeight="1">
      <c r="A224" s="69"/>
      <c r="B224" s="69"/>
      <c r="C224" s="69"/>
      <c r="D224" s="4"/>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row>
    <row r="225" ht="15.75" customHeight="1">
      <c r="A225" s="69"/>
      <c r="B225" s="69"/>
      <c r="C225" s="69"/>
      <c r="D225" s="4"/>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row>
    <row r="226" ht="15.75" customHeight="1">
      <c r="A226" s="69"/>
      <c r="B226" s="69"/>
      <c r="C226" s="69"/>
      <c r="D226" s="4"/>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row>
    <row r="227" ht="15.75" customHeight="1">
      <c r="A227" s="69"/>
      <c r="B227" s="69"/>
      <c r="C227" s="69"/>
      <c r="D227" s="4"/>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row>
    <row r="228" ht="15.75" customHeight="1">
      <c r="A228" s="69"/>
      <c r="B228" s="69"/>
      <c r="C228" s="69"/>
      <c r="D228" s="4"/>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row>
    <row r="229" ht="15.75" customHeight="1">
      <c r="A229" s="69"/>
      <c r="B229" s="69"/>
      <c r="C229" s="69"/>
      <c r="D229" s="4"/>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row>
    <row r="230" ht="15.75" customHeight="1">
      <c r="A230" s="69"/>
      <c r="B230" s="69"/>
      <c r="C230" s="69"/>
      <c r="D230" s="4"/>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row>
    <row r="231" ht="15.75" customHeight="1">
      <c r="A231" s="69"/>
      <c r="B231" s="69"/>
      <c r="C231" s="69"/>
      <c r="D231" s="4"/>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row>
    <row r="232" ht="15.75" customHeight="1">
      <c r="A232" s="69"/>
      <c r="B232" s="69"/>
      <c r="C232" s="69"/>
      <c r="D232" s="4"/>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row>
    <row r="233" ht="15.75" customHeight="1">
      <c r="A233" s="69"/>
      <c r="B233" s="69"/>
      <c r="C233" s="69"/>
      <c r="D233" s="4"/>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row>
    <row r="234" ht="15.75" customHeight="1">
      <c r="A234" s="69"/>
      <c r="B234" s="69"/>
      <c r="C234" s="69"/>
      <c r="D234" s="4"/>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row>
    <row r="235" ht="15.75" customHeight="1">
      <c r="A235" s="69"/>
      <c r="B235" s="69"/>
      <c r="C235" s="69"/>
      <c r="D235" s="4"/>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row>
    <row r="236" ht="15.75" customHeight="1">
      <c r="A236" s="69"/>
      <c r="B236" s="69"/>
      <c r="C236" s="69"/>
      <c r="D236" s="4"/>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row>
    <row r="237" ht="15.75" customHeight="1">
      <c r="A237" s="69"/>
      <c r="B237" s="69"/>
      <c r="C237" s="69"/>
      <c r="D237" s="4"/>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row>
    <row r="238" ht="15.75" customHeight="1">
      <c r="A238" s="69"/>
      <c r="B238" s="69"/>
      <c r="C238" s="69"/>
      <c r="D238" s="4"/>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row>
    <row r="239" ht="15.75" customHeight="1">
      <c r="A239" s="69"/>
      <c r="B239" s="69"/>
      <c r="C239" s="69"/>
      <c r="D239" s="4"/>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row>
    <row r="240" ht="15.75" customHeight="1">
      <c r="A240" s="69"/>
      <c r="B240" s="69"/>
      <c r="C240" s="69"/>
      <c r="D240" s="4"/>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row>
    <row r="241" ht="15.75" customHeight="1">
      <c r="A241" s="69"/>
      <c r="B241" s="69"/>
      <c r="C241" s="69"/>
      <c r="D241" s="4"/>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row>
    <row r="242" ht="15.75" customHeight="1">
      <c r="A242" s="69"/>
      <c r="B242" s="69"/>
      <c r="C242" s="69"/>
      <c r="D242" s="4"/>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row>
    <row r="243" ht="15.75" customHeight="1">
      <c r="A243" s="69"/>
      <c r="B243" s="69"/>
      <c r="C243" s="69"/>
      <c r="D243" s="4"/>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row>
    <row r="244" ht="15.75" customHeight="1">
      <c r="A244" s="69"/>
      <c r="B244" s="69"/>
      <c r="C244" s="69"/>
      <c r="D244" s="4"/>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row>
    <row r="245" ht="15.75" customHeight="1">
      <c r="A245" s="69"/>
      <c r="B245" s="69"/>
      <c r="C245" s="69"/>
      <c r="D245" s="4"/>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row>
    <row r="246" ht="15.75" customHeight="1">
      <c r="A246" s="69"/>
      <c r="B246" s="69"/>
      <c r="C246" s="69"/>
      <c r="D246" s="4"/>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row>
    <row r="247" ht="15.75" customHeight="1">
      <c r="A247" s="69"/>
      <c r="B247" s="69"/>
      <c r="C247" s="69"/>
      <c r="D247" s="4"/>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row>
    <row r="248" ht="15.75" customHeight="1">
      <c r="A248" s="69"/>
      <c r="B248" s="69"/>
      <c r="C248" s="69"/>
      <c r="D248" s="4"/>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row>
    <row r="249" ht="15.75" customHeight="1">
      <c r="A249" s="69"/>
      <c r="B249" s="69"/>
      <c r="C249" s="69"/>
      <c r="D249" s="4"/>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row>
    <row r="250" ht="15.75" customHeight="1">
      <c r="A250" s="69"/>
      <c r="B250" s="69"/>
      <c r="C250" s="69"/>
      <c r="D250" s="4"/>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row>
    <row r="251" ht="15.75" customHeight="1">
      <c r="A251" s="69"/>
      <c r="B251" s="69"/>
      <c r="C251" s="69"/>
      <c r="D251" s="4"/>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row>
    <row r="252" ht="15.75" customHeight="1">
      <c r="A252" s="69"/>
      <c r="B252" s="69"/>
      <c r="C252" s="69"/>
      <c r="D252" s="4"/>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row>
    <row r="253" ht="15.75" customHeight="1">
      <c r="A253" s="69"/>
      <c r="B253" s="69"/>
      <c r="C253" s="69"/>
      <c r="D253" s="4"/>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row>
    <row r="254" ht="15.75" customHeight="1">
      <c r="A254" s="69"/>
      <c r="B254" s="69"/>
      <c r="C254" s="69"/>
      <c r="D254" s="4"/>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row>
    <row r="255" ht="15.75" customHeight="1">
      <c r="A255" s="69"/>
      <c r="B255" s="69"/>
      <c r="C255" s="69"/>
      <c r="D255" s="4"/>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row>
    <row r="256" ht="15.75" customHeight="1">
      <c r="A256" s="69"/>
      <c r="B256" s="69"/>
      <c r="C256" s="69"/>
      <c r="D256" s="4"/>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row>
    <row r="257" ht="15.75" customHeight="1">
      <c r="A257" s="69"/>
      <c r="B257" s="69"/>
      <c r="C257" s="69"/>
      <c r="D257" s="4"/>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row>
    <row r="258" ht="15.75" customHeight="1">
      <c r="A258" s="69"/>
      <c r="B258" s="69"/>
      <c r="C258" s="69"/>
      <c r="D258" s="4"/>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row>
    <row r="259" ht="15.75" customHeight="1">
      <c r="A259" s="69"/>
      <c r="B259" s="69"/>
      <c r="C259" s="69"/>
      <c r="D259" s="4"/>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row>
    <row r="260" ht="15.75" customHeight="1">
      <c r="A260" s="69"/>
      <c r="B260" s="69"/>
      <c r="C260" s="69"/>
      <c r="D260" s="4"/>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row>
    <row r="261" ht="15.75" customHeight="1">
      <c r="A261" s="69"/>
      <c r="B261" s="69"/>
      <c r="C261" s="69"/>
      <c r="D261" s="4"/>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row>
    <row r="262" ht="15.75" customHeight="1">
      <c r="A262" s="69"/>
      <c r="B262" s="69"/>
      <c r="C262" s="69"/>
      <c r="D262" s="4"/>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row>
    <row r="263" ht="15.75" customHeight="1">
      <c r="A263" s="69"/>
      <c r="B263" s="69"/>
      <c r="C263" s="69"/>
      <c r="D263" s="4"/>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row>
    <row r="264" ht="15.75" customHeight="1">
      <c r="A264" s="69"/>
      <c r="B264" s="69"/>
      <c r="C264" s="69"/>
      <c r="D264" s="4"/>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row>
    <row r="265" ht="15.75" customHeight="1">
      <c r="A265" s="69"/>
      <c r="B265" s="69"/>
      <c r="C265" s="69"/>
      <c r="D265" s="4"/>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row>
    <row r="266" ht="15.75" customHeight="1">
      <c r="A266" s="69"/>
      <c r="B266" s="69"/>
      <c r="C266" s="69"/>
      <c r="D266" s="4"/>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row>
    <row r="267" ht="15.75" customHeight="1">
      <c r="A267" s="69"/>
      <c r="B267" s="69"/>
      <c r="C267" s="69"/>
      <c r="D267" s="4"/>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row>
    <row r="268" ht="15.75" customHeight="1">
      <c r="A268" s="69"/>
      <c r="B268" s="69"/>
      <c r="C268" s="69"/>
      <c r="D268" s="4"/>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row>
    <row r="269" ht="15.75" customHeight="1">
      <c r="A269" s="69"/>
      <c r="B269" s="69"/>
      <c r="C269" s="69"/>
      <c r="D269" s="4"/>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row>
    <row r="270" ht="15.75" customHeight="1">
      <c r="A270" s="69"/>
      <c r="B270" s="69"/>
      <c r="C270" s="69"/>
      <c r="D270" s="4"/>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row>
    <row r="271" ht="15.75" customHeight="1">
      <c r="A271" s="69"/>
      <c r="B271" s="69"/>
      <c r="C271" s="69"/>
      <c r="D271" s="4"/>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row>
    <row r="272" ht="15.75" customHeight="1">
      <c r="A272" s="69"/>
      <c r="B272" s="69"/>
      <c r="C272" s="69"/>
      <c r="D272" s="4"/>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row>
    <row r="273" ht="15.75" customHeight="1">
      <c r="A273" s="69"/>
      <c r="B273" s="69"/>
      <c r="C273" s="69"/>
      <c r="D273" s="4"/>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c r="AW273" s="69"/>
      <c r="AX273" s="69"/>
      <c r="AY273" s="69"/>
    </row>
    <row r="274" ht="15.75" customHeight="1">
      <c r="A274" s="69"/>
      <c r="B274" s="69"/>
      <c r="C274" s="69"/>
      <c r="D274" s="4"/>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row>
    <row r="275" ht="15.75" customHeight="1">
      <c r="A275" s="69"/>
      <c r="B275" s="69"/>
      <c r="C275" s="69"/>
      <c r="D275" s="4"/>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c r="AW275" s="69"/>
      <c r="AX275" s="69"/>
      <c r="AY275" s="69"/>
    </row>
    <row r="276" ht="15.75" customHeight="1">
      <c r="A276" s="69"/>
      <c r="B276" s="69"/>
      <c r="C276" s="69"/>
      <c r="D276" s="4"/>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row>
    <row r="277" ht="15.75" customHeight="1">
      <c r="A277" s="69"/>
      <c r="B277" s="69"/>
      <c r="C277" s="69"/>
      <c r="D277" s="4"/>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c r="AW277" s="69"/>
      <c r="AX277" s="69"/>
      <c r="AY277" s="69"/>
    </row>
    <row r="278" ht="15.75" customHeight="1">
      <c r="A278" s="69"/>
      <c r="B278" s="69"/>
      <c r="C278" s="69"/>
      <c r="D278" s="4"/>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row>
    <row r="279" ht="15.75" customHeight="1">
      <c r="A279" s="69"/>
      <c r="B279" s="69"/>
      <c r="C279" s="69"/>
      <c r="D279" s="4"/>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c r="AW279" s="69"/>
      <c r="AX279" s="69"/>
      <c r="AY279" s="69"/>
    </row>
    <row r="280" ht="15.75" customHeight="1">
      <c r="A280" s="69"/>
      <c r="B280" s="69"/>
      <c r="C280" s="69"/>
      <c r="D280" s="4"/>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row>
    <row r="281" ht="15.75" customHeight="1">
      <c r="A281" s="69"/>
      <c r="B281" s="69"/>
      <c r="C281" s="69"/>
      <c r="D281" s="4"/>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c r="AW281" s="69"/>
      <c r="AX281" s="69"/>
      <c r="AY281" s="69"/>
    </row>
    <row r="282" ht="15.75" customHeight="1">
      <c r="A282" s="69"/>
      <c r="B282" s="69"/>
      <c r="C282" s="69"/>
      <c r="D282" s="4"/>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row>
    <row r="283" ht="15.75" customHeight="1">
      <c r="A283" s="69"/>
      <c r="B283" s="69"/>
      <c r="C283" s="69"/>
      <c r="D283" s="4"/>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c r="AW283" s="69"/>
      <c r="AX283" s="69"/>
      <c r="AY283" s="69"/>
    </row>
    <row r="284" ht="15.75" customHeight="1">
      <c r="A284" s="69"/>
      <c r="B284" s="69"/>
      <c r="C284" s="69"/>
      <c r="D284" s="4"/>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row>
    <row r="285" ht="15.75" customHeight="1">
      <c r="A285" s="69"/>
      <c r="B285" s="69"/>
      <c r="C285" s="69"/>
      <c r="D285" s="4"/>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c r="AW285" s="69"/>
      <c r="AX285" s="69"/>
      <c r="AY285" s="69"/>
    </row>
    <row r="286" ht="15.75" customHeight="1">
      <c r="A286" s="69"/>
      <c r="B286" s="69"/>
      <c r="C286" s="69"/>
      <c r="D286" s="4"/>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row>
    <row r="287" ht="15.75" customHeight="1">
      <c r="A287" s="69"/>
      <c r="B287" s="69"/>
      <c r="C287" s="69"/>
      <c r="D287" s="4"/>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c r="AW287" s="69"/>
      <c r="AX287" s="69"/>
      <c r="AY287" s="69"/>
    </row>
    <row r="288" ht="15.75" customHeight="1">
      <c r="A288" s="69"/>
      <c r="B288" s="69"/>
      <c r="C288" s="69"/>
      <c r="D288" s="4"/>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row>
    <row r="289" ht="15.75" customHeight="1">
      <c r="A289" s="69"/>
      <c r="B289" s="69"/>
      <c r="C289" s="69"/>
      <c r="D289" s="4"/>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c r="AW289" s="69"/>
      <c r="AX289" s="69"/>
      <c r="AY289" s="69"/>
    </row>
    <row r="290" ht="15.75" customHeight="1">
      <c r="A290" s="69"/>
      <c r="B290" s="69"/>
      <c r="C290" s="69"/>
      <c r="D290" s="4"/>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row>
    <row r="291" ht="15.75" customHeight="1">
      <c r="A291" s="69"/>
      <c r="B291" s="69"/>
      <c r="C291" s="69"/>
      <c r="D291" s="4"/>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row>
    <row r="292" ht="15.75" customHeight="1">
      <c r="A292" s="69"/>
      <c r="B292" s="69"/>
      <c r="C292" s="69"/>
      <c r="D292" s="4"/>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row>
    <row r="293" ht="15.75" customHeight="1">
      <c r="A293" s="69"/>
      <c r="B293" s="69"/>
      <c r="C293" s="69"/>
      <c r="D293" s="4"/>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c r="AW293" s="69"/>
      <c r="AX293" s="69"/>
      <c r="AY293" s="69"/>
    </row>
    <row r="294" ht="15.75" customHeight="1">
      <c r="A294" s="69"/>
      <c r="B294" s="69"/>
      <c r="C294" s="69"/>
      <c r="D294" s="4"/>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row>
    <row r="295" ht="15.75" customHeight="1">
      <c r="A295" s="69"/>
      <c r="B295" s="69"/>
      <c r="C295" s="69"/>
      <c r="D295" s="4"/>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c r="AW295" s="69"/>
      <c r="AX295" s="69"/>
      <c r="AY295" s="69"/>
    </row>
    <row r="296" ht="15.75" customHeight="1">
      <c r="A296" s="69"/>
      <c r="B296" s="69"/>
      <c r="C296" s="69"/>
      <c r="D296" s="4"/>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row>
    <row r="297" ht="15.75" customHeight="1">
      <c r="A297" s="69"/>
      <c r="B297" s="69"/>
      <c r="C297" s="69"/>
      <c r="D297" s="4"/>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c r="AW297" s="69"/>
      <c r="AX297" s="69"/>
      <c r="AY297" s="69"/>
    </row>
    <row r="298" ht="15.75" customHeight="1">
      <c r="A298" s="69"/>
      <c r="B298" s="69"/>
      <c r="C298" s="69"/>
      <c r="D298" s="4"/>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row>
    <row r="299" ht="15.75" customHeight="1">
      <c r="A299" s="69"/>
      <c r="B299" s="69"/>
      <c r="C299" s="69"/>
      <c r="D299" s="4"/>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c r="AW299" s="69"/>
      <c r="AX299" s="69"/>
      <c r="AY299" s="69"/>
    </row>
    <row r="300" ht="15.75" customHeight="1">
      <c r="A300" s="69"/>
      <c r="B300" s="69"/>
      <c r="C300" s="69"/>
      <c r="D300" s="4"/>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row>
    <row r="301" ht="15.75" customHeight="1">
      <c r="A301" s="69"/>
      <c r="B301" s="69"/>
      <c r="C301" s="69"/>
      <c r="D301" s="4"/>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c r="AW301" s="69"/>
      <c r="AX301" s="69"/>
      <c r="AY301" s="69"/>
    </row>
    <row r="302" ht="15.75" customHeight="1">
      <c r="A302" s="69"/>
      <c r="B302" s="69"/>
      <c r="C302" s="69"/>
      <c r="D302" s="4"/>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row>
    <row r="303" ht="15.75" customHeight="1">
      <c r="A303" s="69"/>
      <c r="B303" s="69"/>
      <c r="C303" s="69"/>
      <c r="D303" s="4"/>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c r="AW303" s="69"/>
      <c r="AX303" s="69"/>
      <c r="AY303" s="69"/>
    </row>
    <row r="304" ht="15.75" customHeight="1">
      <c r="A304" s="69"/>
      <c r="B304" s="69"/>
      <c r="C304" s="69"/>
      <c r="D304" s="4"/>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row>
    <row r="305" ht="15.75" customHeight="1">
      <c r="A305" s="69"/>
      <c r="B305" s="69"/>
      <c r="C305" s="69"/>
      <c r="D305" s="4"/>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c r="AW305" s="69"/>
      <c r="AX305" s="69"/>
      <c r="AY305" s="69"/>
    </row>
    <row r="306" ht="15.75" customHeight="1">
      <c r="A306" s="69"/>
      <c r="B306" s="69"/>
      <c r="C306" s="69"/>
      <c r="D306" s="4"/>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row>
    <row r="307" ht="15.75" customHeight="1">
      <c r="A307" s="69"/>
      <c r="B307" s="69"/>
      <c r="C307" s="69"/>
      <c r="D307" s="4"/>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row>
    <row r="308" ht="15.75" customHeight="1">
      <c r="A308" s="69"/>
      <c r="B308" s="69"/>
      <c r="C308" s="69"/>
      <c r="D308" s="4"/>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row>
    <row r="309" ht="15.75" customHeight="1">
      <c r="A309" s="69"/>
      <c r="B309" s="69"/>
      <c r="C309" s="69"/>
      <c r="D309" s="4"/>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c r="AW309" s="69"/>
      <c r="AX309" s="69"/>
      <c r="AY309" s="69"/>
    </row>
    <row r="310" ht="15.75" customHeight="1">
      <c r="A310" s="69"/>
      <c r="B310" s="69"/>
      <c r="C310" s="69"/>
      <c r="D310" s="4"/>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row>
    <row r="311" ht="15.75" customHeight="1">
      <c r="A311" s="69"/>
      <c r="B311" s="69"/>
      <c r="C311" s="69"/>
      <c r="D311" s="4"/>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c r="AW311" s="69"/>
      <c r="AX311" s="69"/>
      <c r="AY311" s="69"/>
    </row>
    <row r="312" ht="15.75" customHeight="1">
      <c r="A312" s="69"/>
      <c r="B312" s="69"/>
      <c r="C312" s="69"/>
      <c r="D312" s="4"/>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row>
    <row r="313" ht="15.75" customHeight="1">
      <c r="A313" s="69"/>
      <c r="B313" s="69"/>
      <c r="C313" s="69"/>
      <c r="D313" s="4"/>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row>
    <row r="314" ht="15.75" customHeight="1">
      <c r="A314" s="69"/>
      <c r="B314" s="69"/>
      <c r="C314" s="69"/>
      <c r="D314" s="4"/>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row>
    <row r="315" ht="15.75" customHeight="1">
      <c r="A315" s="69"/>
      <c r="B315" s="69"/>
      <c r="C315" s="69"/>
      <c r="D315" s="4"/>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c r="AW315" s="69"/>
      <c r="AX315" s="69"/>
      <c r="AY315" s="69"/>
    </row>
    <row r="316" ht="15.75" customHeight="1">
      <c r="A316" s="69"/>
      <c r="B316" s="69"/>
      <c r="C316" s="69"/>
      <c r="D316" s="4"/>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row>
    <row r="317" ht="15.75" customHeight="1">
      <c r="A317" s="69"/>
      <c r="B317" s="69"/>
      <c r="C317" s="69"/>
      <c r="D317" s="4"/>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c r="AW317" s="69"/>
      <c r="AX317" s="69"/>
      <c r="AY317" s="69"/>
    </row>
    <row r="318" ht="15.75" customHeight="1">
      <c r="A318" s="69"/>
      <c r="B318" s="69"/>
      <c r="C318" s="69"/>
      <c r="D318" s="4"/>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row>
    <row r="319" ht="15.75" customHeight="1">
      <c r="A319" s="69"/>
      <c r="B319" s="69"/>
      <c r="C319" s="69"/>
      <c r="D319" s="4"/>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c r="AW319" s="69"/>
      <c r="AX319" s="69"/>
      <c r="AY319" s="69"/>
    </row>
    <row r="320" ht="15.75" customHeight="1">
      <c r="A320" s="69"/>
      <c r="B320" s="69"/>
      <c r="C320" s="69"/>
      <c r="D320" s="4"/>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row>
    <row r="321" ht="15.75" customHeight="1">
      <c r="A321" s="69"/>
      <c r="B321" s="69"/>
      <c r="C321" s="69"/>
      <c r="D321" s="4"/>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c r="AW321" s="69"/>
      <c r="AX321" s="69"/>
      <c r="AY321" s="69"/>
    </row>
    <row r="322" ht="15.75" customHeight="1">
      <c r="A322" s="69"/>
      <c r="B322" s="69"/>
      <c r="C322" s="69"/>
      <c r="D322" s="4"/>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row>
    <row r="323" ht="15.75" customHeight="1">
      <c r="A323" s="69"/>
      <c r="B323" s="69"/>
      <c r="C323" s="69"/>
      <c r="D323" s="4"/>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c r="AW323" s="69"/>
      <c r="AX323" s="69"/>
      <c r="AY323" s="69"/>
    </row>
    <row r="324" ht="15.75" customHeight="1">
      <c r="A324" s="69"/>
      <c r="B324" s="69"/>
      <c r="C324" s="69"/>
      <c r="D324" s="4"/>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row>
    <row r="325" ht="15.75" customHeight="1">
      <c r="A325" s="69"/>
      <c r="B325" s="69"/>
      <c r="C325" s="69"/>
      <c r="D325" s="4"/>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c r="AW325" s="69"/>
      <c r="AX325" s="69"/>
      <c r="AY325" s="69"/>
    </row>
    <row r="326" ht="15.75" customHeight="1">
      <c r="A326" s="69"/>
      <c r="B326" s="69"/>
      <c r="C326" s="69"/>
      <c r="D326" s="4"/>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row>
    <row r="327" ht="15.75" customHeight="1">
      <c r="A327" s="69"/>
      <c r="B327" s="69"/>
      <c r="C327" s="69"/>
      <c r="D327" s="4"/>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c r="AW327" s="69"/>
      <c r="AX327" s="69"/>
      <c r="AY327" s="69"/>
    </row>
    <row r="328" ht="15.75" customHeight="1">
      <c r="A328" s="69"/>
      <c r="B328" s="69"/>
      <c r="C328" s="69"/>
      <c r="D328" s="4"/>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row>
    <row r="329" ht="15.75" customHeight="1">
      <c r="A329" s="69"/>
      <c r="B329" s="69"/>
      <c r="C329" s="69"/>
      <c r="D329" s="4"/>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c r="AW329" s="69"/>
      <c r="AX329" s="69"/>
      <c r="AY329" s="69"/>
    </row>
    <row r="330" ht="15.75" customHeight="1">
      <c r="A330" s="69"/>
      <c r="B330" s="69"/>
      <c r="C330" s="69"/>
      <c r="D330" s="4"/>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row>
    <row r="331" ht="15.75" customHeight="1">
      <c r="A331" s="69"/>
      <c r="B331" s="69"/>
      <c r="C331" s="69"/>
      <c r="D331" s="4"/>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row>
    <row r="332" ht="15.75" customHeight="1">
      <c r="A332" s="69"/>
      <c r="B332" s="69"/>
      <c r="C332" s="69"/>
      <c r="D332" s="4"/>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row>
    <row r="333" ht="15.75" customHeight="1">
      <c r="A333" s="69"/>
      <c r="B333" s="69"/>
      <c r="C333" s="69"/>
      <c r="D333" s="4"/>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c r="AW333" s="69"/>
      <c r="AX333" s="69"/>
      <c r="AY333" s="69"/>
    </row>
    <row r="334" ht="15.75" customHeight="1">
      <c r="A334" s="69"/>
      <c r="B334" s="69"/>
      <c r="C334" s="69"/>
      <c r="D334" s="4"/>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row>
    <row r="335" ht="15.75" customHeight="1">
      <c r="A335" s="69"/>
      <c r="B335" s="69"/>
      <c r="C335" s="69"/>
      <c r="D335" s="4"/>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row>
    <row r="336" ht="15.75" customHeight="1">
      <c r="A336" s="69"/>
      <c r="B336" s="69"/>
      <c r="C336" s="69"/>
      <c r="D336" s="4"/>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row>
    <row r="337" ht="15.75" customHeight="1">
      <c r="A337" s="69"/>
      <c r="B337" s="69"/>
      <c r="C337" s="69"/>
      <c r="D337" s="4"/>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c r="AW337" s="69"/>
      <c r="AX337" s="69"/>
      <c r="AY337" s="69"/>
    </row>
    <row r="338" ht="15.75" customHeight="1">
      <c r="A338" s="69"/>
      <c r="B338" s="69"/>
      <c r="C338" s="69"/>
      <c r="D338" s="4"/>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row>
    <row r="339" ht="15.75" customHeight="1">
      <c r="A339" s="69"/>
      <c r="B339" s="69"/>
      <c r="C339" s="69"/>
      <c r="D339" s="4"/>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c r="AW339" s="69"/>
      <c r="AX339" s="69"/>
      <c r="AY339" s="69"/>
    </row>
    <row r="340" ht="15.75" customHeight="1">
      <c r="A340" s="69"/>
      <c r="B340" s="69"/>
      <c r="C340" s="69"/>
      <c r="D340" s="4"/>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row>
    <row r="341" ht="15.75" customHeight="1">
      <c r="A341" s="69"/>
      <c r="B341" s="69"/>
      <c r="C341" s="69"/>
      <c r="D341" s="4"/>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row>
    <row r="342" ht="15.75" customHeight="1">
      <c r="A342" s="69"/>
      <c r="B342" s="69"/>
      <c r="C342" s="69"/>
      <c r="D342" s="4"/>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row>
    <row r="343" ht="15.75" customHeight="1">
      <c r="A343" s="69"/>
      <c r="B343" s="69"/>
      <c r="C343" s="69"/>
      <c r="D343" s="4"/>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row>
    <row r="344" ht="15.75" customHeight="1">
      <c r="A344" s="69"/>
      <c r="B344" s="69"/>
      <c r="C344" s="69"/>
      <c r="D344" s="4"/>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row>
    <row r="345" ht="15.75" customHeight="1">
      <c r="A345" s="69"/>
      <c r="B345" s="69"/>
      <c r="C345" s="69"/>
      <c r="D345" s="4"/>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c r="AW345" s="69"/>
      <c r="AX345" s="69"/>
      <c r="AY345" s="69"/>
    </row>
    <row r="346" ht="15.75" customHeight="1">
      <c r="A346" s="69"/>
      <c r="B346" s="69"/>
      <c r="C346" s="69"/>
      <c r="D346" s="4"/>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row>
    <row r="347" ht="15.75" customHeight="1">
      <c r="A347" s="69"/>
      <c r="B347" s="69"/>
      <c r="C347" s="69"/>
      <c r="D347" s="4"/>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c r="AW347" s="69"/>
      <c r="AX347" s="69"/>
      <c r="AY347" s="69"/>
    </row>
    <row r="348" ht="15.75" customHeight="1">
      <c r="A348" s="69"/>
      <c r="B348" s="69"/>
      <c r="C348" s="69"/>
      <c r="D348" s="4"/>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row>
    <row r="349" ht="15.75" customHeight="1">
      <c r="A349" s="69"/>
      <c r="B349" s="69"/>
      <c r="C349" s="69"/>
      <c r="D349" s="4"/>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c r="AW349" s="69"/>
      <c r="AX349" s="69"/>
      <c r="AY349" s="69"/>
    </row>
    <row r="350" ht="15.75" customHeight="1">
      <c r="A350" s="69"/>
      <c r="B350" s="69"/>
      <c r="C350" s="69"/>
      <c r="D350" s="4"/>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row>
    <row r="351" ht="15.75" customHeight="1">
      <c r="A351" s="69"/>
      <c r="B351" s="69"/>
      <c r="C351" s="69"/>
      <c r="D351" s="4"/>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c r="AW351" s="69"/>
      <c r="AX351" s="69"/>
      <c r="AY351" s="69"/>
    </row>
    <row r="352" ht="15.75" customHeight="1">
      <c r="A352" s="69"/>
      <c r="B352" s="69"/>
      <c r="C352" s="69"/>
      <c r="D352" s="4"/>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row>
    <row r="353" ht="15.75" customHeight="1">
      <c r="A353" s="69"/>
      <c r="B353" s="69"/>
      <c r="C353" s="69"/>
      <c r="D353" s="4"/>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c r="AW353" s="69"/>
      <c r="AX353" s="69"/>
      <c r="AY353" s="69"/>
    </row>
    <row r="354" ht="15.75" customHeight="1">
      <c r="A354" s="69"/>
      <c r="B354" s="69"/>
      <c r="C354" s="69"/>
      <c r="D354" s="4"/>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row>
    <row r="355" ht="15.75" customHeight="1">
      <c r="A355" s="69"/>
      <c r="B355" s="69"/>
      <c r="C355" s="69"/>
      <c r="D355" s="4"/>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c r="AW355" s="69"/>
      <c r="AX355" s="69"/>
      <c r="AY355" s="69"/>
    </row>
    <row r="356" ht="15.75" customHeight="1">
      <c r="A356" s="69"/>
      <c r="B356" s="69"/>
      <c r="C356" s="69"/>
      <c r="D356" s="4"/>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row>
    <row r="357" ht="15.75" customHeight="1">
      <c r="A357" s="69"/>
      <c r="B357" s="69"/>
      <c r="C357" s="69"/>
      <c r="D357" s="4"/>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row>
    <row r="358" ht="15.75" customHeight="1">
      <c r="A358" s="69"/>
      <c r="B358" s="69"/>
      <c r="C358" s="69"/>
      <c r="D358" s="4"/>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row>
    <row r="359" ht="15.75" customHeight="1">
      <c r="A359" s="69"/>
      <c r="B359" s="69"/>
      <c r="C359" s="69"/>
      <c r="D359" s="4"/>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c r="AW359" s="69"/>
      <c r="AX359" s="69"/>
      <c r="AY359" s="69"/>
    </row>
    <row r="360" ht="15.75" customHeight="1">
      <c r="A360" s="69"/>
      <c r="B360" s="69"/>
      <c r="C360" s="69"/>
      <c r="D360" s="4"/>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row>
    <row r="361" ht="15.75" customHeight="1">
      <c r="A361" s="69"/>
      <c r="B361" s="69"/>
      <c r="C361" s="69"/>
      <c r="D361" s="4"/>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c r="AW361" s="69"/>
      <c r="AX361" s="69"/>
      <c r="AY361" s="69"/>
    </row>
    <row r="362" ht="15.75" customHeight="1">
      <c r="A362" s="69"/>
      <c r="B362" s="69"/>
      <c r="C362" s="69"/>
      <c r="D362" s="4"/>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row>
    <row r="363" ht="15.75" customHeight="1">
      <c r="A363" s="69"/>
      <c r="B363" s="69"/>
      <c r="C363" s="69"/>
      <c r="D363" s="4"/>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c r="AW363" s="69"/>
      <c r="AX363" s="69"/>
      <c r="AY363" s="69"/>
    </row>
    <row r="364" ht="15.75" customHeight="1">
      <c r="A364" s="69"/>
      <c r="B364" s="69"/>
      <c r="C364" s="69"/>
      <c r="D364" s="4"/>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row>
    <row r="365" ht="15.75" customHeight="1">
      <c r="A365" s="69"/>
      <c r="B365" s="69"/>
      <c r="C365" s="69"/>
      <c r="D365" s="4"/>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c r="AW365" s="69"/>
      <c r="AX365" s="69"/>
      <c r="AY365" s="69"/>
    </row>
    <row r="366" ht="15.75" customHeight="1">
      <c r="A366" s="69"/>
      <c r="B366" s="69"/>
      <c r="C366" s="69"/>
      <c r="D366" s="4"/>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row>
    <row r="367" ht="15.75" customHeight="1">
      <c r="A367" s="69"/>
      <c r="B367" s="69"/>
      <c r="C367" s="69"/>
      <c r="D367" s="4"/>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c r="AW367" s="69"/>
      <c r="AX367" s="69"/>
      <c r="AY367" s="69"/>
    </row>
    <row r="368" ht="15.75" customHeight="1">
      <c r="A368" s="69"/>
      <c r="B368" s="69"/>
      <c r="C368" s="69"/>
      <c r="D368" s="4"/>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row>
    <row r="369" ht="15.75" customHeight="1">
      <c r="A369" s="69"/>
      <c r="B369" s="69"/>
      <c r="C369" s="69"/>
      <c r="D369" s="4"/>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c r="AW369" s="69"/>
      <c r="AX369" s="69"/>
      <c r="AY369" s="69"/>
    </row>
    <row r="370" ht="15.75" customHeight="1">
      <c r="A370" s="69"/>
      <c r="B370" s="69"/>
      <c r="C370" s="69"/>
      <c r="D370" s="4"/>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row>
    <row r="371" ht="15.75" customHeight="1">
      <c r="A371" s="69"/>
      <c r="B371" s="69"/>
      <c r="C371" s="69"/>
      <c r="D371" s="4"/>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c r="AW371" s="69"/>
      <c r="AX371" s="69"/>
      <c r="AY371" s="69"/>
    </row>
    <row r="372" ht="15.75" customHeight="1">
      <c r="A372" s="69"/>
      <c r="B372" s="69"/>
      <c r="C372" s="69"/>
      <c r="D372" s="4"/>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row>
    <row r="373" ht="15.75" customHeight="1">
      <c r="A373" s="69"/>
      <c r="B373" s="69"/>
      <c r="C373" s="69"/>
      <c r="D373" s="4"/>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c r="AW373" s="69"/>
      <c r="AX373" s="69"/>
      <c r="AY373" s="69"/>
    </row>
    <row r="374" ht="15.75" customHeight="1">
      <c r="A374" s="69"/>
      <c r="B374" s="69"/>
      <c r="C374" s="69"/>
      <c r="D374" s="4"/>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row>
    <row r="375" ht="15.75" customHeight="1">
      <c r="A375" s="69"/>
      <c r="B375" s="69"/>
      <c r="C375" s="69"/>
      <c r="D375" s="4"/>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c r="AW375" s="69"/>
      <c r="AX375" s="69"/>
      <c r="AY375" s="69"/>
    </row>
    <row r="376" ht="15.75" customHeight="1">
      <c r="A376" s="69"/>
      <c r="B376" s="69"/>
      <c r="C376" s="69"/>
      <c r="D376" s="4"/>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row>
    <row r="377" ht="15.75" customHeight="1">
      <c r="A377" s="69"/>
      <c r="B377" s="69"/>
      <c r="C377" s="69"/>
      <c r="D377" s="4"/>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c r="AW377" s="69"/>
      <c r="AX377" s="69"/>
      <c r="AY377" s="69"/>
    </row>
    <row r="378" ht="15.75" customHeight="1">
      <c r="A378" s="69"/>
      <c r="B378" s="69"/>
      <c r="C378" s="69"/>
      <c r="D378" s="4"/>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row>
    <row r="379" ht="15.75" customHeight="1">
      <c r="A379" s="69"/>
      <c r="B379" s="69"/>
      <c r="C379" s="69"/>
      <c r="D379" s="4"/>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c r="AW379" s="69"/>
      <c r="AX379" s="69"/>
      <c r="AY379" s="69"/>
    </row>
    <row r="380" ht="15.75" customHeight="1">
      <c r="A380" s="69"/>
      <c r="B380" s="69"/>
      <c r="C380" s="69"/>
      <c r="D380" s="4"/>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row>
    <row r="381" ht="15.75" customHeight="1">
      <c r="A381" s="69"/>
      <c r="B381" s="69"/>
      <c r="C381" s="69"/>
      <c r="D381" s="4"/>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c r="AW381" s="69"/>
      <c r="AX381" s="69"/>
      <c r="AY381" s="69"/>
    </row>
    <row r="382" ht="15.75" customHeight="1">
      <c r="A382" s="69"/>
      <c r="B382" s="69"/>
      <c r="C382" s="69"/>
      <c r="D382" s="4"/>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row>
    <row r="383" ht="15.75" customHeight="1">
      <c r="A383" s="69"/>
      <c r="B383" s="69"/>
      <c r="C383" s="69"/>
      <c r="D383" s="4"/>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c r="AW383" s="69"/>
      <c r="AX383" s="69"/>
      <c r="AY383" s="69"/>
    </row>
    <row r="384" ht="15.75" customHeight="1">
      <c r="A384" s="69"/>
      <c r="B384" s="69"/>
      <c r="C384" s="69"/>
      <c r="D384" s="4"/>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row>
    <row r="385" ht="15.75" customHeight="1">
      <c r="A385" s="69"/>
      <c r="B385" s="69"/>
      <c r="C385" s="69"/>
      <c r="D385" s="4"/>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c r="AW385" s="69"/>
      <c r="AX385" s="69"/>
      <c r="AY385" s="69"/>
    </row>
    <row r="386" ht="15.75" customHeight="1">
      <c r="A386" s="69"/>
      <c r="B386" s="69"/>
      <c r="C386" s="69"/>
      <c r="D386" s="4"/>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row>
    <row r="387" ht="15.75" customHeight="1">
      <c r="A387" s="69"/>
      <c r="B387" s="69"/>
      <c r="C387" s="69"/>
      <c r="D387" s="4"/>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c r="AW387" s="69"/>
      <c r="AX387" s="69"/>
      <c r="AY387" s="69"/>
    </row>
    <row r="388" ht="15.75" customHeight="1">
      <c r="A388" s="69"/>
      <c r="B388" s="69"/>
      <c r="C388" s="69"/>
      <c r="D388" s="4"/>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c r="AW388" s="69"/>
      <c r="AX388" s="69"/>
      <c r="AY388" s="69"/>
    </row>
    <row r="389" ht="15.75" customHeight="1">
      <c r="A389" s="69"/>
      <c r="B389" s="69"/>
      <c r="C389" s="69"/>
      <c r="D389" s="4"/>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69"/>
      <c r="AS389" s="69"/>
      <c r="AT389" s="69"/>
      <c r="AU389" s="69"/>
      <c r="AV389" s="69"/>
      <c r="AW389" s="69"/>
      <c r="AX389" s="69"/>
      <c r="AY389" s="69"/>
    </row>
    <row r="390" ht="15.75" customHeight="1">
      <c r="A390" s="69"/>
      <c r="B390" s="69"/>
      <c r="C390" s="69"/>
      <c r="D390" s="4"/>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c r="AW390" s="69"/>
      <c r="AX390" s="69"/>
      <c r="AY390" s="69"/>
    </row>
    <row r="391" ht="15.75" customHeight="1">
      <c r="A391" s="69"/>
      <c r="B391" s="69"/>
      <c r="C391" s="69"/>
      <c r="D391" s="4"/>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c r="AP391" s="69"/>
      <c r="AQ391" s="69"/>
      <c r="AR391" s="69"/>
      <c r="AS391" s="69"/>
      <c r="AT391" s="69"/>
      <c r="AU391" s="69"/>
      <c r="AV391" s="69"/>
      <c r="AW391" s="69"/>
      <c r="AX391" s="69"/>
      <c r="AY391" s="69"/>
    </row>
    <row r="392" ht="15.75" customHeight="1">
      <c r="A392" s="69"/>
      <c r="B392" s="69"/>
      <c r="C392" s="69"/>
      <c r="D392" s="4"/>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c r="AW392" s="69"/>
      <c r="AX392" s="69"/>
      <c r="AY392" s="69"/>
    </row>
    <row r="393" ht="15.75" customHeight="1">
      <c r="A393" s="69"/>
      <c r="B393" s="69"/>
      <c r="C393" s="69"/>
      <c r="D393" s="4"/>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c r="AP393" s="69"/>
      <c r="AQ393" s="69"/>
      <c r="AR393" s="69"/>
      <c r="AS393" s="69"/>
      <c r="AT393" s="69"/>
      <c r="AU393" s="69"/>
      <c r="AV393" s="69"/>
      <c r="AW393" s="69"/>
      <c r="AX393" s="69"/>
      <c r="AY393" s="69"/>
    </row>
    <row r="394" ht="15.75" customHeight="1">
      <c r="A394" s="69"/>
      <c r="B394" s="69"/>
      <c r="C394" s="69"/>
      <c r="D394" s="4"/>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c r="AW394" s="69"/>
      <c r="AX394" s="69"/>
      <c r="AY394" s="69"/>
    </row>
    <row r="395" ht="15.75" customHeight="1">
      <c r="A395" s="69"/>
      <c r="B395" s="69"/>
      <c r="C395" s="69"/>
      <c r="D395" s="4"/>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c r="AP395" s="69"/>
      <c r="AQ395" s="69"/>
      <c r="AR395" s="69"/>
      <c r="AS395" s="69"/>
      <c r="AT395" s="69"/>
      <c r="AU395" s="69"/>
      <c r="AV395" s="69"/>
      <c r="AW395" s="69"/>
      <c r="AX395" s="69"/>
      <c r="AY395" s="69"/>
    </row>
    <row r="396" ht="15.75" customHeight="1">
      <c r="A396" s="69"/>
      <c r="B396" s="69"/>
      <c r="C396" s="69"/>
      <c r="D396" s="4"/>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c r="AW396" s="69"/>
      <c r="AX396" s="69"/>
      <c r="AY396" s="69"/>
    </row>
    <row r="397" ht="15.75" customHeight="1">
      <c r="A397" s="69"/>
      <c r="B397" s="69"/>
      <c r="C397" s="69"/>
      <c r="D397" s="4"/>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c r="AP397" s="69"/>
      <c r="AQ397" s="69"/>
      <c r="AR397" s="69"/>
      <c r="AS397" s="69"/>
      <c r="AT397" s="69"/>
      <c r="AU397" s="69"/>
      <c r="AV397" s="69"/>
      <c r="AW397" s="69"/>
      <c r="AX397" s="69"/>
      <c r="AY397" s="69"/>
    </row>
    <row r="398" ht="15.75" customHeight="1">
      <c r="A398" s="69"/>
      <c r="B398" s="69"/>
      <c r="C398" s="69"/>
      <c r="D398" s="4"/>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c r="AW398" s="69"/>
      <c r="AX398" s="69"/>
      <c r="AY398" s="69"/>
    </row>
    <row r="399" ht="15.75" customHeight="1">
      <c r="A399" s="69"/>
      <c r="B399" s="69"/>
      <c r="C399" s="69"/>
      <c r="D399" s="4"/>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c r="AP399" s="69"/>
      <c r="AQ399" s="69"/>
      <c r="AR399" s="69"/>
      <c r="AS399" s="69"/>
      <c r="AT399" s="69"/>
      <c r="AU399" s="69"/>
      <c r="AV399" s="69"/>
      <c r="AW399" s="69"/>
      <c r="AX399" s="69"/>
      <c r="AY399" s="69"/>
    </row>
    <row r="400" ht="15.75" customHeight="1">
      <c r="A400" s="69"/>
      <c r="B400" s="69"/>
      <c r="C400" s="69"/>
      <c r="D400" s="4"/>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c r="AW400" s="69"/>
      <c r="AX400" s="69"/>
      <c r="AY400" s="69"/>
    </row>
    <row r="401" ht="15.75" customHeight="1">
      <c r="A401" s="69"/>
      <c r="B401" s="69"/>
      <c r="C401" s="69"/>
      <c r="D401" s="4"/>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69"/>
      <c r="AO401" s="69"/>
      <c r="AP401" s="69"/>
      <c r="AQ401" s="69"/>
      <c r="AR401" s="69"/>
      <c r="AS401" s="69"/>
      <c r="AT401" s="69"/>
      <c r="AU401" s="69"/>
      <c r="AV401" s="69"/>
      <c r="AW401" s="69"/>
      <c r="AX401" s="69"/>
      <c r="AY401" s="69"/>
    </row>
    <row r="402" ht="15.75" customHeight="1">
      <c r="A402" s="69"/>
      <c r="B402" s="69"/>
      <c r="C402" s="69"/>
      <c r="D402" s="4"/>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c r="AP402" s="69"/>
      <c r="AQ402" s="69"/>
      <c r="AR402" s="69"/>
      <c r="AS402" s="69"/>
      <c r="AT402" s="69"/>
      <c r="AU402" s="69"/>
      <c r="AV402" s="69"/>
      <c r="AW402" s="69"/>
      <c r="AX402" s="69"/>
      <c r="AY402" s="69"/>
    </row>
    <row r="403" ht="15.75" customHeight="1">
      <c r="A403" s="69"/>
      <c r="B403" s="69"/>
      <c r="C403" s="69"/>
      <c r="D403" s="4"/>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69"/>
      <c r="AO403" s="69"/>
      <c r="AP403" s="69"/>
      <c r="AQ403" s="69"/>
      <c r="AR403" s="69"/>
      <c r="AS403" s="69"/>
      <c r="AT403" s="69"/>
      <c r="AU403" s="69"/>
      <c r="AV403" s="69"/>
      <c r="AW403" s="69"/>
      <c r="AX403" s="69"/>
      <c r="AY403" s="69"/>
    </row>
    <row r="404" ht="15.75" customHeight="1">
      <c r="A404" s="69"/>
      <c r="B404" s="69"/>
      <c r="C404" s="69"/>
      <c r="D404" s="4"/>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c r="AP404" s="69"/>
      <c r="AQ404" s="69"/>
      <c r="AR404" s="69"/>
      <c r="AS404" s="69"/>
      <c r="AT404" s="69"/>
      <c r="AU404" s="69"/>
      <c r="AV404" s="69"/>
      <c r="AW404" s="69"/>
      <c r="AX404" s="69"/>
      <c r="AY404" s="69"/>
    </row>
    <row r="405" ht="15.75" customHeight="1">
      <c r="A405" s="69"/>
      <c r="B405" s="69"/>
      <c r="C405" s="69"/>
      <c r="D405" s="4"/>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69"/>
      <c r="AO405" s="69"/>
      <c r="AP405" s="69"/>
      <c r="AQ405" s="69"/>
      <c r="AR405" s="69"/>
      <c r="AS405" s="69"/>
      <c r="AT405" s="69"/>
      <c r="AU405" s="69"/>
      <c r="AV405" s="69"/>
      <c r="AW405" s="69"/>
      <c r="AX405" s="69"/>
      <c r="AY405" s="69"/>
    </row>
    <row r="406" ht="15.75" customHeight="1">
      <c r="A406" s="69"/>
      <c r="B406" s="69"/>
      <c r="C406" s="69"/>
      <c r="D406" s="4"/>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69"/>
      <c r="AO406" s="69"/>
      <c r="AP406" s="69"/>
      <c r="AQ406" s="69"/>
      <c r="AR406" s="69"/>
      <c r="AS406" s="69"/>
      <c r="AT406" s="69"/>
      <c r="AU406" s="69"/>
      <c r="AV406" s="69"/>
      <c r="AW406" s="69"/>
      <c r="AX406" s="69"/>
      <c r="AY406" s="69"/>
    </row>
    <row r="407" ht="15.75" customHeight="1">
      <c r="A407" s="69"/>
      <c r="B407" s="69"/>
      <c r="C407" s="69"/>
      <c r="D407" s="4"/>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69"/>
      <c r="AO407" s="69"/>
      <c r="AP407" s="69"/>
      <c r="AQ407" s="69"/>
      <c r="AR407" s="69"/>
      <c r="AS407" s="69"/>
      <c r="AT407" s="69"/>
      <c r="AU407" s="69"/>
      <c r="AV407" s="69"/>
      <c r="AW407" s="69"/>
      <c r="AX407" s="69"/>
      <c r="AY407" s="69"/>
    </row>
    <row r="408" ht="15.75" customHeight="1">
      <c r="A408" s="69"/>
      <c r="B408" s="69"/>
      <c r="C408" s="69"/>
      <c r="D408" s="4"/>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69"/>
      <c r="AO408" s="69"/>
      <c r="AP408" s="69"/>
      <c r="AQ408" s="69"/>
      <c r="AR408" s="69"/>
      <c r="AS408" s="69"/>
      <c r="AT408" s="69"/>
      <c r="AU408" s="69"/>
      <c r="AV408" s="69"/>
      <c r="AW408" s="69"/>
      <c r="AX408" s="69"/>
      <c r="AY408" s="69"/>
    </row>
    <row r="409" ht="15.75" customHeight="1">
      <c r="A409" s="69"/>
      <c r="B409" s="69"/>
      <c r="C409" s="69"/>
      <c r="D409" s="4"/>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69"/>
      <c r="AO409" s="69"/>
      <c r="AP409" s="69"/>
      <c r="AQ409" s="69"/>
      <c r="AR409" s="69"/>
      <c r="AS409" s="69"/>
      <c r="AT409" s="69"/>
      <c r="AU409" s="69"/>
      <c r="AV409" s="69"/>
      <c r="AW409" s="69"/>
      <c r="AX409" s="69"/>
      <c r="AY409" s="69"/>
    </row>
    <row r="410" ht="15.75" customHeight="1">
      <c r="A410" s="69"/>
      <c r="B410" s="69"/>
      <c r="C410" s="69"/>
      <c r="D410" s="4"/>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row>
    <row r="411" ht="15.75" customHeight="1">
      <c r="A411" s="69"/>
      <c r="B411" s="69"/>
      <c r="C411" s="69"/>
      <c r="D411" s="4"/>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c r="AN411" s="69"/>
      <c r="AO411" s="69"/>
      <c r="AP411" s="69"/>
      <c r="AQ411" s="69"/>
      <c r="AR411" s="69"/>
      <c r="AS411" s="69"/>
      <c r="AT411" s="69"/>
      <c r="AU411" s="69"/>
      <c r="AV411" s="69"/>
      <c r="AW411" s="69"/>
      <c r="AX411" s="69"/>
      <c r="AY411" s="69"/>
    </row>
    <row r="412" ht="15.75" customHeight="1">
      <c r="A412" s="69"/>
      <c r="B412" s="69"/>
      <c r="C412" s="69"/>
      <c r="D412" s="4"/>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c r="AP412" s="69"/>
      <c r="AQ412" s="69"/>
      <c r="AR412" s="69"/>
      <c r="AS412" s="69"/>
      <c r="AT412" s="69"/>
      <c r="AU412" s="69"/>
      <c r="AV412" s="69"/>
      <c r="AW412" s="69"/>
      <c r="AX412" s="69"/>
      <c r="AY412" s="69"/>
    </row>
    <row r="413" ht="15.75" customHeight="1">
      <c r="A413" s="69"/>
      <c r="B413" s="69"/>
      <c r="C413" s="69"/>
      <c r="D413" s="4"/>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69"/>
      <c r="AO413" s="69"/>
      <c r="AP413" s="69"/>
      <c r="AQ413" s="69"/>
      <c r="AR413" s="69"/>
      <c r="AS413" s="69"/>
      <c r="AT413" s="69"/>
      <c r="AU413" s="69"/>
      <c r="AV413" s="69"/>
      <c r="AW413" s="69"/>
      <c r="AX413" s="69"/>
      <c r="AY413" s="69"/>
    </row>
    <row r="414" ht="15.75" customHeight="1">
      <c r="A414" s="69"/>
      <c r="B414" s="69"/>
      <c r="C414" s="69"/>
      <c r="D414" s="4"/>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69"/>
      <c r="AO414" s="69"/>
      <c r="AP414" s="69"/>
      <c r="AQ414" s="69"/>
      <c r="AR414" s="69"/>
      <c r="AS414" s="69"/>
      <c r="AT414" s="69"/>
      <c r="AU414" s="69"/>
      <c r="AV414" s="69"/>
      <c r="AW414" s="69"/>
      <c r="AX414" s="69"/>
      <c r="AY414" s="69"/>
    </row>
    <row r="415" ht="15.75" customHeight="1">
      <c r="A415" s="69"/>
      <c r="B415" s="69"/>
      <c r="C415" s="69"/>
      <c r="D415" s="4"/>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69"/>
      <c r="AO415" s="69"/>
      <c r="AP415" s="69"/>
      <c r="AQ415" s="69"/>
      <c r="AR415" s="69"/>
      <c r="AS415" s="69"/>
      <c r="AT415" s="69"/>
      <c r="AU415" s="69"/>
      <c r="AV415" s="69"/>
      <c r="AW415" s="69"/>
      <c r="AX415" s="69"/>
      <c r="AY415" s="69"/>
    </row>
    <row r="416" ht="15.75" customHeight="1">
      <c r="A416" s="69"/>
      <c r="B416" s="69"/>
      <c r="C416" s="69"/>
      <c r="D416" s="4"/>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69"/>
      <c r="AO416" s="69"/>
      <c r="AP416" s="69"/>
      <c r="AQ416" s="69"/>
      <c r="AR416" s="69"/>
      <c r="AS416" s="69"/>
      <c r="AT416" s="69"/>
      <c r="AU416" s="69"/>
      <c r="AV416" s="69"/>
      <c r="AW416" s="69"/>
      <c r="AX416" s="69"/>
      <c r="AY416" s="69"/>
    </row>
    <row r="417" ht="15.75" customHeight="1">
      <c r="A417" s="69"/>
      <c r="B417" s="69"/>
      <c r="C417" s="69"/>
      <c r="D417" s="4"/>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69"/>
      <c r="AO417" s="69"/>
      <c r="AP417" s="69"/>
      <c r="AQ417" s="69"/>
      <c r="AR417" s="69"/>
      <c r="AS417" s="69"/>
      <c r="AT417" s="69"/>
      <c r="AU417" s="69"/>
      <c r="AV417" s="69"/>
      <c r="AW417" s="69"/>
      <c r="AX417" s="69"/>
      <c r="AY417" s="69"/>
    </row>
    <row r="418" ht="15.75" customHeight="1">
      <c r="A418" s="69"/>
      <c r="B418" s="69"/>
      <c r="C418" s="69"/>
      <c r="D418" s="4"/>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c r="AP418" s="69"/>
      <c r="AQ418" s="69"/>
      <c r="AR418" s="69"/>
      <c r="AS418" s="69"/>
      <c r="AT418" s="69"/>
      <c r="AU418" s="69"/>
      <c r="AV418" s="69"/>
      <c r="AW418" s="69"/>
      <c r="AX418" s="69"/>
      <c r="AY418" s="69"/>
    </row>
    <row r="419" ht="15.75" customHeight="1">
      <c r="A419" s="69"/>
      <c r="B419" s="69"/>
      <c r="C419" s="69"/>
      <c r="D419" s="4"/>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c r="AP419" s="69"/>
      <c r="AQ419" s="69"/>
      <c r="AR419" s="69"/>
      <c r="AS419" s="69"/>
      <c r="AT419" s="69"/>
      <c r="AU419" s="69"/>
      <c r="AV419" s="69"/>
      <c r="AW419" s="69"/>
      <c r="AX419" s="69"/>
      <c r="AY419" s="69"/>
    </row>
    <row r="420" ht="15.75" customHeight="1">
      <c r="A420" s="69"/>
      <c r="B420" s="69"/>
      <c r="C420" s="69"/>
      <c r="D420" s="4"/>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c r="AW420" s="69"/>
      <c r="AX420" s="69"/>
      <c r="AY420" s="69"/>
    </row>
    <row r="421" ht="15.75" customHeight="1">
      <c r="A421" s="69"/>
      <c r="B421" s="69"/>
      <c r="C421" s="69"/>
      <c r="D421" s="4"/>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c r="AP421" s="69"/>
      <c r="AQ421" s="69"/>
      <c r="AR421" s="69"/>
      <c r="AS421" s="69"/>
      <c r="AT421" s="69"/>
      <c r="AU421" s="69"/>
      <c r="AV421" s="69"/>
      <c r="AW421" s="69"/>
      <c r="AX421" s="69"/>
      <c r="AY421" s="69"/>
    </row>
    <row r="422" ht="15.75" customHeight="1">
      <c r="A422" s="69"/>
      <c r="B422" s="69"/>
      <c r="C422" s="69"/>
      <c r="D422" s="4"/>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c r="AW422" s="69"/>
      <c r="AX422" s="69"/>
      <c r="AY422" s="69"/>
    </row>
    <row r="423" ht="15.75" customHeight="1">
      <c r="A423" s="69"/>
      <c r="B423" s="69"/>
      <c r="C423" s="69"/>
      <c r="D423" s="4"/>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c r="AP423" s="69"/>
      <c r="AQ423" s="69"/>
      <c r="AR423" s="69"/>
      <c r="AS423" s="69"/>
      <c r="AT423" s="69"/>
      <c r="AU423" s="69"/>
      <c r="AV423" s="69"/>
      <c r="AW423" s="69"/>
      <c r="AX423" s="69"/>
      <c r="AY423" s="69"/>
    </row>
    <row r="424" ht="15.75" customHeight="1">
      <c r="A424" s="69"/>
      <c r="B424" s="69"/>
      <c r="C424" s="69"/>
      <c r="D424" s="4"/>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c r="AW424" s="69"/>
      <c r="AX424" s="69"/>
      <c r="AY424" s="69"/>
    </row>
    <row r="425" ht="15.75" customHeight="1">
      <c r="A425" s="69"/>
      <c r="B425" s="69"/>
      <c r="C425" s="69"/>
      <c r="D425" s="4"/>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c r="AN425" s="69"/>
      <c r="AO425" s="69"/>
      <c r="AP425" s="69"/>
      <c r="AQ425" s="69"/>
      <c r="AR425" s="69"/>
      <c r="AS425" s="69"/>
      <c r="AT425" s="69"/>
      <c r="AU425" s="69"/>
      <c r="AV425" s="69"/>
      <c r="AW425" s="69"/>
      <c r="AX425" s="69"/>
      <c r="AY425" s="69"/>
    </row>
    <row r="426" ht="15.75" customHeight="1">
      <c r="A426" s="69"/>
      <c r="B426" s="69"/>
      <c r="C426" s="69"/>
      <c r="D426" s="4"/>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c r="AP426" s="69"/>
      <c r="AQ426" s="69"/>
      <c r="AR426" s="69"/>
      <c r="AS426" s="69"/>
      <c r="AT426" s="69"/>
      <c r="AU426" s="69"/>
      <c r="AV426" s="69"/>
      <c r="AW426" s="69"/>
      <c r="AX426" s="69"/>
      <c r="AY426" s="69"/>
    </row>
    <row r="427" ht="15.75" customHeight="1">
      <c r="A427" s="69"/>
      <c r="B427" s="69"/>
      <c r="C427" s="69"/>
      <c r="D427" s="4"/>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69"/>
      <c r="AO427" s="69"/>
      <c r="AP427" s="69"/>
      <c r="AQ427" s="69"/>
      <c r="AR427" s="69"/>
      <c r="AS427" s="69"/>
      <c r="AT427" s="69"/>
      <c r="AU427" s="69"/>
      <c r="AV427" s="69"/>
      <c r="AW427" s="69"/>
      <c r="AX427" s="69"/>
      <c r="AY427" s="69"/>
    </row>
    <row r="428" ht="15.75" customHeight="1">
      <c r="A428" s="69"/>
      <c r="B428" s="69"/>
      <c r="C428" s="69"/>
      <c r="D428" s="4"/>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c r="AP428" s="69"/>
      <c r="AQ428" s="69"/>
      <c r="AR428" s="69"/>
      <c r="AS428" s="69"/>
      <c r="AT428" s="69"/>
      <c r="AU428" s="69"/>
      <c r="AV428" s="69"/>
      <c r="AW428" s="69"/>
      <c r="AX428" s="69"/>
      <c r="AY428" s="69"/>
    </row>
    <row r="429" ht="15.75" customHeight="1">
      <c r="A429" s="69"/>
      <c r="B429" s="69"/>
      <c r="C429" s="69"/>
      <c r="D429" s="4"/>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69"/>
      <c r="AO429" s="69"/>
      <c r="AP429" s="69"/>
      <c r="AQ429" s="69"/>
      <c r="AR429" s="69"/>
      <c r="AS429" s="69"/>
      <c r="AT429" s="69"/>
      <c r="AU429" s="69"/>
      <c r="AV429" s="69"/>
      <c r="AW429" s="69"/>
      <c r="AX429" s="69"/>
      <c r="AY429" s="69"/>
    </row>
    <row r="430" ht="15.75" customHeight="1">
      <c r="A430" s="69"/>
      <c r="B430" s="69"/>
      <c r="C430" s="69"/>
      <c r="D430" s="4"/>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69"/>
      <c r="AO430" s="69"/>
      <c r="AP430" s="69"/>
      <c r="AQ430" s="69"/>
      <c r="AR430" s="69"/>
      <c r="AS430" s="69"/>
      <c r="AT430" s="69"/>
      <c r="AU430" s="69"/>
      <c r="AV430" s="69"/>
      <c r="AW430" s="69"/>
      <c r="AX430" s="69"/>
      <c r="AY430" s="69"/>
    </row>
    <row r="431" ht="15.75" customHeight="1">
      <c r="A431" s="69"/>
      <c r="B431" s="69"/>
      <c r="C431" s="69"/>
      <c r="D431" s="4"/>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c r="AP431" s="69"/>
      <c r="AQ431" s="69"/>
      <c r="AR431" s="69"/>
      <c r="AS431" s="69"/>
      <c r="AT431" s="69"/>
      <c r="AU431" s="69"/>
      <c r="AV431" s="69"/>
      <c r="AW431" s="69"/>
      <c r="AX431" s="69"/>
      <c r="AY431" s="69"/>
    </row>
    <row r="432" ht="15.75" customHeight="1">
      <c r="A432" s="69"/>
      <c r="B432" s="69"/>
      <c r="C432" s="69"/>
      <c r="D432" s="4"/>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c r="AW432" s="69"/>
      <c r="AX432" s="69"/>
      <c r="AY432" s="69"/>
    </row>
    <row r="433" ht="15.75" customHeight="1">
      <c r="A433" s="69"/>
      <c r="B433" s="69"/>
      <c r="C433" s="69"/>
      <c r="D433" s="4"/>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c r="AP433" s="69"/>
      <c r="AQ433" s="69"/>
      <c r="AR433" s="69"/>
      <c r="AS433" s="69"/>
      <c r="AT433" s="69"/>
      <c r="AU433" s="69"/>
      <c r="AV433" s="69"/>
      <c r="AW433" s="69"/>
      <c r="AX433" s="69"/>
      <c r="AY433" s="69"/>
    </row>
    <row r="434" ht="15.75" customHeight="1">
      <c r="A434" s="69"/>
      <c r="B434" s="69"/>
      <c r="C434" s="69"/>
      <c r="D434" s="4"/>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c r="AW434" s="69"/>
      <c r="AX434" s="69"/>
      <c r="AY434" s="69"/>
    </row>
    <row r="435" ht="15.75" customHeight="1">
      <c r="A435" s="69"/>
      <c r="B435" s="69"/>
      <c r="C435" s="69"/>
      <c r="D435" s="4"/>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c r="AW435" s="69"/>
      <c r="AX435" s="69"/>
      <c r="AY435" s="69"/>
    </row>
    <row r="436" ht="15.75" customHeight="1">
      <c r="A436" s="69"/>
      <c r="B436" s="69"/>
      <c r="C436" s="69"/>
      <c r="D436" s="4"/>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c r="AW436" s="69"/>
      <c r="AX436" s="69"/>
      <c r="AY436" s="69"/>
    </row>
    <row r="437" ht="15.75" customHeight="1">
      <c r="A437" s="69"/>
      <c r="B437" s="69"/>
      <c r="C437" s="69"/>
      <c r="D437" s="4"/>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69"/>
      <c r="AS437" s="69"/>
      <c r="AT437" s="69"/>
      <c r="AU437" s="69"/>
      <c r="AV437" s="69"/>
      <c r="AW437" s="69"/>
      <c r="AX437" s="69"/>
      <c r="AY437" s="69"/>
    </row>
    <row r="438" ht="15.75" customHeight="1">
      <c r="A438" s="69"/>
      <c r="B438" s="69"/>
      <c r="C438" s="69"/>
      <c r="D438" s="4"/>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c r="AW438" s="69"/>
      <c r="AX438" s="69"/>
      <c r="AY438" s="69"/>
    </row>
    <row r="439" ht="15.75" customHeight="1">
      <c r="A439" s="69"/>
      <c r="B439" s="69"/>
      <c r="C439" s="69"/>
      <c r="D439" s="4"/>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c r="AP439" s="69"/>
      <c r="AQ439" s="69"/>
      <c r="AR439" s="69"/>
      <c r="AS439" s="69"/>
      <c r="AT439" s="69"/>
      <c r="AU439" s="69"/>
      <c r="AV439" s="69"/>
      <c r="AW439" s="69"/>
      <c r="AX439" s="69"/>
      <c r="AY439" s="69"/>
    </row>
    <row r="440" ht="15.75" customHeight="1">
      <c r="A440" s="69"/>
      <c r="B440" s="69"/>
      <c r="C440" s="69"/>
      <c r="D440" s="4"/>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c r="AW440" s="69"/>
      <c r="AX440" s="69"/>
      <c r="AY440" s="69"/>
    </row>
    <row r="441" ht="15.75" customHeight="1">
      <c r="A441" s="69"/>
      <c r="B441" s="69"/>
      <c r="C441" s="69"/>
      <c r="D441" s="4"/>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c r="AP441" s="69"/>
      <c r="AQ441" s="69"/>
      <c r="AR441" s="69"/>
      <c r="AS441" s="69"/>
      <c r="AT441" s="69"/>
      <c r="AU441" s="69"/>
      <c r="AV441" s="69"/>
      <c r="AW441" s="69"/>
      <c r="AX441" s="69"/>
      <c r="AY441" s="69"/>
    </row>
    <row r="442" ht="15.75" customHeight="1">
      <c r="A442" s="69"/>
      <c r="B442" s="69"/>
      <c r="C442" s="69"/>
      <c r="D442" s="4"/>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c r="AW442" s="69"/>
      <c r="AX442" s="69"/>
      <c r="AY442" s="69"/>
    </row>
    <row r="443" ht="15.75" customHeight="1">
      <c r="A443" s="69"/>
      <c r="B443" s="69"/>
      <c r="C443" s="69"/>
      <c r="D443" s="4"/>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c r="AP443" s="69"/>
      <c r="AQ443" s="69"/>
      <c r="AR443" s="69"/>
      <c r="AS443" s="69"/>
      <c r="AT443" s="69"/>
      <c r="AU443" s="69"/>
      <c r="AV443" s="69"/>
      <c r="AW443" s="69"/>
      <c r="AX443" s="69"/>
      <c r="AY443" s="69"/>
    </row>
    <row r="444" ht="15.75" customHeight="1">
      <c r="A444" s="69"/>
      <c r="B444" s="69"/>
      <c r="C444" s="69"/>
      <c r="D444" s="4"/>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c r="AW444" s="69"/>
      <c r="AX444" s="69"/>
      <c r="AY444" s="69"/>
    </row>
    <row r="445" ht="15.75" customHeight="1">
      <c r="A445" s="69"/>
      <c r="B445" s="69"/>
      <c r="C445" s="69"/>
      <c r="D445" s="4"/>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c r="AP445" s="69"/>
      <c r="AQ445" s="69"/>
      <c r="AR445" s="69"/>
      <c r="AS445" s="69"/>
      <c r="AT445" s="69"/>
      <c r="AU445" s="69"/>
      <c r="AV445" s="69"/>
      <c r="AW445" s="69"/>
      <c r="AX445" s="69"/>
      <c r="AY445" s="69"/>
    </row>
    <row r="446" ht="15.75" customHeight="1">
      <c r="A446" s="69"/>
      <c r="B446" s="69"/>
      <c r="C446" s="69"/>
      <c r="D446" s="4"/>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c r="AW446" s="69"/>
      <c r="AX446" s="69"/>
      <c r="AY446" s="69"/>
    </row>
    <row r="447" ht="15.75" customHeight="1">
      <c r="A447" s="69"/>
      <c r="B447" s="69"/>
      <c r="C447" s="69"/>
      <c r="D447" s="4"/>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c r="AP447" s="69"/>
      <c r="AQ447" s="69"/>
      <c r="AR447" s="69"/>
      <c r="AS447" s="69"/>
      <c r="AT447" s="69"/>
      <c r="AU447" s="69"/>
      <c r="AV447" s="69"/>
      <c r="AW447" s="69"/>
      <c r="AX447" s="69"/>
      <c r="AY447" s="69"/>
    </row>
    <row r="448" ht="15.75" customHeight="1">
      <c r="A448" s="69"/>
      <c r="B448" s="69"/>
      <c r="C448" s="69"/>
      <c r="D448" s="4"/>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c r="AW448" s="69"/>
      <c r="AX448" s="69"/>
      <c r="AY448" s="69"/>
    </row>
    <row r="449" ht="15.75" customHeight="1">
      <c r="A449" s="69"/>
      <c r="B449" s="69"/>
      <c r="C449" s="69"/>
      <c r="D449" s="4"/>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69"/>
      <c r="AO449" s="69"/>
      <c r="AP449" s="69"/>
      <c r="AQ449" s="69"/>
      <c r="AR449" s="69"/>
      <c r="AS449" s="69"/>
      <c r="AT449" s="69"/>
      <c r="AU449" s="69"/>
      <c r="AV449" s="69"/>
      <c r="AW449" s="69"/>
      <c r="AX449" s="69"/>
      <c r="AY449" s="69"/>
    </row>
    <row r="450" ht="15.75" customHeight="1">
      <c r="A450" s="69"/>
      <c r="B450" s="69"/>
      <c r="C450" s="69"/>
      <c r="D450" s="4"/>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c r="AP450" s="69"/>
      <c r="AQ450" s="69"/>
      <c r="AR450" s="69"/>
      <c r="AS450" s="69"/>
      <c r="AT450" s="69"/>
      <c r="AU450" s="69"/>
      <c r="AV450" s="69"/>
      <c r="AW450" s="69"/>
      <c r="AX450" s="69"/>
      <c r="AY450" s="69"/>
    </row>
    <row r="451" ht="15.75" customHeight="1">
      <c r="A451" s="69"/>
      <c r="B451" s="69"/>
      <c r="C451" s="69"/>
      <c r="D451" s="4"/>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c r="AP451" s="69"/>
      <c r="AQ451" s="69"/>
      <c r="AR451" s="69"/>
      <c r="AS451" s="69"/>
      <c r="AT451" s="69"/>
      <c r="AU451" s="69"/>
      <c r="AV451" s="69"/>
      <c r="AW451" s="69"/>
      <c r="AX451" s="69"/>
      <c r="AY451" s="69"/>
    </row>
    <row r="452" ht="15.75" customHeight="1">
      <c r="A452" s="69"/>
      <c r="B452" s="69"/>
      <c r="C452" s="69"/>
      <c r="D452" s="4"/>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c r="AW452" s="69"/>
      <c r="AX452" s="69"/>
      <c r="AY452" s="69"/>
    </row>
    <row r="453" ht="15.75" customHeight="1">
      <c r="A453" s="69"/>
      <c r="B453" s="69"/>
      <c r="C453" s="69"/>
      <c r="D453" s="4"/>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c r="AP453" s="69"/>
      <c r="AQ453" s="69"/>
      <c r="AR453" s="69"/>
      <c r="AS453" s="69"/>
      <c r="AT453" s="69"/>
      <c r="AU453" s="69"/>
      <c r="AV453" s="69"/>
      <c r="AW453" s="69"/>
      <c r="AX453" s="69"/>
      <c r="AY453" s="69"/>
    </row>
    <row r="454" ht="15.75" customHeight="1">
      <c r="A454" s="69"/>
      <c r="B454" s="69"/>
      <c r="C454" s="69"/>
      <c r="D454" s="4"/>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c r="AW454" s="69"/>
      <c r="AX454" s="69"/>
      <c r="AY454" s="69"/>
    </row>
    <row r="455" ht="15.75" customHeight="1">
      <c r="A455" s="69"/>
      <c r="B455" s="69"/>
      <c r="C455" s="69"/>
      <c r="D455" s="4"/>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c r="AP455" s="69"/>
      <c r="AQ455" s="69"/>
      <c r="AR455" s="69"/>
      <c r="AS455" s="69"/>
      <c r="AT455" s="69"/>
      <c r="AU455" s="69"/>
      <c r="AV455" s="69"/>
      <c r="AW455" s="69"/>
      <c r="AX455" s="69"/>
      <c r="AY455" s="69"/>
    </row>
    <row r="456" ht="15.75" customHeight="1">
      <c r="A456" s="69"/>
      <c r="B456" s="69"/>
      <c r="C456" s="69"/>
      <c r="D456" s="4"/>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c r="AW456" s="69"/>
      <c r="AX456" s="69"/>
      <c r="AY456" s="69"/>
    </row>
    <row r="457" ht="15.75" customHeight="1">
      <c r="A457" s="69"/>
      <c r="B457" s="69"/>
      <c r="C457" s="69"/>
      <c r="D457" s="4"/>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c r="AP457" s="69"/>
      <c r="AQ457" s="69"/>
      <c r="AR457" s="69"/>
      <c r="AS457" s="69"/>
      <c r="AT457" s="69"/>
      <c r="AU457" s="69"/>
      <c r="AV457" s="69"/>
      <c r="AW457" s="69"/>
      <c r="AX457" s="69"/>
      <c r="AY457" s="69"/>
    </row>
    <row r="458" ht="15.75" customHeight="1">
      <c r="A458" s="69"/>
      <c r="B458" s="69"/>
      <c r="C458" s="69"/>
      <c r="D458" s="4"/>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c r="AW458" s="69"/>
      <c r="AX458" s="69"/>
      <c r="AY458" s="69"/>
    </row>
    <row r="459" ht="15.75" customHeight="1">
      <c r="A459" s="69"/>
      <c r="B459" s="69"/>
      <c r="C459" s="69"/>
      <c r="D459" s="4"/>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c r="AP459" s="69"/>
      <c r="AQ459" s="69"/>
      <c r="AR459" s="69"/>
      <c r="AS459" s="69"/>
      <c r="AT459" s="69"/>
      <c r="AU459" s="69"/>
      <c r="AV459" s="69"/>
      <c r="AW459" s="69"/>
      <c r="AX459" s="69"/>
      <c r="AY459" s="69"/>
    </row>
    <row r="460" ht="15.75" customHeight="1">
      <c r="A460" s="69"/>
      <c r="B460" s="69"/>
      <c r="C460" s="69"/>
      <c r="D460" s="4"/>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c r="AW460" s="69"/>
      <c r="AX460" s="69"/>
      <c r="AY460" s="69"/>
    </row>
    <row r="461" ht="15.75" customHeight="1">
      <c r="A461" s="69"/>
      <c r="B461" s="69"/>
      <c r="C461" s="69"/>
      <c r="D461" s="4"/>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c r="AP461" s="69"/>
      <c r="AQ461" s="69"/>
      <c r="AR461" s="69"/>
      <c r="AS461" s="69"/>
      <c r="AT461" s="69"/>
      <c r="AU461" s="69"/>
      <c r="AV461" s="69"/>
      <c r="AW461" s="69"/>
      <c r="AX461" s="69"/>
      <c r="AY461" s="69"/>
    </row>
    <row r="462" ht="15.75" customHeight="1">
      <c r="A462" s="69"/>
      <c r="B462" s="69"/>
      <c r="C462" s="69"/>
      <c r="D462" s="4"/>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69"/>
      <c r="AX462" s="69"/>
      <c r="AY462" s="69"/>
    </row>
    <row r="463" ht="15.75" customHeight="1">
      <c r="A463" s="69"/>
      <c r="B463" s="69"/>
      <c r="C463" s="69"/>
      <c r="D463" s="4"/>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c r="AP463" s="69"/>
      <c r="AQ463" s="69"/>
      <c r="AR463" s="69"/>
      <c r="AS463" s="69"/>
      <c r="AT463" s="69"/>
      <c r="AU463" s="69"/>
      <c r="AV463" s="69"/>
      <c r="AW463" s="69"/>
      <c r="AX463" s="69"/>
      <c r="AY463" s="69"/>
    </row>
    <row r="464" ht="15.75" customHeight="1">
      <c r="A464" s="69"/>
      <c r="B464" s="69"/>
      <c r="C464" s="69"/>
      <c r="D464" s="4"/>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c r="AW464" s="69"/>
      <c r="AX464" s="69"/>
      <c r="AY464" s="69"/>
    </row>
    <row r="465" ht="15.75" customHeight="1">
      <c r="A465" s="69"/>
      <c r="B465" s="69"/>
      <c r="C465" s="69"/>
      <c r="D465" s="4"/>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c r="AP465" s="69"/>
      <c r="AQ465" s="69"/>
      <c r="AR465" s="69"/>
      <c r="AS465" s="69"/>
      <c r="AT465" s="69"/>
      <c r="AU465" s="69"/>
      <c r="AV465" s="69"/>
      <c r="AW465" s="69"/>
      <c r="AX465" s="69"/>
      <c r="AY465" s="69"/>
    </row>
    <row r="466" ht="15.75" customHeight="1">
      <c r="A466" s="69"/>
      <c r="B466" s="69"/>
      <c r="C466" s="69"/>
      <c r="D466" s="4"/>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c r="AW466" s="69"/>
      <c r="AX466" s="69"/>
      <c r="AY466" s="69"/>
    </row>
    <row r="467" ht="15.75" customHeight="1">
      <c r="A467" s="69"/>
      <c r="B467" s="69"/>
      <c r="C467" s="69"/>
      <c r="D467" s="4"/>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c r="AP467" s="69"/>
      <c r="AQ467" s="69"/>
      <c r="AR467" s="69"/>
      <c r="AS467" s="69"/>
      <c r="AT467" s="69"/>
      <c r="AU467" s="69"/>
      <c r="AV467" s="69"/>
      <c r="AW467" s="69"/>
      <c r="AX467" s="69"/>
      <c r="AY467" s="69"/>
    </row>
    <row r="468" ht="15.75" customHeight="1">
      <c r="A468" s="69"/>
      <c r="B468" s="69"/>
      <c r="C468" s="69"/>
      <c r="D468" s="4"/>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c r="AW468" s="69"/>
      <c r="AX468" s="69"/>
      <c r="AY468" s="69"/>
    </row>
    <row r="469" ht="15.75" customHeight="1">
      <c r="A469" s="69"/>
      <c r="B469" s="69"/>
      <c r="C469" s="69"/>
      <c r="D469" s="4"/>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c r="AP469" s="69"/>
      <c r="AQ469" s="69"/>
      <c r="AR469" s="69"/>
      <c r="AS469" s="69"/>
      <c r="AT469" s="69"/>
      <c r="AU469" s="69"/>
      <c r="AV469" s="69"/>
      <c r="AW469" s="69"/>
      <c r="AX469" s="69"/>
      <c r="AY469" s="69"/>
    </row>
    <row r="470" ht="15.75" customHeight="1">
      <c r="A470" s="69"/>
      <c r="B470" s="69"/>
      <c r="C470" s="69"/>
      <c r="D470" s="4"/>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69"/>
      <c r="AO470" s="69"/>
      <c r="AP470" s="69"/>
      <c r="AQ470" s="69"/>
      <c r="AR470" s="69"/>
      <c r="AS470" s="69"/>
      <c r="AT470" s="69"/>
      <c r="AU470" s="69"/>
      <c r="AV470" s="69"/>
      <c r="AW470" s="69"/>
      <c r="AX470" s="69"/>
      <c r="AY470" s="69"/>
    </row>
    <row r="471" ht="15.75" customHeight="1">
      <c r="A471" s="69"/>
      <c r="B471" s="69"/>
      <c r="C471" s="69"/>
      <c r="D471" s="4"/>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c r="AN471" s="69"/>
      <c r="AO471" s="69"/>
      <c r="AP471" s="69"/>
      <c r="AQ471" s="69"/>
      <c r="AR471" s="69"/>
      <c r="AS471" s="69"/>
      <c r="AT471" s="69"/>
      <c r="AU471" s="69"/>
      <c r="AV471" s="69"/>
      <c r="AW471" s="69"/>
      <c r="AX471" s="69"/>
      <c r="AY471" s="69"/>
    </row>
    <row r="472" ht="15.75" customHeight="1">
      <c r="A472" s="69"/>
      <c r="B472" s="69"/>
      <c r="C472" s="69"/>
      <c r="D472" s="4"/>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c r="AP472" s="69"/>
      <c r="AQ472" s="69"/>
      <c r="AR472" s="69"/>
      <c r="AS472" s="69"/>
      <c r="AT472" s="69"/>
      <c r="AU472" s="69"/>
      <c r="AV472" s="69"/>
      <c r="AW472" s="69"/>
      <c r="AX472" s="69"/>
      <c r="AY472" s="69"/>
    </row>
    <row r="473" ht="15.75" customHeight="1">
      <c r="A473" s="69"/>
      <c r="B473" s="69"/>
      <c r="C473" s="69"/>
      <c r="D473" s="4"/>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69"/>
      <c r="AO473" s="69"/>
      <c r="AP473" s="69"/>
      <c r="AQ473" s="69"/>
      <c r="AR473" s="69"/>
      <c r="AS473" s="69"/>
      <c r="AT473" s="69"/>
      <c r="AU473" s="69"/>
      <c r="AV473" s="69"/>
      <c r="AW473" s="69"/>
      <c r="AX473" s="69"/>
      <c r="AY473" s="69"/>
    </row>
    <row r="474" ht="15.75" customHeight="1">
      <c r="A474" s="69"/>
      <c r="B474" s="69"/>
      <c r="C474" s="69"/>
      <c r="D474" s="4"/>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c r="AP474" s="69"/>
      <c r="AQ474" s="69"/>
      <c r="AR474" s="69"/>
      <c r="AS474" s="69"/>
      <c r="AT474" s="69"/>
      <c r="AU474" s="69"/>
      <c r="AV474" s="69"/>
      <c r="AW474" s="69"/>
      <c r="AX474" s="69"/>
      <c r="AY474" s="69"/>
    </row>
    <row r="475" ht="15.75" customHeight="1">
      <c r="A475" s="69"/>
      <c r="B475" s="69"/>
      <c r="C475" s="69"/>
      <c r="D475" s="4"/>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69"/>
      <c r="AO475" s="69"/>
      <c r="AP475" s="69"/>
      <c r="AQ475" s="69"/>
      <c r="AR475" s="69"/>
      <c r="AS475" s="69"/>
      <c r="AT475" s="69"/>
      <c r="AU475" s="69"/>
      <c r="AV475" s="69"/>
      <c r="AW475" s="69"/>
      <c r="AX475" s="69"/>
      <c r="AY475" s="69"/>
    </row>
    <row r="476" ht="15.75" customHeight="1">
      <c r="A476" s="69"/>
      <c r="B476" s="69"/>
      <c r="C476" s="69"/>
      <c r="D476" s="4"/>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69"/>
      <c r="AS476" s="69"/>
      <c r="AT476" s="69"/>
      <c r="AU476" s="69"/>
      <c r="AV476" s="69"/>
      <c r="AW476" s="69"/>
      <c r="AX476" s="69"/>
      <c r="AY476" s="69"/>
    </row>
    <row r="477" ht="15.75" customHeight="1">
      <c r="A477" s="69"/>
      <c r="B477" s="69"/>
      <c r="C477" s="69"/>
      <c r="D477" s="4"/>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69"/>
      <c r="AO477" s="69"/>
      <c r="AP477" s="69"/>
      <c r="AQ477" s="69"/>
      <c r="AR477" s="69"/>
      <c r="AS477" s="69"/>
      <c r="AT477" s="69"/>
      <c r="AU477" s="69"/>
      <c r="AV477" s="69"/>
      <c r="AW477" s="69"/>
      <c r="AX477" s="69"/>
      <c r="AY477" s="69"/>
    </row>
    <row r="478" ht="15.75" customHeight="1">
      <c r="A478" s="69"/>
      <c r="B478" s="69"/>
      <c r="C478" s="69"/>
      <c r="D478" s="4"/>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69"/>
      <c r="AO478" s="69"/>
      <c r="AP478" s="69"/>
      <c r="AQ478" s="69"/>
      <c r="AR478" s="69"/>
      <c r="AS478" s="69"/>
      <c r="AT478" s="69"/>
      <c r="AU478" s="69"/>
      <c r="AV478" s="69"/>
      <c r="AW478" s="69"/>
      <c r="AX478" s="69"/>
      <c r="AY478" s="69"/>
    </row>
    <row r="479" ht="15.75" customHeight="1">
      <c r="A479" s="69"/>
      <c r="B479" s="69"/>
      <c r="C479" s="69"/>
      <c r="D479" s="4"/>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69"/>
      <c r="AO479" s="69"/>
      <c r="AP479" s="69"/>
      <c r="AQ479" s="69"/>
      <c r="AR479" s="69"/>
      <c r="AS479" s="69"/>
      <c r="AT479" s="69"/>
      <c r="AU479" s="69"/>
      <c r="AV479" s="69"/>
      <c r="AW479" s="69"/>
      <c r="AX479" s="69"/>
      <c r="AY479" s="69"/>
    </row>
    <row r="480" ht="15.75" customHeight="1">
      <c r="A480" s="69"/>
      <c r="B480" s="69"/>
      <c r="C480" s="69"/>
      <c r="D480" s="4"/>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c r="AP480" s="69"/>
      <c r="AQ480" s="69"/>
      <c r="AR480" s="69"/>
      <c r="AS480" s="69"/>
      <c r="AT480" s="69"/>
      <c r="AU480" s="69"/>
      <c r="AV480" s="69"/>
      <c r="AW480" s="69"/>
      <c r="AX480" s="69"/>
      <c r="AY480" s="69"/>
    </row>
    <row r="481" ht="15.75" customHeight="1">
      <c r="A481" s="69"/>
      <c r="B481" s="69"/>
      <c r="C481" s="69"/>
      <c r="D481" s="4"/>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c r="AN481" s="69"/>
      <c r="AO481" s="69"/>
      <c r="AP481" s="69"/>
      <c r="AQ481" s="69"/>
      <c r="AR481" s="69"/>
      <c r="AS481" s="69"/>
      <c r="AT481" s="69"/>
      <c r="AU481" s="69"/>
      <c r="AV481" s="69"/>
      <c r="AW481" s="69"/>
      <c r="AX481" s="69"/>
      <c r="AY481" s="69"/>
    </row>
    <row r="482" ht="15.75" customHeight="1">
      <c r="A482" s="69"/>
      <c r="B482" s="69"/>
      <c r="C482" s="69"/>
      <c r="D482" s="4"/>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c r="AP482" s="69"/>
      <c r="AQ482" s="69"/>
      <c r="AR482" s="69"/>
      <c r="AS482" s="69"/>
      <c r="AT482" s="69"/>
      <c r="AU482" s="69"/>
      <c r="AV482" s="69"/>
      <c r="AW482" s="69"/>
      <c r="AX482" s="69"/>
      <c r="AY482" s="69"/>
    </row>
    <row r="483" ht="15.75" customHeight="1">
      <c r="A483" s="69"/>
      <c r="B483" s="69"/>
      <c r="C483" s="69"/>
      <c r="D483" s="4"/>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c r="AP483" s="69"/>
      <c r="AQ483" s="69"/>
      <c r="AR483" s="69"/>
      <c r="AS483" s="69"/>
      <c r="AT483" s="69"/>
      <c r="AU483" s="69"/>
      <c r="AV483" s="69"/>
      <c r="AW483" s="69"/>
      <c r="AX483" s="69"/>
      <c r="AY483" s="69"/>
    </row>
    <row r="484" ht="15.75" customHeight="1">
      <c r="A484" s="69"/>
      <c r="B484" s="69"/>
      <c r="C484" s="69"/>
      <c r="D484" s="4"/>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c r="AW484" s="69"/>
      <c r="AX484" s="69"/>
      <c r="AY484" s="69"/>
    </row>
    <row r="485" ht="15.75" customHeight="1">
      <c r="A485" s="69"/>
      <c r="B485" s="69"/>
      <c r="C485" s="69"/>
      <c r="D485" s="4"/>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c r="AP485" s="69"/>
      <c r="AQ485" s="69"/>
      <c r="AR485" s="69"/>
      <c r="AS485" s="69"/>
      <c r="AT485" s="69"/>
      <c r="AU485" s="69"/>
      <c r="AV485" s="69"/>
      <c r="AW485" s="69"/>
      <c r="AX485" s="69"/>
      <c r="AY485" s="69"/>
    </row>
    <row r="486" ht="15.75" customHeight="1">
      <c r="A486" s="69"/>
      <c r="B486" s="69"/>
      <c r="C486" s="69"/>
      <c r="D486" s="4"/>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c r="AN486" s="69"/>
      <c r="AO486" s="69"/>
      <c r="AP486" s="69"/>
      <c r="AQ486" s="69"/>
      <c r="AR486" s="69"/>
      <c r="AS486" s="69"/>
      <c r="AT486" s="69"/>
      <c r="AU486" s="69"/>
      <c r="AV486" s="69"/>
      <c r="AW486" s="69"/>
      <c r="AX486" s="69"/>
      <c r="AY486" s="69"/>
    </row>
    <row r="487" ht="15.75" customHeight="1">
      <c r="A487" s="69"/>
      <c r="B487" s="69"/>
      <c r="C487" s="69"/>
      <c r="D487" s="4"/>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69"/>
      <c r="AO487" s="69"/>
      <c r="AP487" s="69"/>
      <c r="AQ487" s="69"/>
      <c r="AR487" s="69"/>
      <c r="AS487" s="69"/>
      <c r="AT487" s="69"/>
      <c r="AU487" s="69"/>
      <c r="AV487" s="69"/>
      <c r="AW487" s="69"/>
      <c r="AX487" s="69"/>
      <c r="AY487" s="69"/>
    </row>
    <row r="488" ht="15.75" customHeight="1">
      <c r="A488" s="69"/>
      <c r="B488" s="69"/>
      <c r="C488" s="69"/>
      <c r="D488" s="4"/>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c r="AW488" s="69"/>
      <c r="AX488" s="69"/>
      <c r="AY488" s="69"/>
    </row>
    <row r="489" ht="15.75" customHeight="1">
      <c r="A489" s="69"/>
      <c r="B489" s="69"/>
      <c r="C489" s="69"/>
      <c r="D489" s="4"/>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69"/>
      <c r="AO489" s="69"/>
      <c r="AP489" s="69"/>
      <c r="AQ489" s="69"/>
      <c r="AR489" s="69"/>
      <c r="AS489" s="69"/>
      <c r="AT489" s="69"/>
      <c r="AU489" s="69"/>
      <c r="AV489" s="69"/>
      <c r="AW489" s="69"/>
      <c r="AX489" s="69"/>
      <c r="AY489" s="69"/>
    </row>
    <row r="490" ht="15.75" customHeight="1">
      <c r="A490" s="69"/>
      <c r="B490" s="69"/>
      <c r="C490" s="69"/>
      <c r="D490" s="4"/>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c r="AW490" s="69"/>
      <c r="AX490" s="69"/>
      <c r="AY490" s="69"/>
    </row>
    <row r="491" ht="15.75" customHeight="1">
      <c r="A491" s="69"/>
      <c r="B491" s="69"/>
      <c r="C491" s="69"/>
      <c r="D491" s="4"/>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69"/>
      <c r="AO491" s="69"/>
      <c r="AP491" s="69"/>
      <c r="AQ491" s="69"/>
      <c r="AR491" s="69"/>
      <c r="AS491" s="69"/>
      <c r="AT491" s="69"/>
      <c r="AU491" s="69"/>
      <c r="AV491" s="69"/>
      <c r="AW491" s="69"/>
      <c r="AX491" s="69"/>
      <c r="AY491" s="69"/>
    </row>
    <row r="492" ht="15.75" customHeight="1">
      <c r="A492" s="69"/>
      <c r="B492" s="69"/>
      <c r="C492" s="69"/>
      <c r="D492" s="4"/>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c r="AW492" s="69"/>
      <c r="AX492" s="69"/>
      <c r="AY492" s="69"/>
    </row>
    <row r="493" ht="15.75" customHeight="1">
      <c r="A493" s="69"/>
      <c r="B493" s="69"/>
      <c r="C493" s="69"/>
      <c r="D493" s="4"/>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69"/>
      <c r="AO493" s="69"/>
      <c r="AP493" s="69"/>
      <c r="AQ493" s="69"/>
      <c r="AR493" s="69"/>
      <c r="AS493" s="69"/>
      <c r="AT493" s="69"/>
      <c r="AU493" s="69"/>
      <c r="AV493" s="69"/>
      <c r="AW493" s="69"/>
      <c r="AX493" s="69"/>
      <c r="AY493" s="69"/>
    </row>
    <row r="494" ht="15.75" customHeight="1">
      <c r="A494" s="69"/>
      <c r="B494" s="69"/>
      <c r="C494" s="69"/>
      <c r="D494" s="4"/>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c r="AW494" s="69"/>
      <c r="AX494" s="69"/>
      <c r="AY494" s="69"/>
    </row>
    <row r="495" ht="15.75" customHeight="1">
      <c r="A495" s="69"/>
      <c r="B495" s="69"/>
      <c r="C495" s="69"/>
      <c r="D495" s="4"/>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c r="AN495" s="69"/>
      <c r="AO495" s="69"/>
      <c r="AP495" s="69"/>
      <c r="AQ495" s="69"/>
      <c r="AR495" s="69"/>
      <c r="AS495" s="69"/>
      <c r="AT495" s="69"/>
      <c r="AU495" s="69"/>
      <c r="AV495" s="69"/>
      <c r="AW495" s="69"/>
      <c r="AX495" s="69"/>
      <c r="AY495" s="69"/>
    </row>
    <row r="496" ht="15.75" customHeight="1">
      <c r="A496" s="69"/>
      <c r="B496" s="69"/>
      <c r="C496" s="69"/>
      <c r="D496" s="4"/>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c r="AW496" s="69"/>
      <c r="AX496" s="69"/>
      <c r="AY496" s="69"/>
    </row>
    <row r="497" ht="15.75" customHeight="1">
      <c r="A497" s="69"/>
      <c r="B497" s="69"/>
      <c r="C497" s="69"/>
      <c r="D497" s="4"/>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69"/>
      <c r="AO497" s="69"/>
      <c r="AP497" s="69"/>
      <c r="AQ497" s="69"/>
      <c r="AR497" s="69"/>
      <c r="AS497" s="69"/>
      <c r="AT497" s="69"/>
      <c r="AU497" s="69"/>
      <c r="AV497" s="69"/>
      <c r="AW497" s="69"/>
      <c r="AX497" s="69"/>
      <c r="AY497" s="69"/>
    </row>
    <row r="498" ht="15.75" customHeight="1">
      <c r="A498" s="69"/>
      <c r="B498" s="69"/>
      <c r="C498" s="69"/>
      <c r="D498" s="4"/>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c r="AW498" s="69"/>
      <c r="AX498" s="69"/>
      <c r="AY498" s="69"/>
    </row>
    <row r="499" ht="15.75" customHeight="1">
      <c r="A499" s="69"/>
      <c r="B499" s="69"/>
      <c r="C499" s="69"/>
      <c r="D499" s="4"/>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69"/>
      <c r="AO499" s="69"/>
      <c r="AP499" s="69"/>
      <c r="AQ499" s="69"/>
      <c r="AR499" s="69"/>
      <c r="AS499" s="69"/>
      <c r="AT499" s="69"/>
      <c r="AU499" s="69"/>
      <c r="AV499" s="69"/>
      <c r="AW499" s="69"/>
      <c r="AX499" s="69"/>
      <c r="AY499" s="69"/>
    </row>
    <row r="500" ht="15.75" customHeight="1">
      <c r="A500" s="69"/>
      <c r="B500" s="69"/>
      <c r="C500" s="69"/>
      <c r="D500" s="4"/>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c r="AW500" s="69"/>
      <c r="AX500" s="69"/>
      <c r="AY500" s="69"/>
    </row>
    <row r="501" ht="15.75" customHeight="1">
      <c r="A501" s="69"/>
      <c r="B501" s="69"/>
      <c r="C501" s="69"/>
      <c r="D501" s="4"/>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69"/>
      <c r="AO501" s="69"/>
      <c r="AP501" s="69"/>
      <c r="AQ501" s="69"/>
      <c r="AR501" s="69"/>
      <c r="AS501" s="69"/>
      <c r="AT501" s="69"/>
      <c r="AU501" s="69"/>
      <c r="AV501" s="69"/>
      <c r="AW501" s="69"/>
      <c r="AX501" s="69"/>
      <c r="AY501" s="69"/>
    </row>
    <row r="502" ht="15.75" customHeight="1">
      <c r="A502" s="69"/>
      <c r="B502" s="69"/>
      <c r="C502" s="69"/>
      <c r="D502" s="4"/>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69"/>
      <c r="AO502" s="69"/>
      <c r="AP502" s="69"/>
      <c r="AQ502" s="69"/>
      <c r="AR502" s="69"/>
      <c r="AS502" s="69"/>
      <c r="AT502" s="69"/>
      <c r="AU502" s="69"/>
      <c r="AV502" s="69"/>
      <c r="AW502" s="69"/>
      <c r="AX502" s="69"/>
      <c r="AY502" s="69"/>
    </row>
    <row r="503" ht="15.75" customHeight="1">
      <c r="A503" s="69"/>
      <c r="B503" s="69"/>
      <c r="C503" s="69"/>
      <c r="D503" s="4"/>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c r="AP503" s="69"/>
      <c r="AQ503" s="69"/>
      <c r="AR503" s="69"/>
      <c r="AS503" s="69"/>
      <c r="AT503" s="69"/>
      <c r="AU503" s="69"/>
      <c r="AV503" s="69"/>
      <c r="AW503" s="69"/>
      <c r="AX503" s="69"/>
      <c r="AY503" s="69"/>
    </row>
    <row r="504" ht="15.75" customHeight="1">
      <c r="A504" s="69"/>
      <c r="B504" s="69"/>
      <c r="C504" s="69"/>
      <c r="D504" s="4"/>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c r="AP504" s="69"/>
      <c r="AQ504" s="69"/>
      <c r="AR504" s="69"/>
      <c r="AS504" s="69"/>
      <c r="AT504" s="69"/>
      <c r="AU504" s="69"/>
      <c r="AV504" s="69"/>
      <c r="AW504" s="69"/>
      <c r="AX504" s="69"/>
      <c r="AY504" s="69"/>
    </row>
    <row r="505" ht="15.75" customHeight="1">
      <c r="A505" s="69"/>
      <c r="B505" s="69"/>
      <c r="C505" s="69"/>
      <c r="D505" s="4"/>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69"/>
      <c r="AO505" s="69"/>
      <c r="AP505" s="69"/>
      <c r="AQ505" s="69"/>
      <c r="AR505" s="69"/>
      <c r="AS505" s="69"/>
      <c r="AT505" s="69"/>
      <c r="AU505" s="69"/>
      <c r="AV505" s="69"/>
      <c r="AW505" s="69"/>
      <c r="AX505" s="69"/>
      <c r="AY505" s="69"/>
    </row>
    <row r="506" ht="15.75" customHeight="1">
      <c r="A506" s="69"/>
      <c r="B506" s="69"/>
      <c r="C506" s="69"/>
      <c r="D506" s="4"/>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c r="AP506" s="69"/>
      <c r="AQ506" s="69"/>
      <c r="AR506" s="69"/>
      <c r="AS506" s="69"/>
      <c r="AT506" s="69"/>
      <c r="AU506" s="69"/>
      <c r="AV506" s="69"/>
      <c r="AW506" s="69"/>
      <c r="AX506" s="69"/>
      <c r="AY506" s="69"/>
    </row>
    <row r="507" ht="15.75" customHeight="1">
      <c r="A507" s="69"/>
      <c r="B507" s="69"/>
      <c r="C507" s="69"/>
      <c r="D507" s="4"/>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c r="AN507" s="69"/>
      <c r="AO507" s="69"/>
      <c r="AP507" s="69"/>
      <c r="AQ507" s="69"/>
      <c r="AR507" s="69"/>
      <c r="AS507" s="69"/>
      <c r="AT507" s="69"/>
      <c r="AU507" s="69"/>
      <c r="AV507" s="69"/>
      <c r="AW507" s="69"/>
      <c r="AX507" s="69"/>
      <c r="AY507" s="69"/>
    </row>
    <row r="508" ht="15.75" customHeight="1">
      <c r="A508" s="69"/>
      <c r="B508" s="69"/>
      <c r="C508" s="69"/>
      <c r="D508" s="4"/>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c r="AN508" s="69"/>
      <c r="AO508" s="69"/>
      <c r="AP508" s="69"/>
      <c r="AQ508" s="69"/>
      <c r="AR508" s="69"/>
      <c r="AS508" s="69"/>
      <c r="AT508" s="69"/>
      <c r="AU508" s="69"/>
      <c r="AV508" s="69"/>
      <c r="AW508" s="69"/>
      <c r="AX508" s="69"/>
      <c r="AY508" s="69"/>
    </row>
    <row r="509" ht="15.75" customHeight="1">
      <c r="A509" s="69"/>
      <c r="B509" s="69"/>
      <c r="C509" s="69"/>
      <c r="D509" s="4"/>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c r="AW509" s="69"/>
      <c r="AX509" s="69"/>
      <c r="AY509" s="69"/>
    </row>
    <row r="510" ht="15.75" customHeight="1">
      <c r="A510" s="69"/>
      <c r="B510" s="69"/>
      <c r="C510" s="69"/>
      <c r="D510" s="4"/>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c r="AW510" s="69"/>
      <c r="AX510" s="69"/>
      <c r="AY510" s="69"/>
    </row>
    <row r="511" ht="15.75" customHeight="1">
      <c r="A511" s="69"/>
      <c r="B511" s="69"/>
      <c r="C511" s="69"/>
      <c r="D511" s="4"/>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c r="AP511" s="69"/>
      <c r="AQ511" s="69"/>
      <c r="AR511" s="69"/>
      <c r="AS511" s="69"/>
      <c r="AT511" s="69"/>
      <c r="AU511" s="69"/>
      <c r="AV511" s="69"/>
      <c r="AW511" s="69"/>
      <c r="AX511" s="69"/>
      <c r="AY511" s="69"/>
    </row>
    <row r="512" ht="15.75" customHeight="1">
      <c r="A512" s="69"/>
      <c r="B512" s="69"/>
      <c r="C512" s="69"/>
      <c r="D512" s="4"/>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c r="AP512" s="69"/>
      <c r="AQ512" s="69"/>
      <c r="AR512" s="69"/>
      <c r="AS512" s="69"/>
      <c r="AT512" s="69"/>
      <c r="AU512" s="69"/>
      <c r="AV512" s="69"/>
      <c r="AW512" s="69"/>
      <c r="AX512" s="69"/>
      <c r="AY512" s="69"/>
    </row>
    <row r="513" ht="15.75" customHeight="1">
      <c r="A513" s="69"/>
      <c r="B513" s="69"/>
      <c r="C513" s="69"/>
      <c r="D513" s="4"/>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c r="AN513" s="69"/>
      <c r="AO513" s="69"/>
      <c r="AP513" s="69"/>
      <c r="AQ513" s="69"/>
      <c r="AR513" s="69"/>
      <c r="AS513" s="69"/>
      <c r="AT513" s="69"/>
      <c r="AU513" s="69"/>
      <c r="AV513" s="69"/>
      <c r="AW513" s="69"/>
      <c r="AX513" s="69"/>
      <c r="AY513" s="69"/>
    </row>
    <row r="514" ht="15.75" customHeight="1">
      <c r="A514" s="69"/>
      <c r="B514" s="69"/>
      <c r="C514" s="69"/>
      <c r="D514" s="4"/>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c r="AP514" s="69"/>
      <c r="AQ514" s="69"/>
      <c r="AR514" s="69"/>
      <c r="AS514" s="69"/>
      <c r="AT514" s="69"/>
      <c r="AU514" s="69"/>
      <c r="AV514" s="69"/>
      <c r="AW514" s="69"/>
      <c r="AX514" s="69"/>
      <c r="AY514" s="69"/>
    </row>
    <row r="515" ht="15.75" customHeight="1">
      <c r="A515" s="69"/>
      <c r="B515" s="69"/>
      <c r="C515" s="69"/>
      <c r="D515" s="4"/>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c r="AN515" s="69"/>
      <c r="AO515" s="69"/>
      <c r="AP515" s="69"/>
      <c r="AQ515" s="69"/>
      <c r="AR515" s="69"/>
      <c r="AS515" s="69"/>
      <c r="AT515" s="69"/>
      <c r="AU515" s="69"/>
      <c r="AV515" s="69"/>
      <c r="AW515" s="69"/>
      <c r="AX515" s="69"/>
      <c r="AY515" s="69"/>
    </row>
    <row r="516" ht="15.75" customHeight="1">
      <c r="A516" s="69"/>
      <c r="B516" s="69"/>
      <c r="C516" s="69"/>
      <c r="D516" s="4"/>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c r="AW516" s="69"/>
      <c r="AX516" s="69"/>
      <c r="AY516" s="69"/>
    </row>
    <row r="517" ht="15.75" customHeight="1">
      <c r="A517" s="69"/>
      <c r="B517" s="69"/>
      <c r="C517" s="69"/>
      <c r="D517" s="4"/>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c r="AN517" s="69"/>
      <c r="AO517" s="69"/>
      <c r="AP517" s="69"/>
      <c r="AQ517" s="69"/>
      <c r="AR517" s="69"/>
      <c r="AS517" s="69"/>
      <c r="AT517" s="69"/>
      <c r="AU517" s="69"/>
      <c r="AV517" s="69"/>
      <c r="AW517" s="69"/>
      <c r="AX517" s="69"/>
      <c r="AY517" s="69"/>
    </row>
    <row r="518" ht="15.75" customHeight="1">
      <c r="A518" s="69"/>
      <c r="B518" s="69"/>
      <c r="C518" s="69"/>
      <c r="D518" s="4"/>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c r="AW518" s="69"/>
      <c r="AX518" s="69"/>
      <c r="AY518" s="69"/>
    </row>
    <row r="519" ht="15.75" customHeight="1">
      <c r="A519" s="69"/>
      <c r="B519" s="69"/>
      <c r="C519" s="69"/>
      <c r="D519" s="4"/>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c r="AN519" s="69"/>
      <c r="AO519" s="69"/>
      <c r="AP519" s="69"/>
      <c r="AQ519" s="69"/>
      <c r="AR519" s="69"/>
      <c r="AS519" s="69"/>
      <c r="AT519" s="69"/>
      <c r="AU519" s="69"/>
      <c r="AV519" s="69"/>
      <c r="AW519" s="69"/>
      <c r="AX519" s="69"/>
      <c r="AY519" s="69"/>
    </row>
    <row r="520" ht="15.75" customHeight="1">
      <c r="A520" s="69"/>
      <c r="B520" s="69"/>
      <c r="C520" s="69"/>
      <c r="D520" s="4"/>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c r="AW520" s="69"/>
      <c r="AX520" s="69"/>
      <c r="AY520" s="69"/>
    </row>
    <row r="521" ht="15.75" customHeight="1">
      <c r="A521" s="69"/>
      <c r="B521" s="69"/>
      <c r="C521" s="69"/>
      <c r="D521" s="4"/>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c r="AN521" s="69"/>
      <c r="AO521" s="69"/>
      <c r="AP521" s="69"/>
      <c r="AQ521" s="69"/>
      <c r="AR521" s="69"/>
      <c r="AS521" s="69"/>
      <c r="AT521" s="69"/>
      <c r="AU521" s="69"/>
      <c r="AV521" s="69"/>
      <c r="AW521" s="69"/>
      <c r="AX521" s="69"/>
      <c r="AY521" s="69"/>
    </row>
    <row r="522" ht="15.75" customHeight="1">
      <c r="A522" s="69"/>
      <c r="B522" s="69"/>
      <c r="C522" s="69"/>
      <c r="D522" s="4"/>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c r="AW522" s="69"/>
      <c r="AX522" s="69"/>
      <c r="AY522" s="69"/>
    </row>
    <row r="523" ht="15.75" customHeight="1">
      <c r="A523" s="69"/>
      <c r="B523" s="69"/>
      <c r="C523" s="69"/>
      <c r="D523" s="4"/>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c r="AN523" s="69"/>
      <c r="AO523" s="69"/>
      <c r="AP523" s="69"/>
      <c r="AQ523" s="69"/>
      <c r="AR523" s="69"/>
      <c r="AS523" s="69"/>
      <c r="AT523" s="69"/>
      <c r="AU523" s="69"/>
      <c r="AV523" s="69"/>
      <c r="AW523" s="69"/>
      <c r="AX523" s="69"/>
      <c r="AY523" s="69"/>
    </row>
    <row r="524" ht="15.75" customHeight="1">
      <c r="A524" s="69"/>
      <c r="B524" s="69"/>
      <c r="C524" s="69"/>
      <c r="D524" s="4"/>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c r="AW524" s="69"/>
      <c r="AX524" s="69"/>
      <c r="AY524" s="69"/>
    </row>
    <row r="525" ht="15.75" customHeight="1">
      <c r="A525" s="69"/>
      <c r="B525" s="69"/>
      <c r="C525" s="69"/>
      <c r="D525" s="4"/>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c r="AN525" s="69"/>
      <c r="AO525" s="69"/>
      <c r="AP525" s="69"/>
      <c r="AQ525" s="69"/>
      <c r="AR525" s="69"/>
      <c r="AS525" s="69"/>
      <c r="AT525" s="69"/>
      <c r="AU525" s="69"/>
      <c r="AV525" s="69"/>
      <c r="AW525" s="69"/>
      <c r="AX525" s="69"/>
      <c r="AY525" s="69"/>
    </row>
    <row r="526" ht="15.75" customHeight="1">
      <c r="A526" s="69"/>
      <c r="B526" s="69"/>
      <c r="C526" s="69"/>
      <c r="D526" s="4"/>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c r="AW526" s="69"/>
      <c r="AX526" s="69"/>
      <c r="AY526" s="69"/>
    </row>
    <row r="527" ht="15.75" customHeight="1">
      <c r="A527" s="69"/>
      <c r="B527" s="69"/>
      <c r="C527" s="69"/>
      <c r="D527" s="4"/>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c r="AN527" s="69"/>
      <c r="AO527" s="69"/>
      <c r="AP527" s="69"/>
      <c r="AQ527" s="69"/>
      <c r="AR527" s="69"/>
      <c r="AS527" s="69"/>
      <c r="AT527" s="69"/>
      <c r="AU527" s="69"/>
      <c r="AV527" s="69"/>
      <c r="AW527" s="69"/>
      <c r="AX527" s="69"/>
      <c r="AY527" s="69"/>
    </row>
    <row r="528" ht="15.75" customHeight="1">
      <c r="A528" s="69"/>
      <c r="B528" s="69"/>
      <c r="C528" s="69"/>
      <c r="D528" s="4"/>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c r="AW528" s="69"/>
      <c r="AX528" s="69"/>
      <c r="AY528" s="69"/>
    </row>
    <row r="529" ht="15.75" customHeight="1">
      <c r="A529" s="69"/>
      <c r="B529" s="69"/>
      <c r="C529" s="69"/>
      <c r="D529" s="4"/>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c r="AN529" s="69"/>
      <c r="AO529" s="69"/>
      <c r="AP529" s="69"/>
      <c r="AQ529" s="69"/>
      <c r="AR529" s="69"/>
      <c r="AS529" s="69"/>
      <c r="AT529" s="69"/>
      <c r="AU529" s="69"/>
      <c r="AV529" s="69"/>
      <c r="AW529" s="69"/>
      <c r="AX529" s="69"/>
      <c r="AY529" s="69"/>
    </row>
    <row r="530" ht="15.75" customHeight="1">
      <c r="A530" s="69"/>
      <c r="B530" s="69"/>
      <c r="C530" s="69"/>
      <c r="D530" s="4"/>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c r="AW530" s="69"/>
      <c r="AX530" s="69"/>
      <c r="AY530" s="69"/>
    </row>
    <row r="531" ht="15.75" customHeight="1">
      <c r="A531" s="69"/>
      <c r="B531" s="69"/>
      <c r="C531" s="69"/>
      <c r="D531" s="4"/>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c r="AN531" s="69"/>
      <c r="AO531" s="69"/>
      <c r="AP531" s="69"/>
      <c r="AQ531" s="69"/>
      <c r="AR531" s="69"/>
      <c r="AS531" s="69"/>
      <c r="AT531" s="69"/>
      <c r="AU531" s="69"/>
      <c r="AV531" s="69"/>
      <c r="AW531" s="69"/>
      <c r="AX531" s="69"/>
      <c r="AY531" s="69"/>
    </row>
    <row r="532" ht="15.75" customHeight="1">
      <c r="A532" s="69"/>
      <c r="B532" s="69"/>
      <c r="C532" s="69"/>
      <c r="D532" s="4"/>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c r="AW532" s="69"/>
      <c r="AX532" s="69"/>
      <c r="AY532" s="69"/>
    </row>
    <row r="533" ht="15.75" customHeight="1">
      <c r="A533" s="69"/>
      <c r="B533" s="69"/>
      <c r="C533" s="69"/>
      <c r="D533" s="4"/>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c r="AN533" s="69"/>
      <c r="AO533" s="69"/>
      <c r="AP533" s="69"/>
      <c r="AQ533" s="69"/>
      <c r="AR533" s="69"/>
      <c r="AS533" s="69"/>
      <c r="AT533" s="69"/>
      <c r="AU533" s="69"/>
      <c r="AV533" s="69"/>
      <c r="AW533" s="69"/>
      <c r="AX533" s="69"/>
      <c r="AY533" s="69"/>
    </row>
    <row r="534" ht="15.75" customHeight="1">
      <c r="A534" s="69"/>
      <c r="B534" s="69"/>
      <c r="C534" s="69"/>
      <c r="D534" s="4"/>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c r="AN534" s="69"/>
      <c r="AO534" s="69"/>
      <c r="AP534" s="69"/>
      <c r="AQ534" s="69"/>
      <c r="AR534" s="69"/>
      <c r="AS534" s="69"/>
      <c r="AT534" s="69"/>
      <c r="AU534" s="69"/>
      <c r="AV534" s="69"/>
      <c r="AW534" s="69"/>
      <c r="AX534" s="69"/>
      <c r="AY534" s="69"/>
    </row>
    <row r="535" ht="15.75" customHeight="1">
      <c r="A535" s="69"/>
      <c r="B535" s="69"/>
      <c r="C535" s="69"/>
      <c r="D535" s="4"/>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c r="AN535" s="69"/>
      <c r="AO535" s="69"/>
      <c r="AP535" s="69"/>
      <c r="AQ535" s="69"/>
      <c r="AR535" s="69"/>
      <c r="AS535" s="69"/>
      <c r="AT535" s="69"/>
      <c r="AU535" s="69"/>
      <c r="AV535" s="69"/>
      <c r="AW535" s="69"/>
      <c r="AX535" s="69"/>
      <c r="AY535" s="69"/>
    </row>
    <row r="536" ht="15.75" customHeight="1">
      <c r="A536" s="69"/>
      <c r="B536" s="69"/>
      <c r="C536" s="69"/>
      <c r="D536" s="4"/>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c r="AW536" s="69"/>
      <c r="AX536" s="69"/>
      <c r="AY536" s="69"/>
    </row>
    <row r="537" ht="15.75" customHeight="1">
      <c r="A537" s="69"/>
      <c r="B537" s="69"/>
      <c r="C537" s="69"/>
      <c r="D537" s="4"/>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c r="AN537" s="69"/>
      <c r="AO537" s="69"/>
      <c r="AP537" s="69"/>
      <c r="AQ537" s="69"/>
      <c r="AR537" s="69"/>
      <c r="AS537" s="69"/>
      <c r="AT537" s="69"/>
      <c r="AU537" s="69"/>
      <c r="AV537" s="69"/>
      <c r="AW537" s="69"/>
      <c r="AX537" s="69"/>
      <c r="AY537" s="69"/>
    </row>
    <row r="538" ht="15.75" customHeight="1">
      <c r="A538" s="69"/>
      <c r="B538" s="69"/>
      <c r="C538" s="69"/>
      <c r="D538" s="4"/>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c r="AW538" s="69"/>
      <c r="AX538" s="69"/>
      <c r="AY538" s="69"/>
    </row>
    <row r="539" ht="15.75" customHeight="1">
      <c r="A539" s="69"/>
      <c r="B539" s="69"/>
      <c r="C539" s="69"/>
      <c r="D539" s="4"/>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c r="AN539" s="69"/>
      <c r="AO539" s="69"/>
      <c r="AP539" s="69"/>
      <c r="AQ539" s="69"/>
      <c r="AR539" s="69"/>
      <c r="AS539" s="69"/>
      <c r="AT539" s="69"/>
      <c r="AU539" s="69"/>
      <c r="AV539" s="69"/>
      <c r="AW539" s="69"/>
      <c r="AX539" s="69"/>
      <c r="AY539" s="69"/>
    </row>
    <row r="540" ht="15.75" customHeight="1">
      <c r="A540" s="69"/>
      <c r="B540" s="69"/>
      <c r="C540" s="69"/>
      <c r="D540" s="4"/>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c r="AW540" s="69"/>
      <c r="AX540" s="69"/>
      <c r="AY540" s="69"/>
    </row>
    <row r="541" ht="15.75" customHeight="1">
      <c r="A541" s="69"/>
      <c r="B541" s="69"/>
      <c r="C541" s="69"/>
      <c r="D541" s="4"/>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c r="AN541" s="69"/>
      <c r="AO541" s="69"/>
      <c r="AP541" s="69"/>
      <c r="AQ541" s="69"/>
      <c r="AR541" s="69"/>
      <c r="AS541" s="69"/>
      <c r="AT541" s="69"/>
      <c r="AU541" s="69"/>
      <c r="AV541" s="69"/>
      <c r="AW541" s="69"/>
      <c r="AX541" s="69"/>
      <c r="AY541" s="69"/>
    </row>
    <row r="542" ht="15.75" customHeight="1">
      <c r="A542" s="69"/>
      <c r="B542" s="69"/>
      <c r="C542" s="69"/>
      <c r="D542" s="4"/>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c r="AW542" s="69"/>
      <c r="AX542" s="69"/>
      <c r="AY542" s="69"/>
    </row>
    <row r="543" ht="15.75" customHeight="1">
      <c r="A543" s="69"/>
      <c r="B543" s="69"/>
      <c r="C543" s="69"/>
      <c r="D543" s="4"/>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c r="AN543" s="69"/>
      <c r="AO543" s="69"/>
      <c r="AP543" s="69"/>
      <c r="AQ543" s="69"/>
      <c r="AR543" s="69"/>
      <c r="AS543" s="69"/>
      <c r="AT543" s="69"/>
      <c r="AU543" s="69"/>
      <c r="AV543" s="69"/>
      <c r="AW543" s="69"/>
      <c r="AX543" s="69"/>
      <c r="AY543" s="69"/>
    </row>
    <row r="544" ht="15.75" customHeight="1">
      <c r="A544" s="69"/>
      <c r="B544" s="69"/>
      <c r="C544" s="69"/>
      <c r="D544" s="4"/>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c r="AP544" s="69"/>
      <c r="AQ544" s="69"/>
      <c r="AR544" s="69"/>
      <c r="AS544" s="69"/>
      <c r="AT544" s="69"/>
      <c r="AU544" s="69"/>
      <c r="AV544" s="69"/>
      <c r="AW544" s="69"/>
      <c r="AX544" s="69"/>
      <c r="AY544" s="69"/>
    </row>
    <row r="545" ht="15.75" customHeight="1">
      <c r="A545" s="69"/>
      <c r="B545" s="69"/>
      <c r="C545" s="69"/>
      <c r="D545" s="4"/>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c r="AN545" s="69"/>
      <c r="AO545" s="69"/>
      <c r="AP545" s="69"/>
      <c r="AQ545" s="69"/>
      <c r="AR545" s="69"/>
      <c r="AS545" s="69"/>
      <c r="AT545" s="69"/>
      <c r="AU545" s="69"/>
      <c r="AV545" s="69"/>
      <c r="AW545" s="69"/>
      <c r="AX545" s="69"/>
      <c r="AY545" s="69"/>
    </row>
    <row r="546" ht="15.75" customHeight="1">
      <c r="A546" s="69"/>
      <c r="B546" s="69"/>
      <c r="C546" s="69"/>
      <c r="D546" s="4"/>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c r="AP546" s="69"/>
      <c r="AQ546" s="69"/>
      <c r="AR546" s="69"/>
      <c r="AS546" s="69"/>
      <c r="AT546" s="69"/>
      <c r="AU546" s="69"/>
      <c r="AV546" s="69"/>
      <c r="AW546" s="69"/>
      <c r="AX546" s="69"/>
      <c r="AY546" s="69"/>
    </row>
    <row r="547" ht="15.75" customHeight="1">
      <c r="A547" s="69"/>
      <c r="B547" s="69"/>
      <c r="C547" s="69"/>
      <c r="D547" s="4"/>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c r="AN547" s="69"/>
      <c r="AO547" s="69"/>
      <c r="AP547" s="69"/>
      <c r="AQ547" s="69"/>
      <c r="AR547" s="69"/>
      <c r="AS547" s="69"/>
      <c r="AT547" s="69"/>
      <c r="AU547" s="69"/>
      <c r="AV547" s="69"/>
      <c r="AW547" s="69"/>
      <c r="AX547" s="69"/>
      <c r="AY547" s="69"/>
    </row>
    <row r="548" ht="15.75" customHeight="1">
      <c r="A548" s="69"/>
      <c r="B548" s="69"/>
      <c r="C548" s="69"/>
      <c r="D548" s="4"/>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c r="AN548" s="69"/>
      <c r="AO548" s="69"/>
      <c r="AP548" s="69"/>
      <c r="AQ548" s="69"/>
      <c r="AR548" s="69"/>
      <c r="AS548" s="69"/>
      <c r="AT548" s="69"/>
      <c r="AU548" s="69"/>
      <c r="AV548" s="69"/>
      <c r="AW548" s="69"/>
      <c r="AX548" s="69"/>
      <c r="AY548" s="69"/>
    </row>
    <row r="549" ht="15.75" customHeight="1">
      <c r="A549" s="69"/>
      <c r="B549" s="69"/>
      <c r="C549" s="69"/>
      <c r="D549" s="4"/>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c r="AP549" s="69"/>
      <c r="AQ549" s="69"/>
      <c r="AR549" s="69"/>
      <c r="AS549" s="69"/>
      <c r="AT549" s="69"/>
      <c r="AU549" s="69"/>
      <c r="AV549" s="69"/>
      <c r="AW549" s="69"/>
      <c r="AX549" s="69"/>
      <c r="AY549" s="69"/>
    </row>
    <row r="550" ht="15.75" customHeight="1">
      <c r="A550" s="69"/>
      <c r="B550" s="69"/>
      <c r="C550" s="69"/>
      <c r="D550" s="4"/>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c r="AN550" s="69"/>
      <c r="AO550" s="69"/>
      <c r="AP550" s="69"/>
      <c r="AQ550" s="69"/>
      <c r="AR550" s="69"/>
      <c r="AS550" s="69"/>
      <c r="AT550" s="69"/>
      <c r="AU550" s="69"/>
      <c r="AV550" s="69"/>
      <c r="AW550" s="69"/>
      <c r="AX550" s="69"/>
      <c r="AY550" s="69"/>
    </row>
    <row r="551" ht="15.75" customHeight="1">
      <c r="A551" s="69"/>
      <c r="B551" s="69"/>
      <c r="C551" s="69"/>
      <c r="D551" s="4"/>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c r="AN551" s="69"/>
      <c r="AO551" s="69"/>
      <c r="AP551" s="69"/>
      <c r="AQ551" s="69"/>
      <c r="AR551" s="69"/>
      <c r="AS551" s="69"/>
      <c r="AT551" s="69"/>
      <c r="AU551" s="69"/>
      <c r="AV551" s="69"/>
      <c r="AW551" s="69"/>
      <c r="AX551" s="69"/>
      <c r="AY551" s="69"/>
    </row>
    <row r="552" ht="15.75" customHeight="1">
      <c r="A552" s="69"/>
      <c r="B552" s="69"/>
      <c r="C552" s="69"/>
      <c r="D552" s="4"/>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c r="AP552" s="69"/>
      <c r="AQ552" s="69"/>
      <c r="AR552" s="69"/>
      <c r="AS552" s="69"/>
      <c r="AT552" s="69"/>
      <c r="AU552" s="69"/>
      <c r="AV552" s="69"/>
      <c r="AW552" s="69"/>
      <c r="AX552" s="69"/>
      <c r="AY552" s="69"/>
    </row>
    <row r="553" ht="15.75" customHeight="1">
      <c r="A553" s="69"/>
      <c r="B553" s="69"/>
      <c r="C553" s="69"/>
      <c r="D553" s="4"/>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c r="AN553" s="69"/>
      <c r="AO553" s="69"/>
      <c r="AP553" s="69"/>
      <c r="AQ553" s="69"/>
      <c r="AR553" s="69"/>
      <c r="AS553" s="69"/>
      <c r="AT553" s="69"/>
      <c r="AU553" s="69"/>
      <c r="AV553" s="69"/>
      <c r="AW553" s="69"/>
      <c r="AX553" s="69"/>
      <c r="AY553" s="69"/>
    </row>
    <row r="554" ht="15.75" customHeight="1">
      <c r="A554" s="69"/>
      <c r="B554" s="69"/>
      <c r="C554" s="69"/>
      <c r="D554" s="4"/>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c r="AP554" s="69"/>
      <c r="AQ554" s="69"/>
      <c r="AR554" s="69"/>
      <c r="AS554" s="69"/>
      <c r="AT554" s="69"/>
      <c r="AU554" s="69"/>
      <c r="AV554" s="69"/>
      <c r="AW554" s="69"/>
      <c r="AX554" s="69"/>
      <c r="AY554" s="69"/>
    </row>
    <row r="555" ht="15.75" customHeight="1">
      <c r="A555" s="69"/>
      <c r="B555" s="69"/>
      <c r="C555" s="69"/>
      <c r="D555" s="4"/>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c r="AN555" s="69"/>
      <c r="AO555" s="69"/>
      <c r="AP555" s="69"/>
      <c r="AQ555" s="69"/>
      <c r="AR555" s="69"/>
      <c r="AS555" s="69"/>
      <c r="AT555" s="69"/>
      <c r="AU555" s="69"/>
      <c r="AV555" s="69"/>
      <c r="AW555" s="69"/>
      <c r="AX555" s="69"/>
      <c r="AY555" s="69"/>
    </row>
    <row r="556" ht="15.75" customHeight="1">
      <c r="A556" s="69"/>
      <c r="B556" s="69"/>
      <c r="C556" s="69"/>
      <c r="D556" s="4"/>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c r="AN556" s="69"/>
      <c r="AO556" s="69"/>
      <c r="AP556" s="69"/>
      <c r="AQ556" s="69"/>
      <c r="AR556" s="69"/>
      <c r="AS556" s="69"/>
      <c r="AT556" s="69"/>
      <c r="AU556" s="69"/>
      <c r="AV556" s="69"/>
      <c r="AW556" s="69"/>
      <c r="AX556" s="69"/>
      <c r="AY556" s="69"/>
    </row>
    <row r="557" ht="15.75" customHeight="1">
      <c r="A557" s="69"/>
      <c r="B557" s="69"/>
      <c r="C557" s="69"/>
      <c r="D557" s="4"/>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c r="AN557" s="69"/>
      <c r="AO557" s="69"/>
      <c r="AP557" s="69"/>
      <c r="AQ557" s="69"/>
      <c r="AR557" s="69"/>
      <c r="AS557" s="69"/>
      <c r="AT557" s="69"/>
      <c r="AU557" s="69"/>
      <c r="AV557" s="69"/>
      <c r="AW557" s="69"/>
      <c r="AX557" s="69"/>
      <c r="AY557" s="69"/>
    </row>
    <row r="558" ht="15.75" customHeight="1">
      <c r="A558" s="69"/>
      <c r="B558" s="69"/>
      <c r="C558" s="69"/>
      <c r="D558" s="4"/>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c r="AN558" s="69"/>
      <c r="AO558" s="69"/>
      <c r="AP558" s="69"/>
      <c r="AQ558" s="69"/>
      <c r="AR558" s="69"/>
      <c r="AS558" s="69"/>
      <c r="AT558" s="69"/>
      <c r="AU558" s="69"/>
      <c r="AV558" s="69"/>
      <c r="AW558" s="69"/>
      <c r="AX558" s="69"/>
      <c r="AY558" s="69"/>
    </row>
    <row r="559" ht="15.75" customHeight="1">
      <c r="A559" s="69"/>
      <c r="B559" s="69"/>
      <c r="C559" s="69"/>
      <c r="D559" s="4"/>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c r="AN559" s="69"/>
      <c r="AO559" s="69"/>
      <c r="AP559" s="69"/>
      <c r="AQ559" s="69"/>
      <c r="AR559" s="69"/>
      <c r="AS559" s="69"/>
      <c r="AT559" s="69"/>
      <c r="AU559" s="69"/>
      <c r="AV559" s="69"/>
      <c r="AW559" s="69"/>
      <c r="AX559" s="69"/>
      <c r="AY559" s="69"/>
    </row>
    <row r="560" ht="15.75" customHeight="1">
      <c r="A560" s="69"/>
      <c r="B560" s="69"/>
      <c r="C560" s="69"/>
      <c r="D560" s="4"/>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c r="AP560" s="69"/>
      <c r="AQ560" s="69"/>
      <c r="AR560" s="69"/>
      <c r="AS560" s="69"/>
      <c r="AT560" s="69"/>
      <c r="AU560" s="69"/>
      <c r="AV560" s="69"/>
      <c r="AW560" s="69"/>
      <c r="AX560" s="69"/>
      <c r="AY560" s="69"/>
    </row>
    <row r="561" ht="15.75" customHeight="1">
      <c r="A561" s="69"/>
      <c r="B561" s="69"/>
      <c r="C561" s="69"/>
      <c r="D561" s="4"/>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c r="AN561" s="69"/>
      <c r="AO561" s="69"/>
      <c r="AP561" s="69"/>
      <c r="AQ561" s="69"/>
      <c r="AR561" s="69"/>
      <c r="AS561" s="69"/>
      <c r="AT561" s="69"/>
      <c r="AU561" s="69"/>
      <c r="AV561" s="69"/>
      <c r="AW561" s="69"/>
      <c r="AX561" s="69"/>
      <c r="AY561" s="69"/>
    </row>
    <row r="562" ht="15.75" customHeight="1">
      <c r="A562" s="69"/>
      <c r="B562" s="69"/>
      <c r="C562" s="69"/>
      <c r="D562" s="4"/>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c r="AV562" s="69"/>
      <c r="AW562" s="69"/>
      <c r="AX562" s="69"/>
      <c r="AY562" s="69"/>
    </row>
    <row r="563" ht="15.75" customHeight="1">
      <c r="A563" s="69"/>
      <c r="B563" s="69"/>
      <c r="C563" s="69"/>
      <c r="D563" s="4"/>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c r="AN563" s="69"/>
      <c r="AO563" s="69"/>
      <c r="AP563" s="69"/>
      <c r="AQ563" s="69"/>
      <c r="AR563" s="69"/>
      <c r="AS563" s="69"/>
      <c r="AT563" s="69"/>
      <c r="AU563" s="69"/>
      <c r="AV563" s="69"/>
      <c r="AW563" s="69"/>
      <c r="AX563" s="69"/>
      <c r="AY563" s="69"/>
    </row>
    <row r="564" ht="15.75" customHeight="1">
      <c r="A564" s="69"/>
      <c r="B564" s="69"/>
      <c r="C564" s="69"/>
      <c r="D564" s="4"/>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c r="AN564" s="69"/>
      <c r="AO564" s="69"/>
      <c r="AP564" s="69"/>
      <c r="AQ564" s="69"/>
      <c r="AR564" s="69"/>
      <c r="AS564" s="69"/>
      <c r="AT564" s="69"/>
      <c r="AU564" s="69"/>
      <c r="AV564" s="69"/>
      <c r="AW564" s="69"/>
      <c r="AX564" s="69"/>
      <c r="AY564" s="69"/>
    </row>
    <row r="565" ht="15.75" customHeight="1">
      <c r="A565" s="69"/>
      <c r="B565" s="69"/>
      <c r="C565" s="69"/>
      <c r="D565" s="4"/>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c r="AN565" s="69"/>
      <c r="AO565" s="69"/>
      <c r="AP565" s="69"/>
      <c r="AQ565" s="69"/>
      <c r="AR565" s="69"/>
      <c r="AS565" s="69"/>
      <c r="AT565" s="69"/>
      <c r="AU565" s="69"/>
      <c r="AV565" s="69"/>
      <c r="AW565" s="69"/>
      <c r="AX565" s="69"/>
      <c r="AY565" s="69"/>
    </row>
    <row r="566" ht="15.75" customHeight="1">
      <c r="A566" s="69"/>
      <c r="B566" s="69"/>
      <c r="C566" s="69"/>
      <c r="D566" s="4"/>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c r="AN566" s="69"/>
      <c r="AO566" s="69"/>
      <c r="AP566" s="69"/>
      <c r="AQ566" s="69"/>
      <c r="AR566" s="69"/>
      <c r="AS566" s="69"/>
      <c r="AT566" s="69"/>
      <c r="AU566" s="69"/>
      <c r="AV566" s="69"/>
      <c r="AW566" s="69"/>
      <c r="AX566" s="69"/>
      <c r="AY566" s="69"/>
    </row>
    <row r="567" ht="15.75" customHeight="1">
      <c r="A567" s="69"/>
      <c r="B567" s="69"/>
      <c r="C567" s="69"/>
      <c r="D567" s="4"/>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c r="AN567" s="69"/>
      <c r="AO567" s="69"/>
      <c r="AP567" s="69"/>
      <c r="AQ567" s="69"/>
      <c r="AR567" s="69"/>
      <c r="AS567" s="69"/>
      <c r="AT567" s="69"/>
      <c r="AU567" s="69"/>
      <c r="AV567" s="69"/>
      <c r="AW567" s="69"/>
      <c r="AX567" s="69"/>
      <c r="AY567" s="69"/>
    </row>
    <row r="568" ht="15.75" customHeight="1">
      <c r="A568" s="69"/>
      <c r="B568" s="69"/>
      <c r="C568" s="69"/>
      <c r="D568" s="4"/>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c r="AP568" s="69"/>
      <c r="AQ568" s="69"/>
      <c r="AR568" s="69"/>
      <c r="AS568" s="69"/>
      <c r="AT568" s="69"/>
      <c r="AU568" s="69"/>
      <c r="AV568" s="69"/>
      <c r="AW568" s="69"/>
      <c r="AX568" s="69"/>
      <c r="AY568" s="69"/>
    </row>
    <row r="569" ht="15.75" customHeight="1">
      <c r="A569" s="69"/>
      <c r="B569" s="69"/>
      <c r="C569" s="69"/>
      <c r="D569" s="4"/>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c r="AN569" s="69"/>
      <c r="AO569" s="69"/>
      <c r="AP569" s="69"/>
      <c r="AQ569" s="69"/>
      <c r="AR569" s="69"/>
      <c r="AS569" s="69"/>
      <c r="AT569" s="69"/>
      <c r="AU569" s="69"/>
      <c r="AV569" s="69"/>
      <c r="AW569" s="69"/>
      <c r="AX569" s="69"/>
      <c r="AY569" s="69"/>
    </row>
    <row r="570" ht="15.75" customHeight="1">
      <c r="A570" s="69"/>
      <c r="B570" s="69"/>
      <c r="C570" s="69"/>
      <c r="D570" s="4"/>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c r="AP570" s="69"/>
      <c r="AQ570" s="69"/>
      <c r="AR570" s="69"/>
      <c r="AS570" s="69"/>
      <c r="AT570" s="69"/>
      <c r="AU570" s="69"/>
      <c r="AV570" s="69"/>
      <c r="AW570" s="69"/>
      <c r="AX570" s="69"/>
      <c r="AY570" s="69"/>
    </row>
    <row r="571" ht="15.75" customHeight="1">
      <c r="A571" s="69"/>
      <c r="B571" s="69"/>
      <c r="C571" s="69"/>
      <c r="D571" s="4"/>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c r="AN571" s="69"/>
      <c r="AO571" s="69"/>
      <c r="AP571" s="69"/>
      <c r="AQ571" s="69"/>
      <c r="AR571" s="69"/>
      <c r="AS571" s="69"/>
      <c r="AT571" s="69"/>
      <c r="AU571" s="69"/>
      <c r="AV571" s="69"/>
      <c r="AW571" s="69"/>
      <c r="AX571" s="69"/>
      <c r="AY571" s="69"/>
    </row>
    <row r="572" ht="15.75" customHeight="1">
      <c r="A572" s="69"/>
      <c r="B572" s="69"/>
      <c r="C572" s="69"/>
      <c r="D572" s="4"/>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c r="AN572" s="69"/>
      <c r="AO572" s="69"/>
      <c r="AP572" s="69"/>
      <c r="AQ572" s="69"/>
      <c r="AR572" s="69"/>
      <c r="AS572" s="69"/>
      <c r="AT572" s="69"/>
      <c r="AU572" s="69"/>
      <c r="AV572" s="69"/>
      <c r="AW572" s="69"/>
      <c r="AX572" s="69"/>
      <c r="AY572" s="69"/>
    </row>
    <row r="573" ht="15.75" customHeight="1">
      <c r="A573" s="69"/>
      <c r="B573" s="69"/>
      <c r="C573" s="69"/>
      <c r="D573" s="4"/>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c r="AN573" s="69"/>
      <c r="AO573" s="69"/>
      <c r="AP573" s="69"/>
      <c r="AQ573" s="69"/>
      <c r="AR573" s="69"/>
      <c r="AS573" s="69"/>
      <c r="AT573" s="69"/>
      <c r="AU573" s="69"/>
      <c r="AV573" s="69"/>
      <c r="AW573" s="69"/>
      <c r="AX573" s="69"/>
      <c r="AY573" s="69"/>
    </row>
    <row r="574" ht="15.75" customHeight="1">
      <c r="A574" s="69"/>
      <c r="B574" s="69"/>
      <c r="C574" s="69"/>
      <c r="D574" s="4"/>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c r="AN574" s="69"/>
      <c r="AO574" s="69"/>
      <c r="AP574" s="69"/>
      <c r="AQ574" s="69"/>
      <c r="AR574" s="69"/>
      <c r="AS574" s="69"/>
      <c r="AT574" s="69"/>
      <c r="AU574" s="69"/>
      <c r="AV574" s="69"/>
      <c r="AW574" s="69"/>
      <c r="AX574" s="69"/>
      <c r="AY574" s="69"/>
    </row>
    <row r="575" ht="15.75" customHeight="1">
      <c r="A575" s="69"/>
      <c r="B575" s="69"/>
      <c r="C575" s="69"/>
      <c r="D575" s="4"/>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c r="AN575" s="69"/>
      <c r="AO575" s="69"/>
      <c r="AP575" s="69"/>
      <c r="AQ575" s="69"/>
      <c r="AR575" s="69"/>
      <c r="AS575" s="69"/>
      <c r="AT575" s="69"/>
      <c r="AU575" s="69"/>
      <c r="AV575" s="69"/>
      <c r="AW575" s="69"/>
      <c r="AX575" s="69"/>
      <c r="AY575" s="69"/>
    </row>
    <row r="576" ht="15.75" customHeight="1">
      <c r="A576" s="69"/>
      <c r="B576" s="69"/>
      <c r="C576" s="69"/>
      <c r="D576" s="4"/>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c r="AP576" s="69"/>
      <c r="AQ576" s="69"/>
      <c r="AR576" s="69"/>
      <c r="AS576" s="69"/>
      <c r="AT576" s="69"/>
      <c r="AU576" s="69"/>
      <c r="AV576" s="69"/>
      <c r="AW576" s="69"/>
      <c r="AX576" s="69"/>
      <c r="AY576" s="69"/>
    </row>
    <row r="577" ht="15.75" customHeight="1">
      <c r="A577" s="69"/>
      <c r="B577" s="69"/>
      <c r="C577" s="69"/>
      <c r="D577" s="4"/>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c r="AN577" s="69"/>
      <c r="AO577" s="69"/>
      <c r="AP577" s="69"/>
      <c r="AQ577" s="69"/>
      <c r="AR577" s="69"/>
      <c r="AS577" s="69"/>
      <c r="AT577" s="69"/>
      <c r="AU577" s="69"/>
      <c r="AV577" s="69"/>
      <c r="AW577" s="69"/>
      <c r="AX577" s="69"/>
      <c r="AY577" s="69"/>
    </row>
    <row r="578" ht="15.75" customHeight="1">
      <c r="A578" s="69"/>
      <c r="B578" s="69"/>
      <c r="C578" s="69"/>
      <c r="D578" s="4"/>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c r="AP578" s="69"/>
      <c r="AQ578" s="69"/>
      <c r="AR578" s="69"/>
      <c r="AS578" s="69"/>
      <c r="AT578" s="69"/>
      <c r="AU578" s="69"/>
      <c r="AV578" s="69"/>
      <c r="AW578" s="69"/>
      <c r="AX578" s="69"/>
      <c r="AY578" s="69"/>
    </row>
    <row r="579" ht="15.75" customHeight="1">
      <c r="A579" s="69"/>
      <c r="B579" s="69"/>
      <c r="C579" s="69"/>
      <c r="D579" s="4"/>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c r="AN579" s="69"/>
      <c r="AO579" s="69"/>
      <c r="AP579" s="69"/>
      <c r="AQ579" s="69"/>
      <c r="AR579" s="69"/>
      <c r="AS579" s="69"/>
      <c r="AT579" s="69"/>
      <c r="AU579" s="69"/>
      <c r="AV579" s="69"/>
      <c r="AW579" s="69"/>
      <c r="AX579" s="69"/>
      <c r="AY579" s="69"/>
    </row>
    <row r="580" ht="15.75" customHeight="1">
      <c r="A580" s="69"/>
      <c r="B580" s="69"/>
      <c r="C580" s="69"/>
      <c r="D580" s="4"/>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c r="AN580" s="69"/>
      <c r="AO580" s="69"/>
      <c r="AP580" s="69"/>
      <c r="AQ580" s="69"/>
      <c r="AR580" s="69"/>
      <c r="AS580" s="69"/>
      <c r="AT580" s="69"/>
      <c r="AU580" s="69"/>
      <c r="AV580" s="69"/>
      <c r="AW580" s="69"/>
      <c r="AX580" s="69"/>
      <c r="AY580" s="69"/>
    </row>
    <row r="581" ht="15.75" customHeight="1">
      <c r="A581" s="69"/>
      <c r="B581" s="69"/>
      <c r="C581" s="69"/>
      <c r="D581" s="4"/>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c r="AN581" s="69"/>
      <c r="AO581" s="69"/>
      <c r="AP581" s="69"/>
      <c r="AQ581" s="69"/>
      <c r="AR581" s="69"/>
      <c r="AS581" s="69"/>
      <c r="AT581" s="69"/>
      <c r="AU581" s="69"/>
      <c r="AV581" s="69"/>
      <c r="AW581" s="69"/>
      <c r="AX581" s="69"/>
      <c r="AY581" s="69"/>
    </row>
    <row r="582" ht="15.75" customHeight="1">
      <c r="A582" s="69"/>
      <c r="B582" s="69"/>
      <c r="C582" s="69"/>
      <c r="D582" s="4"/>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c r="AO582" s="69"/>
      <c r="AP582" s="69"/>
      <c r="AQ582" s="69"/>
      <c r="AR582" s="69"/>
      <c r="AS582" s="69"/>
      <c r="AT582" s="69"/>
      <c r="AU582" s="69"/>
      <c r="AV582" s="69"/>
      <c r="AW582" s="69"/>
      <c r="AX582" s="69"/>
      <c r="AY582" s="69"/>
    </row>
    <row r="583" ht="15.75" customHeight="1">
      <c r="A583" s="69"/>
      <c r="B583" s="69"/>
      <c r="C583" s="69"/>
      <c r="D583" s="4"/>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c r="AO583" s="69"/>
      <c r="AP583" s="69"/>
      <c r="AQ583" s="69"/>
      <c r="AR583" s="69"/>
      <c r="AS583" s="69"/>
      <c r="AT583" s="69"/>
      <c r="AU583" s="69"/>
      <c r="AV583" s="69"/>
      <c r="AW583" s="69"/>
      <c r="AX583" s="69"/>
      <c r="AY583" s="69"/>
    </row>
    <row r="584" ht="15.75" customHeight="1">
      <c r="A584" s="69"/>
      <c r="B584" s="69"/>
      <c r="C584" s="69"/>
      <c r="D584" s="4"/>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c r="AP584" s="69"/>
      <c r="AQ584" s="69"/>
      <c r="AR584" s="69"/>
      <c r="AS584" s="69"/>
      <c r="AT584" s="69"/>
      <c r="AU584" s="69"/>
      <c r="AV584" s="69"/>
      <c r="AW584" s="69"/>
      <c r="AX584" s="69"/>
      <c r="AY584" s="69"/>
    </row>
    <row r="585" ht="15.75" customHeight="1">
      <c r="A585" s="69"/>
      <c r="B585" s="69"/>
      <c r="C585" s="69"/>
      <c r="D585" s="4"/>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c r="AN585" s="69"/>
      <c r="AO585" s="69"/>
      <c r="AP585" s="69"/>
      <c r="AQ585" s="69"/>
      <c r="AR585" s="69"/>
      <c r="AS585" s="69"/>
      <c r="AT585" s="69"/>
      <c r="AU585" s="69"/>
      <c r="AV585" s="69"/>
      <c r="AW585" s="69"/>
      <c r="AX585" s="69"/>
      <c r="AY585" s="69"/>
    </row>
    <row r="586" ht="15.75" customHeight="1">
      <c r="A586" s="69"/>
      <c r="B586" s="69"/>
      <c r="C586" s="69"/>
      <c r="D586" s="4"/>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c r="AP586" s="69"/>
      <c r="AQ586" s="69"/>
      <c r="AR586" s="69"/>
      <c r="AS586" s="69"/>
      <c r="AT586" s="69"/>
      <c r="AU586" s="69"/>
      <c r="AV586" s="69"/>
      <c r="AW586" s="69"/>
      <c r="AX586" s="69"/>
      <c r="AY586" s="69"/>
    </row>
    <row r="587" ht="15.75" customHeight="1">
      <c r="A587" s="69"/>
      <c r="B587" s="69"/>
      <c r="C587" s="69"/>
      <c r="D587" s="4"/>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c r="AN587" s="69"/>
      <c r="AO587" s="69"/>
      <c r="AP587" s="69"/>
      <c r="AQ587" s="69"/>
      <c r="AR587" s="69"/>
      <c r="AS587" s="69"/>
      <c r="AT587" s="69"/>
      <c r="AU587" s="69"/>
      <c r="AV587" s="69"/>
      <c r="AW587" s="69"/>
      <c r="AX587" s="69"/>
      <c r="AY587" s="69"/>
    </row>
    <row r="588" ht="15.75" customHeight="1">
      <c r="A588" s="69"/>
      <c r="B588" s="69"/>
      <c r="C588" s="69"/>
      <c r="D588" s="4"/>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c r="AN588" s="69"/>
      <c r="AO588" s="69"/>
      <c r="AP588" s="69"/>
      <c r="AQ588" s="69"/>
      <c r="AR588" s="69"/>
      <c r="AS588" s="69"/>
      <c r="AT588" s="69"/>
      <c r="AU588" s="69"/>
      <c r="AV588" s="69"/>
      <c r="AW588" s="69"/>
      <c r="AX588" s="69"/>
      <c r="AY588" s="69"/>
    </row>
    <row r="589" ht="15.75" customHeight="1">
      <c r="A589" s="69"/>
      <c r="B589" s="69"/>
      <c r="C589" s="69"/>
      <c r="D589" s="4"/>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c r="AN589" s="69"/>
      <c r="AO589" s="69"/>
      <c r="AP589" s="69"/>
      <c r="AQ589" s="69"/>
      <c r="AR589" s="69"/>
      <c r="AS589" s="69"/>
      <c r="AT589" s="69"/>
      <c r="AU589" s="69"/>
      <c r="AV589" s="69"/>
      <c r="AW589" s="69"/>
      <c r="AX589" s="69"/>
      <c r="AY589" s="69"/>
    </row>
    <row r="590" ht="15.75" customHeight="1">
      <c r="A590" s="69"/>
      <c r="B590" s="69"/>
      <c r="C590" s="69"/>
      <c r="D590" s="4"/>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c r="AN590" s="69"/>
      <c r="AO590" s="69"/>
      <c r="AP590" s="69"/>
      <c r="AQ590" s="69"/>
      <c r="AR590" s="69"/>
      <c r="AS590" s="69"/>
      <c r="AT590" s="69"/>
      <c r="AU590" s="69"/>
      <c r="AV590" s="69"/>
      <c r="AW590" s="69"/>
      <c r="AX590" s="69"/>
      <c r="AY590" s="69"/>
    </row>
    <row r="591" ht="15.75" customHeight="1">
      <c r="A591" s="69"/>
      <c r="B591" s="69"/>
      <c r="C591" s="69"/>
      <c r="D591" s="4"/>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c r="AN591" s="69"/>
      <c r="AO591" s="69"/>
      <c r="AP591" s="69"/>
      <c r="AQ591" s="69"/>
      <c r="AR591" s="69"/>
      <c r="AS591" s="69"/>
      <c r="AT591" s="69"/>
      <c r="AU591" s="69"/>
      <c r="AV591" s="69"/>
      <c r="AW591" s="69"/>
      <c r="AX591" s="69"/>
      <c r="AY591" s="69"/>
    </row>
    <row r="592" ht="15.75" customHeight="1">
      <c r="A592" s="69"/>
      <c r="B592" s="69"/>
      <c r="C592" s="69"/>
      <c r="D592" s="4"/>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c r="AP592" s="69"/>
      <c r="AQ592" s="69"/>
      <c r="AR592" s="69"/>
      <c r="AS592" s="69"/>
      <c r="AT592" s="69"/>
      <c r="AU592" s="69"/>
      <c r="AV592" s="69"/>
      <c r="AW592" s="69"/>
      <c r="AX592" s="69"/>
      <c r="AY592" s="69"/>
    </row>
    <row r="593" ht="15.75" customHeight="1">
      <c r="A593" s="69"/>
      <c r="B593" s="69"/>
      <c r="C593" s="69"/>
      <c r="D593" s="4"/>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c r="AN593" s="69"/>
      <c r="AO593" s="69"/>
      <c r="AP593" s="69"/>
      <c r="AQ593" s="69"/>
      <c r="AR593" s="69"/>
      <c r="AS593" s="69"/>
      <c r="AT593" s="69"/>
      <c r="AU593" s="69"/>
      <c r="AV593" s="69"/>
      <c r="AW593" s="69"/>
      <c r="AX593" s="69"/>
      <c r="AY593" s="69"/>
    </row>
    <row r="594" ht="15.75" customHeight="1">
      <c r="A594" s="69"/>
      <c r="B594" s="69"/>
      <c r="C594" s="69"/>
      <c r="D594" s="4"/>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c r="AP594" s="69"/>
      <c r="AQ594" s="69"/>
      <c r="AR594" s="69"/>
      <c r="AS594" s="69"/>
      <c r="AT594" s="69"/>
      <c r="AU594" s="69"/>
      <c r="AV594" s="69"/>
      <c r="AW594" s="69"/>
      <c r="AX594" s="69"/>
      <c r="AY594" s="69"/>
    </row>
    <row r="595" ht="15.75" customHeight="1">
      <c r="A595" s="69"/>
      <c r="B595" s="69"/>
      <c r="C595" s="69"/>
      <c r="D595" s="4"/>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c r="AN595" s="69"/>
      <c r="AO595" s="69"/>
      <c r="AP595" s="69"/>
      <c r="AQ595" s="69"/>
      <c r="AR595" s="69"/>
      <c r="AS595" s="69"/>
      <c r="AT595" s="69"/>
      <c r="AU595" s="69"/>
      <c r="AV595" s="69"/>
      <c r="AW595" s="69"/>
      <c r="AX595" s="69"/>
      <c r="AY595" s="69"/>
    </row>
    <row r="596" ht="15.75" customHeight="1">
      <c r="A596" s="69"/>
      <c r="B596" s="69"/>
      <c r="C596" s="69"/>
      <c r="D596" s="4"/>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c r="AN596" s="69"/>
      <c r="AO596" s="69"/>
      <c r="AP596" s="69"/>
      <c r="AQ596" s="69"/>
      <c r="AR596" s="69"/>
      <c r="AS596" s="69"/>
      <c r="AT596" s="69"/>
      <c r="AU596" s="69"/>
      <c r="AV596" s="69"/>
      <c r="AW596" s="69"/>
      <c r="AX596" s="69"/>
      <c r="AY596" s="69"/>
    </row>
    <row r="597" ht="15.75" customHeight="1">
      <c r="A597" s="69"/>
      <c r="B597" s="69"/>
      <c r="C597" s="69"/>
      <c r="D597" s="4"/>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c r="AN597" s="69"/>
      <c r="AO597" s="69"/>
      <c r="AP597" s="69"/>
      <c r="AQ597" s="69"/>
      <c r="AR597" s="69"/>
      <c r="AS597" s="69"/>
      <c r="AT597" s="69"/>
      <c r="AU597" s="69"/>
      <c r="AV597" s="69"/>
      <c r="AW597" s="69"/>
      <c r="AX597" s="69"/>
      <c r="AY597" s="69"/>
    </row>
    <row r="598" ht="15.75" customHeight="1">
      <c r="A598" s="69"/>
      <c r="B598" s="69"/>
      <c r="C598" s="69"/>
      <c r="D598" s="4"/>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c r="AN598" s="69"/>
      <c r="AO598" s="69"/>
      <c r="AP598" s="69"/>
      <c r="AQ598" s="69"/>
      <c r="AR598" s="69"/>
      <c r="AS598" s="69"/>
      <c r="AT598" s="69"/>
      <c r="AU598" s="69"/>
      <c r="AV598" s="69"/>
      <c r="AW598" s="69"/>
      <c r="AX598" s="69"/>
      <c r="AY598" s="69"/>
    </row>
    <row r="599" ht="15.75" customHeight="1">
      <c r="A599" s="69"/>
      <c r="B599" s="69"/>
      <c r="C599" s="69"/>
      <c r="D599" s="4"/>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c r="AN599" s="69"/>
      <c r="AO599" s="69"/>
      <c r="AP599" s="69"/>
      <c r="AQ599" s="69"/>
      <c r="AR599" s="69"/>
      <c r="AS599" s="69"/>
      <c r="AT599" s="69"/>
      <c r="AU599" s="69"/>
      <c r="AV599" s="69"/>
      <c r="AW599" s="69"/>
      <c r="AX599" s="69"/>
      <c r="AY599" s="69"/>
    </row>
    <row r="600" ht="15.75" customHeight="1">
      <c r="A600" s="69"/>
      <c r="B600" s="69"/>
      <c r="C600" s="69"/>
      <c r="D600" s="4"/>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c r="AP600" s="69"/>
      <c r="AQ600" s="69"/>
      <c r="AR600" s="69"/>
      <c r="AS600" s="69"/>
      <c r="AT600" s="69"/>
      <c r="AU600" s="69"/>
      <c r="AV600" s="69"/>
      <c r="AW600" s="69"/>
      <c r="AX600" s="69"/>
      <c r="AY600" s="69"/>
    </row>
    <row r="601" ht="15.75" customHeight="1">
      <c r="A601" s="69"/>
      <c r="B601" s="69"/>
      <c r="C601" s="69"/>
      <c r="D601" s="4"/>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c r="AN601" s="69"/>
      <c r="AO601" s="69"/>
      <c r="AP601" s="69"/>
      <c r="AQ601" s="69"/>
      <c r="AR601" s="69"/>
      <c r="AS601" s="69"/>
      <c r="AT601" s="69"/>
      <c r="AU601" s="69"/>
      <c r="AV601" s="69"/>
      <c r="AW601" s="69"/>
      <c r="AX601" s="69"/>
      <c r="AY601" s="69"/>
    </row>
    <row r="602" ht="15.75" customHeight="1">
      <c r="A602" s="69"/>
      <c r="B602" s="69"/>
      <c r="C602" s="69"/>
      <c r="D602" s="4"/>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c r="AP602" s="69"/>
      <c r="AQ602" s="69"/>
      <c r="AR602" s="69"/>
      <c r="AS602" s="69"/>
      <c r="AT602" s="69"/>
      <c r="AU602" s="69"/>
      <c r="AV602" s="69"/>
      <c r="AW602" s="69"/>
      <c r="AX602" s="69"/>
      <c r="AY602" s="69"/>
    </row>
    <row r="603" ht="15.75" customHeight="1">
      <c r="A603" s="69"/>
      <c r="B603" s="69"/>
      <c r="C603" s="69"/>
      <c r="D603" s="4"/>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c r="AN603" s="69"/>
      <c r="AO603" s="69"/>
      <c r="AP603" s="69"/>
      <c r="AQ603" s="69"/>
      <c r="AR603" s="69"/>
      <c r="AS603" s="69"/>
      <c r="AT603" s="69"/>
      <c r="AU603" s="69"/>
      <c r="AV603" s="69"/>
      <c r="AW603" s="69"/>
      <c r="AX603" s="69"/>
      <c r="AY603" s="69"/>
    </row>
    <row r="604" ht="15.75" customHeight="1">
      <c r="A604" s="69"/>
      <c r="B604" s="69"/>
      <c r="C604" s="69"/>
      <c r="D604" s="4"/>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c r="AN604" s="69"/>
      <c r="AO604" s="69"/>
      <c r="AP604" s="69"/>
      <c r="AQ604" s="69"/>
      <c r="AR604" s="69"/>
      <c r="AS604" s="69"/>
      <c r="AT604" s="69"/>
      <c r="AU604" s="69"/>
      <c r="AV604" s="69"/>
      <c r="AW604" s="69"/>
      <c r="AX604" s="69"/>
      <c r="AY604" s="69"/>
    </row>
    <row r="605" ht="15.75" customHeight="1">
      <c r="A605" s="69"/>
      <c r="B605" s="69"/>
      <c r="C605" s="69"/>
      <c r="D605" s="4"/>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c r="AN605" s="69"/>
      <c r="AO605" s="69"/>
      <c r="AP605" s="69"/>
      <c r="AQ605" s="69"/>
      <c r="AR605" s="69"/>
      <c r="AS605" s="69"/>
      <c r="AT605" s="69"/>
      <c r="AU605" s="69"/>
      <c r="AV605" s="69"/>
      <c r="AW605" s="69"/>
      <c r="AX605" s="69"/>
      <c r="AY605" s="69"/>
    </row>
    <row r="606" ht="15.75" customHeight="1">
      <c r="A606" s="69"/>
      <c r="B606" s="69"/>
      <c r="C606" s="69"/>
      <c r="D606" s="4"/>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c r="AN606" s="69"/>
      <c r="AO606" s="69"/>
      <c r="AP606" s="69"/>
      <c r="AQ606" s="69"/>
      <c r="AR606" s="69"/>
      <c r="AS606" s="69"/>
      <c r="AT606" s="69"/>
      <c r="AU606" s="69"/>
      <c r="AV606" s="69"/>
      <c r="AW606" s="69"/>
      <c r="AX606" s="69"/>
      <c r="AY606" s="69"/>
    </row>
    <row r="607" ht="15.75" customHeight="1">
      <c r="A607" s="69"/>
      <c r="B607" s="69"/>
      <c r="C607" s="69"/>
      <c r="D607" s="4"/>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c r="AN607" s="69"/>
      <c r="AO607" s="69"/>
      <c r="AP607" s="69"/>
      <c r="AQ607" s="69"/>
      <c r="AR607" s="69"/>
      <c r="AS607" s="69"/>
      <c r="AT607" s="69"/>
      <c r="AU607" s="69"/>
      <c r="AV607" s="69"/>
      <c r="AW607" s="69"/>
      <c r="AX607" s="69"/>
      <c r="AY607" s="69"/>
    </row>
    <row r="608" ht="15.75" customHeight="1">
      <c r="A608" s="69"/>
      <c r="B608" s="69"/>
      <c r="C608" s="69"/>
      <c r="D608" s="4"/>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c r="AP608" s="69"/>
      <c r="AQ608" s="69"/>
      <c r="AR608" s="69"/>
      <c r="AS608" s="69"/>
      <c r="AT608" s="69"/>
      <c r="AU608" s="69"/>
      <c r="AV608" s="69"/>
      <c r="AW608" s="69"/>
      <c r="AX608" s="69"/>
      <c r="AY608" s="69"/>
    </row>
    <row r="609" ht="15.75" customHeight="1">
      <c r="A609" s="69"/>
      <c r="B609" s="69"/>
      <c r="C609" s="69"/>
      <c r="D609" s="4"/>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c r="AN609" s="69"/>
      <c r="AO609" s="69"/>
      <c r="AP609" s="69"/>
      <c r="AQ609" s="69"/>
      <c r="AR609" s="69"/>
      <c r="AS609" s="69"/>
      <c r="AT609" s="69"/>
      <c r="AU609" s="69"/>
      <c r="AV609" s="69"/>
      <c r="AW609" s="69"/>
      <c r="AX609" s="69"/>
      <c r="AY609" s="69"/>
    </row>
    <row r="610" ht="15.75" customHeight="1">
      <c r="A610" s="69"/>
      <c r="B610" s="69"/>
      <c r="C610" s="69"/>
      <c r="D610" s="4"/>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c r="AP610" s="69"/>
      <c r="AQ610" s="69"/>
      <c r="AR610" s="69"/>
      <c r="AS610" s="69"/>
      <c r="AT610" s="69"/>
      <c r="AU610" s="69"/>
      <c r="AV610" s="69"/>
      <c r="AW610" s="69"/>
      <c r="AX610" s="69"/>
      <c r="AY610" s="69"/>
    </row>
    <row r="611" ht="15.75" customHeight="1">
      <c r="A611" s="69"/>
      <c r="B611" s="69"/>
      <c r="C611" s="69"/>
      <c r="D611" s="4"/>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c r="AN611" s="69"/>
      <c r="AO611" s="69"/>
      <c r="AP611" s="69"/>
      <c r="AQ611" s="69"/>
      <c r="AR611" s="69"/>
      <c r="AS611" s="69"/>
      <c r="AT611" s="69"/>
      <c r="AU611" s="69"/>
      <c r="AV611" s="69"/>
      <c r="AW611" s="69"/>
      <c r="AX611" s="69"/>
      <c r="AY611" s="69"/>
    </row>
    <row r="612" ht="15.75" customHeight="1">
      <c r="A612" s="69"/>
      <c r="B612" s="69"/>
      <c r="C612" s="69"/>
      <c r="D612" s="4"/>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c r="AO612" s="69"/>
      <c r="AP612" s="69"/>
      <c r="AQ612" s="69"/>
      <c r="AR612" s="69"/>
      <c r="AS612" s="69"/>
      <c r="AT612" s="69"/>
      <c r="AU612" s="69"/>
      <c r="AV612" s="69"/>
      <c r="AW612" s="69"/>
      <c r="AX612" s="69"/>
      <c r="AY612" s="69"/>
    </row>
    <row r="613" ht="15.75" customHeight="1">
      <c r="A613" s="69"/>
      <c r="B613" s="69"/>
      <c r="C613" s="69"/>
      <c r="D613" s="4"/>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c r="AN613" s="69"/>
      <c r="AO613" s="69"/>
      <c r="AP613" s="69"/>
      <c r="AQ613" s="69"/>
      <c r="AR613" s="69"/>
      <c r="AS613" s="69"/>
      <c r="AT613" s="69"/>
      <c r="AU613" s="69"/>
      <c r="AV613" s="69"/>
      <c r="AW613" s="69"/>
      <c r="AX613" s="69"/>
      <c r="AY613" s="69"/>
    </row>
    <row r="614" ht="15.75" customHeight="1">
      <c r="A614" s="69"/>
      <c r="B614" s="69"/>
      <c r="C614" s="69"/>
      <c r="D614" s="4"/>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c r="AN614" s="69"/>
      <c r="AO614" s="69"/>
      <c r="AP614" s="69"/>
      <c r="AQ614" s="69"/>
      <c r="AR614" s="69"/>
      <c r="AS614" s="69"/>
      <c r="AT614" s="69"/>
      <c r="AU614" s="69"/>
      <c r="AV614" s="69"/>
      <c r="AW614" s="69"/>
      <c r="AX614" s="69"/>
      <c r="AY614" s="69"/>
    </row>
    <row r="615" ht="15.75" customHeight="1">
      <c r="A615" s="69"/>
      <c r="B615" s="69"/>
      <c r="C615" s="69"/>
      <c r="D615" s="4"/>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c r="AN615" s="69"/>
      <c r="AO615" s="69"/>
      <c r="AP615" s="69"/>
      <c r="AQ615" s="69"/>
      <c r="AR615" s="69"/>
      <c r="AS615" s="69"/>
      <c r="AT615" s="69"/>
      <c r="AU615" s="69"/>
      <c r="AV615" s="69"/>
      <c r="AW615" s="69"/>
      <c r="AX615" s="69"/>
      <c r="AY615" s="69"/>
    </row>
    <row r="616" ht="15.75" customHeight="1">
      <c r="A616" s="69"/>
      <c r="B616" s="69"/>
      <c r="C616" s="69"/>
      <c r="D616" s="4"/>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69"/>
    </row>
    <row r="617" ht="15.75" customHeight="1">
      <c r="A617" s="69"/>
      <c r="B617" s="69"/>
      <c r="C617" s="69"/>
      <c r="D617" s="4"/>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c r="AN617" s="69"/>
      <c r="AO617" s="69"/>
      <c r="AP617" s="69"/>
      <c r="AQ617" s="69"/>
      <c r="AR617" s="69"/>
      <c r="AS617" s="69"/>
      <c r="AT617" s="69"/>
      <c r="AU617" s="69"/>
      <c r="AV617" s="69"/>
      <c r="AW617" s="69"/>
      <c r="AX617" s="69"/>
      <c r="AY617" s="69"/>
    </row>
    <row r="618" ht="15.75" customHeight="1">
      <c r="A618" s="69"/>
      <c r="B618" s="69"/>
      <c r="C618" s="69"/>
      <c r="D618" s="4"/>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c r="AP618" s="69"/>
      <c r="AQ618" s="69"/>
      <c r="AR618" s="69"/>
      <c r="AS618" s="69"/>
      <c r="AT618" s="69"/>
      <c r="AU618" s="69"/>
      <c r="AV618" s="69"/>
      <c r="AW618" s="69"/>
      <c r="AX618" s="69"/>
      <c r="AY618" s="69"/>
    </row>
    <row r="619" ht="15.75" customHeight="1">
      <c r="A619" s="69"/>
      <c r="B619" s="69"/>
      <c r="C619" s="69"/>
      <c r="D619" s="4"/>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c r="AN619" s="69"/>
      <c r="AO619" s="69"/>
      <c r="AP619" s="69"/>
      <c r="AQ619" s="69"/>
      <c r="AR619" s="69"/>
      <c r="AS619" s="69"/>
      <c r="AT619" s="69"/>
      <c r="AU619" s="69"/>
      <c r="AV619" s="69"/>
      <c r="AW619" s="69"/>
      <c r="AX619" s="69"/>
      <c r="AY619" s="69"/>
    </row>
    <row r="620" ht="15.75" customHeight="1">
      <c r="A620" s="69"/>
      <c r="B620" s="69"/>
      <c r="C620" s="69"/>
      <c r="D620" s="4"/>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c r="AN620" s="69"/>
      <c r="AO620" s="69"/>
      <c r="AP620" s="69"/>
      <c r="AQ620" s="69"/>
      <c r="AR620" s="69"/>
      <c r="AS620" s="69"/>
      <c r="AT620" s="69"/>
      <c r="AU620" s="69"/>
      <c r="AV620" s="69"/>
      <c r="AW620" s="69"/>
      <c r="AX620" s="69"/>
      <c r="AY620" s="69"/>
    </row>
    <row r="621" ht="15.75" customHeight="1">
      <c r="A621" s="69"/>
      <c r="B621" s="69"/>
      <c r="C621" s="69"/>
      <c r="D621" s="4"/>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c r="AN621" s="69"/>
      <c r="AO621" s="69"/>
      <c r="AP621" s="69"/>
      <c r="AQ621" s="69"/>
      <c r="AR621" s="69"/>
      <c r="AS621" s="69"/>
      <c r="AT621" s="69"/>
      <c r="AU621" s="69"/>
      <c r="AV621" s="69"/>
      <c r="AW621" s="69"/>
      <c r="AX621" s="69"/>
      <c r="AY621" s="69"/>
    </row>
    <row r="622" ht="15.75" customHeight="1">
      <c r="A622" s="69"/>
      <c r="B622" s="69"/>
      <c r="C622" s="69"/>
      <c r="D622" s="4"/>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c r="AN622" s="69"/>
      <c r="AO622" s="69"/>
      <c r="AP622" s="69"/>
      <c r="AQ622" s="69"/>
      <c r="AR622" s="69"/>
      <c r="AS622" s="69"/>
      <c r="AT622" s="69"/>
      <c r="AU622" s="69"/>
      <c r="AV622" s="69"/>
      <c r="AW622" s="69"/>
      <c r="AX622" s="69"/>
      <c r="AY622" s="69"/>
    </row>
    <row r="623" ht="15.75" customHeight="1">
      <c r="A623" s="69"/>
      <c r="B623" s="69"/>
      <c r="C623" s="69"/>
      <c r="D623" s="4"/>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c r="AN623" s="69"/>
      <c r="AO623" s="69"/>
      <c r="AP623" s="69"/>
      <c r="AQ623" s="69"/>
      <c r="AR623" s="69"/>
      <c r="AS623" s="69"/>
      <c r="AT623" s="69"/>
      <c r="AU623" s="69"/>
      <c r="AV623" s="69"/>
      <c r="AW623" s="69"/>
      <c r="AX623" s="69"/>
      <c r="AY623" s="69"/>
    </row>
    <row r="624" ht="15.75" customHeight="1">
      <c r="A624" s="69"/>
      <c r="B624" s="69"/>
      <c r="C624" s="69"/>
      <c r="D624" s="4"/>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c r="AP624" s="69"/>
      <c r="AQ624" s="69"/>
      <c r="AR624" s="69"/>
      <c r="AS624" s="69"/>
      <c r="AT624" s="69"/>
      <c r="AU624" s="69"/>
      <c r="AV624" s="69"/>
      <c r="AW624" s="69"/>
      <c r="AX624" s="69"/>
      <c r="AY624" s="69"/>
    </row>
    <row r="625" ht="15.75" customHeight="1">
      <c r="A625" s="69"/>
      <c r="B625" s="69"/>
      <c r="C625" s="69"/>
      <c r="D625" s="4"/>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c r="AN625" s="69"/>
      <c r="AO625" s="69"/>
      <c r="AP625" s="69"/>
      <c r="AQ625" s="69"/>
      <c r="AR625" s="69"/>
      <c r="AS625" s="69"/>
      <c r="AT625" s="69"/>
      <c r="AU625" s="69"/>
      <c r="AV625" s="69"/>
      <c r="AW625" s="69"/>
      <c r="AX625" s="69"/>
      <c r="AY625" s="69"/>
    </row>
    <row r="626" ht="15.75" customHeight="1">
      <c r="A626" s="69"/>
      <c r="B626" s="69"/>
      <c r="C626" s="69"/>
      <c r="D626" s="4"/>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c r="AP626" s="69"/>
      <c r="AQ626" s="69"/>
      <c r="AR626" s="69"/>
      <c r="AS626" s="69"/>
      <c r="AT626" s="69"/>
      <c r="AU626" s="69"/>
      <c r="AV626" s="69"/>
      <c r="AW626" s="69"/>
      <c r="AX626" s="69"/>
      <c r="AY626" s="69"/>
    </row>
    <row r="627" ht="15.75" customHeight="1">
      <c r="A627" s="69"/>
      <c r="B627" s="69"/>
      <c r="C627" s="69"/>
      <c r="D627" s="4"/>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c r="AN627" s="69"/>
      <c r="AO627" s="69"/>
      <c r="AP627" s="69"/>
      <c r="AQ627" s="69"/>
      <c r="AR627" s="69"/>
      <c r="AS627" s="69"/>
      <c r="AT627" s="69"/>
      <c r="AU627" s="69"/>
      <c r="AV627" s="69"/>
      <c r="AW627" s="69"/>
      <c r="AX627" s="69"/>
      <c r="AY627" s="69"/>
    </row>
    <row r="628" ht="15.75" customHeight="1">
      <c r="A628" s="69"/>
      <c r="B628" s="69"/>
      <c r="C628" s="69"/>
      <c r="D628" s="4"/>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c r="AN628" s="69"/>
      <c r="AO628" s="69"/>
      <c r="AP628" s="69"/>
      <c r="AQ628" s="69"/>
      <c r="AR628" s="69"/>
      <c r="AS628" s="69"/>
      <c r="AT628" s="69"/>
      <c r="AU628" s="69"/>
      <c r="AV628" s="69"/>
      <c r="AW628" s="69"/>
      <c r="AX628" s="69"/>
      <c r="AY628" s="69"/>
    </row>
    <row r="629" ht="15.75" customHeight="1">
      <c r="A629" s="69"/>
      <c r="B629" s="69"/>
      <c r="C629" s="69"/>
      <c r="D629" s="4"/>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c r="AN629" s="69"/>
      <c r="AO629" s="69"/>
      <c r="AP629" s="69"/>
      <c r="AQ629" s="69"/>
      <c r="AR629" s="69"/>
      <c r="AS629" s="69"/>
      <c r="AT629" s="69"/>
      <c r="AU629" s="69"/>
      <c r="AV629" s="69"/>
      <c r="AW629" s="69"/>
      <c r="AX629" s="69"/>
      <c r="AY629" s="69"/>
    </row>
    <row r="630" ht="15.75" customHeight="1">
      <c r="A630" s="69"/>
      <c r="B630" s="69"/>
      <c r="C630" s="69"/>
      <c r="D630" s="4"/>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c r="AN630" s="69"/>
      <c r="AO630" s="69"/>
      <c r="AP630" s="69"/>
      <c r="AQ630" s="69"/>
      <c r="AR630" s="69"/>
      <c r="AS630" s="69"/>
      <c r="AT630" s="69"/>
      <c r="AU630" s="69"/>
      <c r="AV630" s="69"/>
      <c r="AW630" s="69"/>
      <c r="AX630" s="69"/>
      <c r="AY630" s="69"/>
    </row>
    <row r="631" ht="15.75" customHeight="1">
      <c r="A631" s="69"/>
      <c r="B631" s="69"/>
      <c r="C631" s="69"/>
      <c r="D631" s="4"/>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c r="AN631" s="69"/>
      <c r="AO631" s="69"/>
      <c r="AP631" s="69"/>
      <c r="AQ631" s="69"/>
      <c r="AR631" s="69"/>
      <c r="AS631" s="69"/>
      <c r="AT631" s="69"/>
      <c r="AU631" s="69"/>
      <c r="AV631" s="69"/>
      <c r="AW631" s="69"/>
      <c r="AX631" s="69"/>
      <c r="AY631" s="69"/>
    </row>
    <row r="632" ht="15.75" customHeight="1">
      <c r="A632" s="69"/>
      <c r="B632" s="69"/>
      <c r="C632" s="69"/>
      <c r="D632" s="4"/>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c r="AP632" s="69"/>
      <c r="AQ632" s="69"/>
      <c r="AR632" s="69"/>
      <c r="AS632" s="69"/>
      <c r="AT632" s="69"/>
      <c r="AU632" s="69"/>
      <c r="AV632" s="69"/>
      <c r="AW632" s="69"/>
      <c r="AX632" s="69"/>
      <c r="AY632" s="69"/>
    </row>
    <row r="633" ht="15.75" customHeight="1">
      <c r="A633" s="69"/>
      <c r="B633" s="69"/>
      <c r="C633" s="69"/>
      <c r="D633" s="4"/>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c r="AN633" s="69"/>
      <c r="AO633" s="69"/>
      <c r="AP633" s="69"/>
      <c r="AQ633" s="69"/>
      <c r="AR633" s="69"/>
      <c r="AS633" s="69"/>
      <c r="AT633" s="69"/>
      <c r="AU633" s="69"/>
      <c r="AV633" s="69"/>
      <c r="AW633" s="69"/>
      <c r="AX633" s="69"/>
      <c r="AY633" s="69"/>
    </row>
    <row r="634" ht="15.75" customHeight="1">
      <c r="A634" s="69"/>
      <c r="B634" s="69"/>
      <c r="C634" s="69"/>
      <c r="D634" s="4"/>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c r="AP634" s="69"/>
      <c r="AQ634" s="69"/>
      <c r="AR634" s="69"/>
      <c r="AS634" s="69"/>
      <c r="AT634" s="69"/>
      <c r="AU634" s="69"/>
      <c r="AV634" s="69"/>
      <c r="AW634" s="69"/>
      <c r="AX634" s="69"/>
      <c r="AY634" s="69"/>
    </row>
    <row r="635" ht="15.75" customHeight="1">
      <c r="A635" s="69"/>
      <c r="B635" s="69"/>
      <c r="C635" s="69"/>
      <c r="D635" s="4"/>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c r="AN635" s="69"/>
      <c r="AO635" s="69"/>
      <c r="AP635" s="69"/>
      <c r="AQ635" s="69"/>
      <c r="AR635" s="69"/>
      <c r="AS635" s="69"/>
      <c r="AT635" s="69"/>
      <c r="AU635" s="69"/>
      <c r="AV635" s="69"/>
      <c r="AW635" s="69"/>
      <c r="AX635" s="69"/>
      <c r="AY635" s="69"/>
    </row>
    <row r="636" ht="15.75" customHeight="1">
      <c r="A636" s="69"/>
      <c r="B636" s="69"/>
      <c r="C636" s="69"/>
      <c r="D636" s="4"/>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c r="AN636" s="69"/>
      <c r="AO636" s="69"/>
      <c r="AP636" s="69"/>
      <c r="AQ636" s="69"/>
      <c r="AR636" s="69"/>
      <c r="AS636" s="69"/>
      <c r="AT636" s="69"/>
      <c r="AU636" s="69"/>
      <c r="AV636" s="69"/>
      <c r="AW636" s="69"/>
      <c r="AX636" s="69"/>
      <c r="AY636" s="69"/>
    </row>
    <row r="637" ht="15.75" customHeight="1">
      <c r="A637" s="69"/>
      <c r="B637" s="69"/>
      <c r="C637" s="69"/>
      <c r="D637" s="4"/>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c r="AN637" s="69"/>
      <c r="AO637" s="69"/>
      <c r="AP637" s="69"/>
      <c r="AQ637" s="69"/>
      <c r="AR637" s="69"/>
      <c r="AS637" s="69"/>
      <c r="AT637" s="69"/>
      <c r="AU637" s="69"/>
      <c r="AV637" s="69"/>
      <c r="AW637" s="69"/>
      <c r="AX637" s="69"/>
      <c r="AY637" s="69"/>
    </row>
    <row r="638" ht="15.75" customHeight="1">
      <c r="A638" s="69"/>
      <c r="B638" s="69"/>
      <c r="C638" s="69"/>
      <c r="D638" s="4"/>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c r="AN638" s="69"/>
      <c r="AO638" s="69"/>
      <c r="AP638" s="69"/>
      <c r="AQ638" s="69"/>
      <c r="AR638" s="69"/>
      <c r="AS638" s="69"/>
      <c r="AT638" s="69"/>
      <c r="AU638" s="69"/>
      <c r="AV638" s="69"/>
      <c r="AW638" s="69"/>
      <c r="AX638" s="69"/>
      <c r="AY638" s="69"/>
    </row>
    <row r="639" ht="15.75" customHeight="1">
      <c r="A639" s="69"/>
      <c r="B639" s="69"/>
      <c r="C639" s="69"/>
      <c r="D639" s="4"/>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c r="AN639" s="69"/>
      <c r="AO639" s="69"/>
      <c r="AP639" s="69"/>
      <c r="AQ639" s="69"/>
      <c r="AR639" s="69"/>
      <c r="AS639" s="69"/>
      <c r="AT639" s="69"/>
      <c r="AU639" s="69"/>
      <c r="AV639" s="69"/>
      <c r="AW639" s="69"/>
      <c r="AX639" s="69"/>
      <c r="AY639" s="69"/>
    </row>
    <row r="640" ht="15.75" customHeight="1">
      <c r="A640" s="69"/>
      <c r="B640" s="69"/>
      <c r="C640" s="69"/>
      <c r="D640" s="4"/>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c r="AP640" s="69"/>
      <c r="AQ640" s="69"/>
      <c r="AR640" s="69"/>
      <c r="AS640" s="69"/>
      <c r="AT640" s="69"/>
      <c r="AU640" s="69"/>
      <c r="AV640" s="69"/>
      <c r="AW640" s="69"/>
      <c r="AX640" s="69"/>
      <c r="AY640" s="69"/>
    </row>
    <row r="641" ht="15.75" customHeight="1">
      <c r="A641" s="69"/>
      <c r="B641" s="69"/>
      <c r="C641" s="69"/>
      <c r="D641" s="4"/>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c r="AP641" s="69"/>
      <c r="AQ641" s="69"/>
      <c r="AR641" s="69"/>
      <c r="AS641" s="69"/>
      <c r="AT641" s="69"/>
      <c r="AU641" s="69"/>
      <c r="AV641" s="69"/>
      <c r="AW641" s="69"/>
      <c r="AX641" s="69"/>
      <c r="AY641" s="69"/>
    </row>
    <row r="642" ht="15.75" customHeight="1">
      <c r="A642" s="69"/>
      <c r="B642" s="69"/>
      <c r="C642" s="69"/>
      <c r="D642" s="4"/>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c r="AP642" s="69"/>
      <c r="AQ642" s="69"/>
      <c r="AR642" s="69"/>
      <c r="AS642" s="69"/>
      <c r="AT642" s="69"/>
      <c r="AU642" s="69"/>
      <c r="AV642" s="69"/>
      <c r="AW642" s="69"/>
      <c r="AX642" s="69"/>
      <c r="AY642" s="69"/>
    </row>
    <row r="643" ht="15.75" customHeight="1">
      <c r="A643" s="69"/>
      <c r="B643" s="69"/>
      <c r="C643" s="69"/>
      <c r="D643" s="4"/>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c r="AN643" s="69"/>
      <c r="AO643" s="69"/>
      <c r="AP643" s="69"/>
      <c r="AQ643" s="69"/>
      <c r="AR643" s="69"/>
      <c r="AS643" s="69"/>
      <c r="AT643" s="69"/>
      <c r="AU643" s="69"/>
      <c r="AV643" s="69"/>
      <c r="AW643" s="69"/>
      <c r="AX643" s="69"/>
      <c r="AY643" s="69"/>
    </row>
    <row r="644" ht="15.75" customHeight="1">
      <c r="A644" s="69"/>
      <c r="B644" s="69"/>
      <c r="C644" s="69"/>
      <c r="D644" s="4"/>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c r="AN644" s="69"/>
      <c r="AO644" s="69"/>
      <c r="AP644" s="69"/>
      <c r="AQ644" s="69"/>
      <c r="AR644" s="69"/>
      <c r="AS644" s="69"/>
      <c r="AT644" s="69"/>
      <c r="AU644" s="69"/>
      <c r="AV644" s="69"/>
      <c r="AW644" s="69"/>
      <c r="AX644" s="69"/>
      <c r="AY644" s="69"/>
    </row>
    <row r="645" ht="15.75" customHeight="1">
      <c r="A645" s="69"/>
      <c r="B645" s="69"/>
      <c r="C645" s="69"/>
      <c r="D645" s="4"/>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c r="AN645" s="69"/>
      <c r="AO645" s="69"/>
      <c r="AP645" s="69"/>
      <c r="AQ645" s="69"/>
      <c r="AR645" s="69"/>
      <c r="AS645" s="69"/>
      <c r="AT645" s="69"/>
      <c r="AU645" s="69"/>
      <c r="AV645" s="69"/>
      <c r="AW645" s="69"/>
      <c r="AX645" s="69"/>
      <c r="AY645" s="69"/>
    </row>
    <row r="646" ht="15.75" customHeight="1">
      <c r="A646" s="69"/>
      <c r="B646" s="69"/>
      <c r="C646" s="69"/>
      <c r="D646" s="4"/>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c r="AN646" s="69"/>
      <c r="AO646" s="69"/>
      <c r="AP646" s="69"/>
      <c r="AQ646" s="69"/>
      <c r="AR646" s="69"/>
      <c r="AS646" s="69"/>
      <c r="AT646" s="69"/>
      <c r="AU646" s="69"/>
      <c r="AV646" s="69"/>
      <c r="AW646" s="69"/>
      <c r="AX646" s="69"/>
      <c r="AY646" s="69"/>
    </row>
    <row r="647" ht="15.75" customHeight="1">
      <c r="A647" s="69"/>
      <c r="B647" s="69"/>
      <c r="C647" s="69"/>
      <c r="D647" s="4"/>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c r="AN647" s="69"/>
      <c r="AO647" s="69"/>
      <c r="AP647" s="69"/>
      <c r="AQ647" s="69"/>
      <c r="AR647" s="69"/>
      <c r="AS647" s="69"/>
      <c r="AT647" s="69"/>
      <c r="AU647" s="69"/>
      <c r="AV647" s="69"/>
      <c r="AW647" s="69"/>
      <c r="AX647" s="69"/>
      <c r="AY647" s="69"/>
    </row>
    <row r="648" ht="15.75" customHeight="1">
      <c r="A648" s="69"/>
      <c r="B648" s="69"/>
      <c r="C648" s="69"/>
      <c r="D648" s="4"/>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c r="AP648" s="69"/>
      <c r="AQ648" s="69"/>
      <c r="AR648" s="69"/>
      <c r="AS648" s="69"/>
      <c r="AT648" s="69"/>
      <c r="AU648" s="69"/>
      <c r="AV648" s="69"/>
      <c r="AW648" s="69"/>
      <c r="AX648" s="69"/>
      <c r="AY648" s="69"/>
    </row>
    <row r="649" ht="15.75" customHeight="1">
      <c r="A649" s="69"/>
      <c r="B649" s="69"/>
      <c r="C649" s="69"/>
      <c r="D649" s="4"/>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c r="AN649" s="69"/>
      <c r="AO649" s="69"/>
      <c r="AP649" s="69"/>
      <c r="AQ649" s="69"/>
      <c r="AR649" s="69"/>
      <c r="AS649" s="69"/>
      <c r="AT649" s="69"/>
      <c r="AU649" s="69"/>
      <c r="AV649" s="69"/>
      <c r="AW649" s="69"/>
      <c r="AX649" s="69"/>
      <c r="AY649" s="69"/>
    </row>
    <row r="650" ht="15.75" customHeight="1">
      <c r="A650" s="69"/>
      <c r="B650" s="69"/>
      <c r="C650" s="69"/>
      <c r="D650" s="4"/>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c r="AP650" s="69"/>
      <c r="AQ650" s="69"/>
      <c r="AR650" s="69"/>
      <c r="AS650" s="69"/>
      <c r="AT650" s="69"/>
      <c r="AU650" s="69"/>
      <c r="AV650" s="69"/>
      <c r="AW650" s="69"/>
      <c r="AX650" s="69"/>
      <c r="AY650" s="69"/>
    </row>
    <row r="651" ht="15.75" customHeight="1">
      <c r="A651" s="69"/>
      <c r="B651" s="69"/>
      <c r="C651" s="69"/>
      <c r="D651" s="4"/>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c r="AN651" s="69"/>
      <c r="AO651" s="69"/>
      <c r="AP651" s="69"/>
      <c r="AQ651" s="69"/>
      <c r="AR651" s="69"/>
      <c r="AS651" s="69"/>
      <c r="AT651" s="69"/>
      <c r="AU651" s="69"/>
      <c r="AV651" s="69"/>
      <c r="AW651" s="69"/>
      <c r="AX651" s="69"/>
      <c r="AY651" s="69"/>
    </row>
    <row r="652" ht="15.75" customHeight="1">
      <c r="A652" s="69"/>
      <c r="B652" s="69"/>
      <c r="C652" s="69"/>
      <c r="D652" s="4"/>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c r="AN652" s="69"/>
      <c r="AO652" s="69"/>
      <c r="AP652" s="69"/>
      <c r="AQ652" s="69"/>
      <c r="AR652" s="69"/>
      <c r="AS652" s="69"/>
      <c r="AT652" s="69"/>
      <c r="AU652" s="69"/>
      <c r="AV652" s="69"/>
      <c r="AW652" s="69"/>
      <c r="AX652" s="69"/>
      <c r="AY652" s="69"/>
    </row>
    <row r="653" ht="15.75" customHeight="1">
      <c r="A653" s="69"/>
      <c r="B653" s="69"/>
      <c r="C653" s="69"/>
      <c r="D653" s="4"/>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c r="AN653" s="69"/>
      <c r="AO653" s="69"/>
      <c r="AP653" s="69"/>
      <c r="AQ653" s="69"/>
      <c r="AR653" s="69"/>
      <c r="AS653" s="69"/>
      <c r="AT653" s="69"/>
      <c r="AU653" s="69"/>
      <c r="AV653" s="69"/>
      <c r="AW653" s="69"/>
      <c r="AX653" s="69"/>
      <c r="AY653" s="69"/>
    </row>
    <row r="654" ht="15.75" customHeight="1">
      <c r="A654" s="69"/>
      <c r="B654" s="69"/>
      <c r="C654" s="69"/>
      <c r="D654" s="4"/>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c r="AN654" s="69"/>
      <c r="AO654" s="69"/>
      <c r="AP654" s="69"/>
      <c r="AQ654" s="69"/>
      <c r="AR654" s="69"/>
      <c r="AS654" s="69"/>
      <c r="AT654" s="69"/>
      <c r="AU654" s="69"/>
      <c r="AV654" s="69"/>
      <c r="AW654" s="69"/>
      <c r="AX654" s="69"/>
      <c r="AY654" s="69"/>
    </row>
    <row r="655" ht="15.75" customHeight="1">
      <c r="A655" s="69"/>
      <c r="B655" s="69"/>
      <c r="C655" s="69"/>
      <c r="D655" s="4"/>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c r="AO655" s="69"/>
      <c r="AP655" s="69"/>
      <c r="AQ655" s="69"/>
      <c r="AR655" s="69"/>
      <c r="AS655" s="69"/>
      <c r="AT655" s="69"/>
      <c r="AU655" s="69"/>
      <c r="AV655" s="69"/>
      <c r="AW655" s="69"/>
      <c r="AX655" s="69"/>
      <c r="AY655" s="69"/>
    </row>
    <row r="656" ht="15.75" customHeight="1">
      <c r="A656" s="69"/>
      <c r="B656" s="69"/>
      <c r="C656" s="69"/>
      <c r="D656" s="4"/>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c r="AP656" s="69"/>
      <c r="AQ656" s="69"/>
      <c r="AR656" s="69"/>
      <c r="AS656" s="69"/>
      <c r="AT656" s="69"/>
      <c r="AU656" s="69"/>
      <c r="AV656" s="69"/>
      <c r="AW656" s="69"/>
      <c r="AX656" s="69"/>
      <c r="AY656" s="69"/>
    </row>
    <row r="657" ht="15.75" customHeight="1">
      <c r="A657" s="69"/>
      <c r="B657" s="69"/>
      <c r="C657" s="69"/>
      <c r="D657" s="4"/>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c r="AN657" s="69"/>
      <c r="AO657" s="69"/>
      <c r="AP657" s="69"/>
      <c r="AQ657" s="69"/>
      <c r="AR657" s="69"/>
      <c r="AS657" s="69"/>
      <c r="AT657" s="69"/>
      <c r="AU657" s="69"/>
      <c r="AV657" s="69"/>
      <c r="AW657" s="69"/>
      <c r="AX657" s="69"/>
      <c r="AY657" s="69"/>
    </row>
    <row r="658" ht="15.75" customHeight="1">
      <c r="A658" s="69"/>
      <c r="B658" s="69"/>
      <c r="C658" s="69"/>
      <c r="D658" s="4"/>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c r="AP658" s="69"/>
      <c r="AQ658" s="69"/>
      <c r="AR658" s="69"/>
      <c r="AS658" s="69"/>
      <c r="AT658" s="69"/>
      <c r="AU658" s="69"/>
      <c r="AV658" s="69"/>
      <c r="AW658" s="69"/>
      <c r="AX658" s="69"/>
      <c r="AY658" s="69"/>
    </row>
    <row r="659" ht="15.75" customHeight="1">
      <c r="A659" s="69"/>
      <c r="B659" s="69"/>
      <c r="C659" s="69"/>
      <c r="D659" s="4"/>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c r="AN659" s="69"/>
      <c r="AO659" s="69"/>
      <c r="AP659" s="69"/>
      <c r="AQ659" s="69"/>
      <c r="AR659" s="69"/>
      <c r="AS659" s="69"/>
      <c r="AT659" s="69"/>
      <c r="AU659" s="69"/>
      <c r="AV659" s="69"/>
      <c r="AW659" s="69"/>
      <c r="AX659" s="69"/>
      <c r="AY659" s="69"/>
    </row>
    <row r="660" ht="15.75" customHeight="1">
      <c r="A660" s="69"/>
      <c r="B660" s="69"/>
      <c r="C660" s="69"/>
      <c r="D660" s="4"/>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c r="AN660" s="69"/>
      <c r="AO660" s="69"/>
      <c r="AP660" s="69"/>
      <c r="AQ660" s="69"/>
      <c r="AR660" s="69"/>
      <c r="AS660" s="69"/>
      <c r="AT660" s="69"/>
      <c r="AU660" s="69"/>
      <c r="AV660" s="69"/>
      <c r="AW660" s="69"/>
      <c r="AX660" s="69"/>
      <c r="AY660" s="69"/>
    </row>
    <row r="661" ht="15.75" customHeight="1">
      <c r="A661" s="69"/>
      <c r="B661" s="69"/>
      <c r="C661" s="69"/>
      <c r="D661" s="4"/>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c r="AN661" s="69"/>
      <c r="AO661" s="69"/>
      <c r="AP661" s="69"/>
      <c r="AQ661" s="69"/>
      <c r="AR661" s="69"/>
      <c r="AS661" s="69"/>
      <c r="AT661" s="69"/>
      <c r="AU661" s="69"/>
      <c r="AV661" s="69"/>
      <c r="AW661" s="69"/>
      <c r="AX661" s="69"/>
      <c r="AY661" s="69"/>
    </row>
    <row r="662" ht="15.75" customHeight="1">
      <c r="A662" s="69"/>
      <c r="B662" s="69"/>
      <c r="C662" s="69"/>
      <c r="D662" s="4"/>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c r="AN662" s="69"/>
      <c r="AO662" s="69"/>
      <c r="AP662" s="69"/>
      <c r="AQ662" s="69"/>
      <c r="AR662" s="69"/>
      <c r="AS662" s="69"/>
      <c r="AT662" s="69"/>
      <c r="AU662" s="69"/>
      <c r="AV662" s="69"/>
      <c r="AW662" s="69"/>
      <c r="AX662" s="69"/>
      <c r="AY662" s="69"/>
    </row>
    <row r="663" ht="15.75" customHeight="1">
      <c r="A663" s="69"/>
      <c r="B663" s="69"/>
      <c r="C663" s="69"/>
      <c r="D663" s="4"/>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c r="AN663" s="69"/>
      <c r="AO663" s="69"/>
      <c r="AP663" s="69"/>
      <c r="AQ663" s="69"/>
      <c r="AR663" s="69"/>
      <c r="AS663" s="69"/>
      <c r="AT663" s="69"/>
      <c r="AU663" s="69"/>
      <c r="AV663" s="69"/>
      <c r="AW663" s="69"/>
      <c r="AX663" s="69"/>
      <c r="AY663" s="69"/>
    </row>
    <row r="664" ht="15.75" customHeight="1">
      <c r="A664" s="69"/>
      <c r="B664" s="69"/>
      <c r="C664" s="69"/>
      <c r="D664" s="4"/>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c r="AP664" s="69"/>
      <c r="AQ664" s="69"/>
      <c r="AR664" s="69"/>
      <c r="AS664" s="69"/>
      <c r="AT664" s="69"/>
      <c r="AU664" s="69"/>
      <c r="AV664" s="69"/>
      <c r="AW664" s="69"/>
      <c r="AX664" s="69"/>
      <c r="AY664" s="69"/>
    </row>
    <row r="665" ht="15.75" customHeight="1">
      <c r="A665" s="69"/>
      <c r="B665" s="69"/>
      <c r="C665" s="69"/>
      <c r="D665" s="4"/>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c r="AN665" s="69"/>
      <c r="AO665" s="69"/>
      <c r="AP665" s="69"/>
      <c r="AQ665" s="69"/>
      <c r="AR665" s="69"/>
      <c r="AS665" s="69"/>
      <c r="AT665" s="69"/>
      <c r="AU665" s="69"/>
      <c r="AV665" s="69"/>
      <c r="AW665" s="69"/>
      <c r="AX665" s="69"/>
      <c r="AY665" s="69"/>
    </row>
    <row r="666" ht="15.75" customHeight="1">
      <c r="A666" s="69"/>
      <c r="B666" s="69"/>
      <c r="C666" s="69"/>
      <c r="D666" s="4"/>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c r="AP666" s="69"/>
      <c r="AQ666" s="69"/>
      <c r="AR666" s="69"/>
      <c r="AS666" s="69"/>
      <c r="AT666" s="69"/>
      <c r="AU666" s="69"/>
      <c r="AV666" s="69"/>
      <c r="AW666" s="69"/>
      <c r="AX666" s="69"/>
      <c r="AY666" s="69"/>
    </row>
    <row r="667" ht="15.75" customHeight="1">
      <c r="A667" s="69"/>
      <c r="B667" s="69"/>
      <c r="C667" s="69"/>
      <c r="D667" s="4"/>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c r="AN667" s="69"/>
      <c r="AO667" s="69"/>
      <c r="AP667" s="69"/>
      <c r="AQ667" s="69"/>
      <c r="AR667" s="69"/>
      <c r="AS667" s="69"/>
      <c r="AT667" s="69"/>
      <c r="AU667" s="69"/>
      <c r="AV667" s="69"/>
      <c r="AW667" s="69"/>
      <c r="AX667" s="69"/>
      <c r="AY667" s="69"/>
    </row>
    <row r="668" ht="15.75" customHeight="1">
      <c r="A668" s="69"/>
      <c r="B668" s="69"/>
      <c r="C668" s="69"/>
      <c r="D668" s="4"/>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c r="AN668" s="69"/>
      <c r="AO668" s="69"/>
      <c r="AP668" s="69"/>
      <c r="AQ668" s="69"/>
      <c r="AR668" s="69"/>
      <c r="AS668" s="69"/>
      <c r="AT668" s="69"/>
      <c r="AU668" s="69"/>
      <c r="AV668" s="69"/>
      <c r="AW668" s="69"/>
      <c r="AX668" s="69"/>
      <c r="AY668" s="69"/>
    </row>
    <row r="669" ht="15.75" customHeight="1">
      <c r="A669" s="69"/>
      <c r="B669" s="69"/>
      <c r="C669" s="69"/>
      <c r="D669" s="4"/>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c r="AW669" s="69"/>
      <c r="AX669" s="69"/>
      <c r="AY669" s="69"/>
    </row>
    <row r="670" ht="15.75" customHeight="1">
      <c r="A670" s="69"/>
      <c r="B670" s="69"/>
      <c r="C670" s="69"/>
      <c r="D670" s="4"/>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c r="AN670" s="69"/>
      <c r="AO670" s="69"/>
      <c r="AP670" s="69"/>
      <c r="AQ670" s="69"/>
      <c r="AR670" s="69"/>
      <c r="AS670" s="69"/>
      <c r="AT670" s="69"/>
      <c r="AU670" s="69"/>
      <c r="AV670" s="69"/>
      <c r="AW670" s="69"/>
      <c r="AX670" s="69"/>
      <c r="AY670" s="69"/>
    </row>
    <row r="671" ht="15.75" customHeight="1">
      <c r="A671" s="69"/>
      <c r="B671" s="69"/>
      <c r="C671" s="69"/>
      <c r="D671" s="4"/>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c r="AN671" s="69"/>
      <c r="AO671" s="69"/>
      <c r="AP671" s="69"/>
      <c r="AQ671" s="69"/>
      <c r="AR671" s="69"/>
      <c r="AS671" s="69"/>
      <c r="AT671" s="69"/>
      <c r="AU671" s="69"/>
      <c r="AV671" s="69"/>
      <c r="AW671" s="69"/>
      <c r="AX671" s="69"/>
      <c r="AY671" s="69"/>
    </row>
    <row r="672" ht="15.75" customHeight="1">
      <c r="A672" s="69"/>
      <c r="B672" s="69"/>
      <c r="C672" s="69"/>
      <c r="D672" s="4"/>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c r="AP672" s="69"/>
      <c r="AQ672" s="69"/>
      <c r="AR672" s="69"/>
      <c r="AS672" s="69"/>
      <c r="AT672" s="69"/>
      <c r="AU672" s="69"/>
      <c r="AV672" s="69"/>
      <c r="AW672" s="69"/>
      <c r="AX672" s="69"/>
      <c r="AY672" s="69"/>
    </row>
    <row r="673" ht="15.75" customHeight="1">
      <c r="A673" s="69"/>
      <c r="B673" s="69"/>
      <c r="C673" s="69"/>
      <c r="D673" s="4"/>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c r="AN673" s="69"/>
      <c r="AO673" s="69"/>
      <c r="AP673" s="69"/>
      <c r="AQ673" s="69"/>
      <c r="AR673" s="69"/>
      <c r="AS673" s="69"/>
      <c r="AT673" s="69"/>
      <c r="AU673" s="69"/>
      <c r="AV673" s="69"/>
      <c r="AW673" s="69"/>
      <c r="AX673" s="69"/>
      <c r="AY673" s="69"/>
    </row>
    <row r="674" ht="15.75" customHeight="1">
      <c r="A674" s="69"/>
      <c r="B674" s="69"/>
      <c r="C674" s="69"/>
      <c r="D674" s="4"/>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c r="AP674" s="69"/>
      <c r="AQ674" s="69"/>
      <c r="AR674" s="69"/>
      <c r="AS674" s="69"/>
      <c r="AT674" s="69"/>
      <c r="AU674" s="69"/>
      <c r="AV674" s="69"/>
      <c r="AW674" s="69"/>
      <c r="AX674" s="69"/>
      <c r="AY674" s="69"/>
    </row>
    <row r="675" ht="15.75" customHeight="1">
      <c r="A675" s="69"/>
      <c r="B675" s="69"/>
      <c r="C675" s="69"/>
      <c r="D675" s="4"/>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c r="AN675" s="69"/>
      <c r="AO675" s="69"/>
      <c r="AP675" s="69"/>
      <c r="AQ675" s="69"/>
      <c r="AR675" s="69"/>
      <c r="AS675" s="69"/>
      <c r="AT675" s="69"/>
      <c r="AU675" s="69"/>
      <c r="AV675" s="69"/>
      <c r="AW675" s="69"/>
      <c r="AX675" s="69"/>
      <c r="AY675" s="69"/>
    </row>
    <row r="676" ht="15.75" customHeight="1">
      <c r="A676" s="69"/>
      <c r="B676" s="69"/>
      <c r="C676" s="69"/>
      <c r="D676" s="4"/>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c r="AN676" s="69"/>
      <c r="AO676" s="69"/>
      <c r="AP676" s="69"/>
      <c r="AQ676" s="69"/>
      <c r="AR676" s="69"/>
      <c r="AS676" s="69"/>
      <c r="AT676" s="69"/>
      <c r="AU676" s="69"/>
      <c r="AV676" s="69"/>
      <c r="AW676" s="69"/>
      <c r="AX676" s="69"/>
      <c r="AY676" s="69"/>
    </row>
    <row r="677" ht="15.75" customHeight="1">
      <c r="A677" s="69"/>
      <c r="B677" s="69"/>
      <c r="C677" s="69"/>
      <c r="D677" s="4"/>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c r="AW677" s="69"/>
      <c r="AX677" s="69"/>
      <c r="AY677" s="69"/>
    </row>
    <row r="678" ht="15.75" customHeight="1">
      <c r="A678" s="69"/>
      <c r="B678" s="69"/>
      <c r="C678" s="69"/>
      <c r="D678" s="4"/>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c r="AN678" s="69"/>
      <c r="AO678" s="69"/>
      <c r="AP678" s="69"/>
      <c r="AQ678" s="69"/>
      <c r="AR678" s="69"/>
      <c r="AS678" s="69"/>
      <c r="AT678" s="69"/>
      <c r="AU678" s="69"/>
      <c r="AV678" s="69"/>
      <c r="AW678" s="69"/>
      <c r="AX678" s="69"/>
      <c r="AY678" s="69"/>
    </row>
    <row r="679" ht="15.75" customHeight="1">
      <c r="A679" s="69"/>
      <c r="B679" s="69"/>
      <c r="C679" s="69"/>
      <c r="D679" s="4"/>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c r="AN679" s="69"/>
      <c r="AO679" s="69"/>
      <c r="AP679" s="69"/>
      <c r="AQ679" s="69"/>
      <c r="AR679" s="69"/>
      <c r="AS679" s="69"/>
      <c r="AT679" s="69"/>
      <c r="AU679" s="69"/>
      <c r="AV679" s="69"/>
      <c r="AW679" s="69"/>
      <c r="AX679" s="69"/>
      <c r="AY679" s="69"/>
    </row>
    <row r="680" ht="15.75" customHeight="1">
      <c r="A680" s="69"/>
      <c r="B680" s="69"/>
      <c r="C680" s="69"/>
      <c r="D680" s="4"/>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c r="AP680" s="69"/>
      <c r="AQ680" s="69"/>
      <c r="AR680" s="69"/>
      <c r="AS680" s="69"/>
      <c r="AT680" s="69"/>
      <c r="AU680" s="69"/>
      <c r="AV680" s="69"/>
      <c r="AW680" s="69"/>
      <c r="AX680" s="69"/>
      <c r="AY680" s="69"/>
    </row>
    <row r="681" ht="15.75" customHeight="1">
      <c r="A681" s="69"/>
      <c r="B681" s="69"/>
      <c r="C681" s="69"/>
      <c r="D681" s="4"/>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c r="AN681" s="69"/>
      <c r="AO681" s="69"/>
      <c r="AP681" s="69"/>
      <c r="AQ681" s="69"/>
      <c r="AR681" s="69"/>
      <c r="AS681" s="69"/>
      <c r="AT681" s="69"/>
      <c r="AU681" s="69"/>
      <c r="AV681" s="69"/>
      <c r="AW681" s="69"/>
      <c r="AX681" s="69"/>
      <c r="AY681" s="69"/>
    </row>
    <row r="682" ht="15.75" customHeight="1">
      <c r="A682" s="69"/>
      <c r="B682" s="69"/>
      <c r="C682" s="69"/>
      <c r="D682" s="4"/>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c r="AP682" s="69"/>
      <c r="AQ682" s="69"/>
      <c r="AR682" s="69"/>
      <c r="AS682" s="69"/>
      <c r="AT682" s="69"/>
      <c r="AU682" s="69"/>
      <c r="AV682" s="69"/>
      <c r="AW682" s="69"/>
      <c r="AX682" s="69"/>
      <c r="AY682" s="69"/>
    </row>
    <row r="683" ht="15.75" customHeight="1">
      <c r="A683" s="69"/>
      <c r="B683" s="69"/>
      <c r="C683" s="69"/>
      <c r="D683" s="4"/>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c r="AN683" s="69"/>
      <c r="AO683" s="69"/>
      <c r="AP683" s="69"/>
      <c r="AQ683" s="69"/>
      <c r="AR683" s="69"/>
      <c r="AS683" s="69"/>
      <c r="AT683" s="69"/>
      <c r="AU683" s="69"/>
      <c r="AV683" s="69"/>
      <c r="AW683" s="69"/>
      <c r="AX683" s="69"/>
      <c r="AY683" s="69"/>
    </row>
    <row r="684" ht="15.75" customHeight="1">
      <c r="A684" s="69"/>
      <c r="B684" s="69"/>
      <c r="C684" s="69"/>
      <c r="D684" s="4"/>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c r="AN684" s="69"/>
      <c r="AO684" s="69"/>
      <c r="AP684" s="69"/>
      <c r="AQ684" s="69"/>
      <c r="AR684" s="69"/>
      <c r="AS684" s="69"/>
      <c r="AT684" s="69"/>
      <c r="AU684" s="69"/>
      <c r="AV684" s="69"/>
      <c r="AW684" s="69"/>
      <c r="AX684" s="69"/>
      <c r="AY684" s="69"/>
    </row>
    <row r="685" ht="15.75" customHeight="1">
      <c r="A685" s="69"/>
      <c r="B685" s="69"/>
      <c r="C685" s="69"/>
      <c r="D685" s="4"/>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c r="AN685" s="69"/>
      <c r="AO685" s="69"/>
      <c r="AP685" s="69"/>
      <c r="AQ685" s="69"/>
      <c r="AR685" s="69"/>
      <c r="AS685" s="69"/>
      <c r="AT685" s="69"/>
      <c r="AU685" s="69"/>
      <c r="AV685" s="69"/>
      <c r="AW685" s="69"/>
      <c r="AX685" s="69"/>
      <c r="AY685" s="69"/>
    </row>
    <row r="686" ht="15.75" customHeight="1">
      <c r="A686" s="69"/>
      <c r="B686" s="69"/>
      <c r="C686" s="69"/>
      <c r="D686" s="4"/>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c r="AN686" s="69"/>
      <c r="AO686" s="69"/>
      <c r="AP686" s="69"/>
      <c r="AQ686" s="69"/>
      <c r="AR686" s="69"/>
      <c r="AS686" s="69"/>
      <c r="AT686" s="69"/>
      <c r="AU686" s="69"/>
      <c r="AV686" s="69"/>
      <c r="AW686" s="69"/>
      <c r="AX686" s="69"/>
      <c r="AY686" s="69"/>
    </row>
    <row r="687" ht="15.75" customHeight="1">
      <c r="A687" s="69"/>
      <c r="B687" s="69"/>
      <c r="C687" s="69"/>
      <c r="D687" s="4"/>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c r="AN687" s="69"/>
      <c r="AO687" s="69"/>
      <c r="AP687" s="69"/>
      <c r="AQ687" s="69"/>
      <c r="AR687" s="69"/>
      <c r="AS687" s="69"/>
      <c r="AT687" s="69"/>
      <c r="AU687" s="69"/>
      <c r="AV687" s="69"/>
      <c r="AW687" s="69"/>
      <c r="AX687" s="69"/>
      <c r="AY687" s="69"/>
    </row>
    <row r="688" ht="15.75" customHeight="1">
      <c r="A688" s="69"/>
      <c r="B688" s="69"/>
      <c r="C688" s="69"/>
      <c r="D688" s="4"/>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c r="AP688" s="69"/>
      <c r="AQ688" s="69"/>
      <c r="AR688" s="69"/>
      <c r="AS688" s="69"/>
      <c r="AT688" s="69"/>
      <c r="AU688" s="69"/>
      <c r="AV688" s="69"/>
      <c r="AW688" s="69"/>
      <c r="AX688" s="69"/>
      <c r="AY688" s="69"/>
    </row>
    <row r="689" ht="15.75" customHeight="1">
      <c r="A689" s="69"/>
      <c r="B689" s="69"/>
      <c r="C689" s="69"/>
      <c r="D689" s="4"/>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c r="AN689" s="69"/>
      <c r="AO689" s="69"/>
      <c r="AP689" s="69"/>
      <c r="AQ689" s="69"/>
      <c r="AR689" s="69"/>
      <c r="AS689" s="69"/>
      <c r="AT689" s="69"/>
      <c r="AU689" s="69"/>
      <c r="AV689" s="69"/>
      <c r="AW689" s="69"/>
      <c r="AX689" s="69"/>
      <c r="AY689" s="69"/>
    </row>
    <row r="690" ht="15.75" customHeight="1">
      <c r="A690" s="69"/>
      <c r="B690" s="69"/>
      <c r="C690" s="69"/>
      <c r="D690" s="4"/>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c r="AP690" s="69"/>
      <c r="AQ690" s="69"/>
      <c r="AR690" s="69"/>
      <c r="AS690" s="69"/>
      <c r="AT690" s="69"/>
      <c r="AU690" s="69"/>
      <c r="AV690" s="69"/>
      <c r="AW690" s="69"/>
      <c r="AX690" s="69"/>
      <c r="AY690" s="69"/>
    </row>
    <row r="691" ht="15.75" customHeight="1">
      <c r="A691" s="69"/>
      <c r="B691" s="69"/>
      <c r="C691" s="69"/>
      <c r="D691" s="4"/>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c r="AN691" s="69"/>
      <c r="AO691" s="69"/>
      <c r="AP691" s="69"/>
      <c r="AQ691" s="69"/>
      <c r="AR691" s="69"/>
      <c r="AS691" s="69"/>
      <c r="AT691" s="69"/>
      <c r="AU691" s="69"/>
      <c r="AV691" s="69"/>
      <c r="AW691" s="69"/>
      <c r="AX691" s="69"/>
      <c r="AY691" s="69"/>
    </row>
    <row r="692" ht="15.75" customHeight="1">
      <c r="A692" s="69"/>
      <c r="B692" s="69"/>
      <c r="C692" s="69"/>
      <c r="D692" s="4"/>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c r="AN692" s="69"/>
      <c r="AO692" s="69"/>
      <c r="AP692" s="69"/>
      <c r="AQ692" s="69"/>
      <c r="AR692" s="69"/>
      <c r="AS692" s="69"/>
      <c r="AT692" s="69"/>
      <c r="AU692" s="69"/>
      <c r="AV692" s="69"/>
      <c r="AW692" s="69"/>
      <c r="AX692" s="69"/>
      <c r="AY692" s="69"/>
    </row>
    <row r="693" ht="15.75" customHeight="1">
      <c r="A693" s="69"/>
      <c r="B693" s="69"/>
      <c r="C693" s="69"/>
      <c r="D693" s="4"/>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c r="AN693" s="69"/>
      <c r="AO693" s="69"/>
      <c r="AP693" s="69"/>
      <c r="AQ693" s="69"/>
      <c r="AR693" s="69"/>
      <c r="AS693" s="69"/>
      <c r="AT693" s="69"/>
      <c r="AU693" s="69"/>
      <c r="AV693" s="69"/>
      <c r="AW693" s="69"/>
      <c r="AX693" s="69"/>
      <c r="AY693" s="69"/>
    </row>
    <row r="694" ht="15.75" customHeight="1">
      <c r="A694" s="69"/>
      <c r="B694" s="69"/>
      <c r="C694" s="69"/>
      <c r="D694" s="4"/>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c r="AP694" s="69"/>
      <c r="AQ694" s="69"/>
      <c r="AR694" s="69"/>
      <c r="AS694" s="69"/>
      <c r="AT694" s="69"/>
      <c r="AU694" s="69"/>
      <c r="AV694" s="69"/>
      <c r="AW694" s="69"/>
      <c r="AX694" s="69"/>
      <c r="AY694" s="69"/>
    </row>
    <row r="695" ht="15.75" customHeight="1">
      <c r="A695" s="69"/>
      <c r="B695" s="69"/>
      <c r="C695" s="69"/>
      <c r="D695" s="4"/>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c r="AN695" s="69"/>
      <c r="AO695" s="69"/>
      <c r="AP695" s="69"/>
      <c r="AQ695" s="69"/>
      <c r="AR695" s="69"/>
      <c r="AS695" s="69"/>
      <c r="AT695" s="69"/>
      <c r="AU695" s="69"/>
      <c r="AV695" s="69"/>
      <c r="AW695" s="69"/>
      <c r="AX695" s="69"/>
      <c r="AY695" s="69"/>
    </row>
    <row r="696" ht="15.75" customHeight="1">
      <c r="A696" s="69"/>
      <c r="B696" s="69"/>
      <c r="C696" s="69"/>
      <c r="D696" s="4"/>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c r="AP696" s="69"/>
      <c r="AQ696" s="69"/>
      <c r="AR696" s="69"/>
      <c r="AS696" s="69"/>
      <c r="AT696" s="69"/>
      <c r="AU696" s="69"/>
      <c r="AV696" s="69"/>
      <c r="AW696" s="69"/>
      <c r="AX696" s="69"/>
      <c r="AY696" s="69"/>
    </row>
    <row r="697" ht="15.75" customHeight="1">
      <c r="A697" s="69"/>
      <c r="B697" s="69"/>
      <c r="C697" s="69"/>
      <c r="D697" s="4"/>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c r="AN697" s="69"/>
      <c r="AO697" s="69"/>
      <c r="AP697" s="69"/>
      <c r="AQ697" s="69"/>
      <c r="AR697" s="69"/>
      <c r="AS697" s="69"/>
      <c r="AT697" s="69"/>
      <c r="AU697" s="69"/>
      <c r="AV697" s="69"/>
      <c r="AW697" s="69"/>
      <c r="AX697" s="69"/>
      <c r="AY697" s="69"/>
    </row>
    <row r="698" ht="15.75" customHeight="1">
      <c r="A698" s="69"/>
      <c r="B698" s="69"/>
      <c r="C698" s="69"/>
      <c r="D698" s="4"/>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c r="AN698" s="69"/>
      <c r="AO698" s="69"/>
      <c r="AP698" s="69"/>
      <c r="AQ698" s="69"/>
      <c r="AR698" s="69"/>
      <c r="AS698" s="69"/>
      <c r="AT698" s="69"/>
      <c r="AU698" s="69"/>
      <c r="AV698" s="69"/>
      <c r="AW698" s="69"/>
      <c r="AX698" s="69"/>
      <c r="AY698" s="69"/>
    </row>
    <row r="699" ht="15.75" customHeight="1">
      <c r="A699" s="69"/>
      <c r="B699" s="69"/>
      <c r="C699" s="69"/>
      <c r="D699" s="4"/>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c r="AN699" s="69"/>
      <c r="AO699" s="69"/>
      <c r="AP699" s="69"/>
      <c r="AQ699" s="69"/>
      <c r="AR699" s="69"/>
      <c r="AS699" s="69"/>
      <c r="AT699" s="69"/>
      <c r="AU699" s="69"/>
      <c r="AV699" s="69"/>
      <c r="AW699" s="69"/>
      <c r="AX699" s="69"/>
      <c r="AY699" s="69"/>
    </row>
    <row r="700" ht="15.75" customHeight="1">
      <c r="A700" s="69"/>
      <c r="B700" s="69"/>
      <c r="C700" s="69"/>
      <c r="D700" s="4"/>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c r="AN700" s="69"/>
      <c r="AO700" s="69"/>
      <c r="AP700" s="69"/>
      <c r="AQ700" s="69"/>
      <c r="AR700" s="69"/>
      <c r="AS700" s="69"/>
      <c r="AT700" s="69"/>
      <c r="AU700" s="69"/>
      <c r="AV700" s="69"/>
      <c r="AW700" s="69"/>
      <c r="AX700" s="69"/>
      <c r="AY700" s="69"/>
    </row>
    <row r="701" ht="15.75" customHeight="1">
      <c r="A701" s="69"/>
      <c r="B701" s="69"/>
      <c r="C701" s="69"/>
      <c r="D701" s="4"/>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c r="AN701" s="69"/>
      <c r="AO701" s="69"/>
      <c r="AP701" s="69"/>
      <c r="AQ701" s="69"/>
      <c r="AR701" s="69"/>
      <c r="AS701" s="69"/>
      <c r="AT701" s="69"/>
      <c r="AU701" s="69"/>
      <c r="AV701" s="69"/>
      <c r="AW701" s="69"/>
      <c r="AX701" s="69"/>
      <c r="AY701" s="69"/>
    </row>
    <row r="702" ht="15.75" customHeight="1">
      <c r="A702" s="69"/>
      <c r="B702" s="69"/>
      <c r="C702" s="69"/>
      <c r="D702" s="4"/>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c r="AP702" s="69"/>
      <c r="AQ702" s="69"/>
      <c r="AR702" s="69"/>
      <c r="AS702" s="69"/>
      <c r="AT702" s="69"/>
      <c r="AU702" s="69"/>
      <c r="AV702" s="69"/>
      <c r="AW702" s="69"/>
      <c r="AX702" s="69"/>
      <c r="AY702" s="69"/>
    </row>
    <row r="703" ht="15.75" customHeight="1">
      <c r="A703" s="69"/>
      <c r="B703" s="69"/>
      <c r="C703" s="69"/>
      <c r="D703" s="4"/>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c r="AN703" s="69"/>
      <c r="AO703" s="69"/>
      <c r="AP703" s="69"/>
      <c r="AQ703" s="69"/>
      <c r="AR703" s="69"/>
      <c r="AS703" s="69"/>
      <c r="AT703" s="69"/>
      <c r="AU703" s="69"/>
      <c r="AV703" s="69"/>
      <c r="AW703" s="69"/>
      <c r="AX703" s="69"/>
      <c r="AY703" s="69"/>
    </row>
    <row r="704" ht="15.75" customHeight="1">
      <c r="A704" s="69"/>
      <c r="B704" s="69"/>
      <c r="C704" s="69"/>
      <c r="D704" s="4"/>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c r="AP704" s="69"/>
      <c r="AQ704" s="69"/>
      <c r="AR704" s="69"/>
      <c r="AS704" s="69"/>
      <c r="AT704" s="69"/>
      <c r="AU704" s="69"/>
      <c r="AV704" s="69"/>
      <c r="AW704" s="69"/>
      <c r="AX704" s="69"/>
      <c r="AY704" s="69"/>
    </row>
    <row r="705" ht="15.75" customHeight="1">
      <c r="A705" s="69"/>
      <c r="B705" s="69"/>
      <c r="C705" s="69"/>
      <c r="D705" s="4"/>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c r="AN705" s="69"/>
      <c r="AO705" s="69"/>
      <c r="AP705" s="69"/>
      <c r="AQ705" s="69"/>
      <c r="AR705" s="69"/>
      <c r="AS705" s="69"/>
      <c r="AT705" s="69"/>
      <c r="AU705" s="69"/>
      <c r="AV705" s="69"/>
      <c r="AW705" s="69"/>
      <c r="AX705" s="69"/>
      <c r="AY705" s="69"/>
    </row>
    <row r="706" ht="15.75" customHeight="1">
      <c r="A706" s="69"/>
      <c r="B706" s="69"/>
      <c r="C706" s="69"/>
      <c r="D706" s="4"/>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c r="AN706" s="69"/>
      <c r="AO706" s="69"/>
      <c r="AP706" s="69"/>
      <c r="AQ706" s="69"/>
      <c r="AR706" s="69"/>
      <c r="AS706" s="69"/>
      <c r="AT706" s="69"/>
      <c r="AU706" s="69"/>
      <c r="AV706" s="69"/>
      <c r="AW706" s="69"/>
      <c r="AX706" s="69"/>
      <c r="AY706" s="69"/>
    </row>
    <row r="707" ht="15.75" customHeight="1">
      <c r="A707" s="69"/>
      <c r="B707" s="69"/>
      <c r="C707" s="69"/>
      <c r="D707" s="4"/>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c r="AN707" s="69"/>
      <c r="AO707" s="69"/>
      <c r="AP707" s="69"/>
      <c r="AQ707" s="69"/>
      <c r="AR707" s="69"/>
      <c r="AS707" s="69"/>
      <c r="AT707" s="69"/>
      <c r="AU707" s="69"/>
      <c r="AV707" s="69"/>
      <c r="AW707" s="69"/>
      <c r="AX707" s="69"/>
      <c r="AY707" s="69"/>
    </row>
    <row r="708" ht="15.75" customHeight="1">
      <c r="A708" s="69"/>
      <c r="B708" s="69"/>
      <c r="C708" s="69"/>
      <c r="D708" s="4"/>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c r="AN708" s="69"/>
      <c r="AO708" s="69"/>
      <c r="AP708" s="69"/>
      <c r="AQ708" s="69"/>
      <c r="AR708" s="69"/>
      <c r="AS708" s="69"/>
      <c r="AT708" s="69"/>
      <c r="AU708" s="69"/>
      <c r="AV708" s="69"/>
      <c r="AW708" s="69"/>
      <c r="AX708" s="69"/>
      <c r="AY708" s="69"/>
    </row>
    <row r="709" ht="15.75" customHeight="1">
      <c r="A709" s="69"/>
      <c r="B709" s="69"/>
      <c r="C709" s="69"/>
      <c r="D709" s="4"/>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c r="AN709" s="69"/>
      <c r="AO709" s="69"/>
      <c r="AP709" s="69"/>
      <c r="AQ709" s="69"/>
      <c r="AR709" s="69"/>
      <c r="AS709" s="69"/>
      <c r="AT709" s="69"/>
      <c r="AU709" s="69"/>
      <c r="AV709" s="69"/>
      <c r="AW709" s="69"/>
      <c r="AX709" s="69"/>
      <c r="AY709" s="69"/>
    </row>
    <row r="710" ht="15.75" customHeight="1">
      <c r="A710" s="69"/>
      <c r="B710" s="69"/>
      <c r="C710" s="69"/>
      <c r="D710" s="4"/>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c r="AP710" s="69"/>
      <c r="AQ710" s="69"/>
      <c r="AR710" s="69"/>
      <c r="AS710" s="69"/>
      <c r="AT710" s="69"/>
      <c r="AU710" s="69"/>
      <c r="AV710" s="69"/>
      <c r="AW710" s="69"/>
      <c r="AX710" s="69"/>
      <c r="AY710" s="69"/>
    </row>
    <row r="711" ht="15.75" customHeight="1">
      <c r="A711" s="69"/>
      <c r="B711" s="69"/>
      <c r="C711" s="69"/>
      <c r="D711" s="4"/>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c r="AN711" s="69"/>
      <c r="AO711" s="69"/>
      <c r="AP711" s="69"/>
      <c r="AQ711" s="69"/>
      <c r="AR711" s="69"/>
      <c r="AS711" s="69"/>
      <c r="AT711" s="69"/>
      <c r="AU711" s="69"/>
      <c r="AV711" s="69"/>
      <c r="AW711" s="69"/>
      <c r="AX711" s="69"/>
      <c r="AY711" s="69"/>
    </row>
    <row r="712" ht="15.75" customHeight="1">
      <c r="A712" s="69"/>
      <c r="B712" s="69"/>
      <c r="C712" s="69"/>
      <c r="D712" s="4"/>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c r="AP712" s="69"/>
      <c r="AQ712" s="69"/>
      <c r="AR712" s="69"/>
      <c r="AS712" s="69"/>
      <c r="AT712" s="69"/>
      <c r="AU712" s="69"/>
      <c r="AV712" s="69"/>
      <c r="AW712" s="69"/>
      <c r="AX712" s="69"/>
      <c r="AY712" s="69"/>
    </row>
    <row r="713" ht="15.75" customHeight="1">
      <c r="A713" s="69"/>
      <c r="B713" s="69"/>
      <c r="C713" s="69"/>
      <c r="D713" s="4"/>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c r="AN713" s="69"/>
      <c r="AO713" s="69"/>
      <c r="AP713" s="69"/>
      <c r="AQ713" s="69"/>
      <c r="AR713" s="69"/>
      <c r="AS713" s="69"/>
      <c r="AT713" s="69"/>
      <c r="AU713" s="69"/>
      <c r="AV713" s="69"/>
      <c r="AW713" s="69"/>
      <c r="AX713" s="69"/>
      <c r="AY713" s="69"/>
    </row>
    <row r="714" ht="15.75" customHeight="1">
      <c r="A714" s="69"/>
      <c r="B714" s="69"/>
      <c r="C714" s="69"/>
      <c r="D714" s="4"/>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c r="AN714" s="69"/>
      <c r="AO714" s="69"/>
      <c r="AP714" s="69"/>
      <c r="AQ714" s="69"/>
      <c r="AR714" s="69"/>
      <c r="AS714" s="69"/>
      <c r="AT714" s="69"/>
      <c r="AU714" s="69"/>
      <c r="AV714" s="69"/>
      <c r="AW714" s="69"/>
      <c r="AX714" s="69"/>
      <c r="AY714" s="69"/>
    </row>
    <row r="715" ht="15.75" customHeight="1">
      <c r="A715" s="69"/>
      <c r="B715" s="69"/>
      <c r="C715" s="69"/>
      <c r="D715" s="4"/>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c r="AN715" s="69"/>
      <c r="AO715" s="69"/>
      <c r="AP715" s="69"/>
      <c r="AQ715" s="69"/>
      <c r="AR715" s="69"/>
      <c r="AS715" s="69"/>
      <c r="AT715" s="69"/>
      <c r="AU715" s="69"/>
      <c r="AV715" s="69"/>
      <c r="AW715" s="69"/>
      <c r="AX715" s="69"/>
      <c r="AY715" s="69"/>
    </row>
    <row r="716" ht="15.75" customHeight="1">
      <c r="A716" s="69"/>
      <c r="B716" s="69"/>
      <c r="C716" s="69"/>
      <c r="D716" s="4"/>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c r="AN716" s="69"/>
      <c r="AO716" s="69"/>
      <c r="AP716" s="69"/>
      <c r="AQ716" s="69"/>
      <c r="AR716" s="69"/>
      <c r="AS716" s="69"/>
      <c r="AT716" s="69"/>
      <c r="AU716" s="69"/>
      <c r="AV716" s="69"/>
      <c r="AW716" s="69"/>
      <c r="AX716" s="69"/>
      <c r="AY716" s="69"/>
    </row>
    <row r="717" ht="15.75" customHeight="1">
      <c r="A717" s="69"/>
      <c r="B717" s="69"/>
      <c r="C717" s="69"/>
      <c r="D717" s="4"/>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c r="AN717" s="69"/>
      <c r="AO717" s="69"/>
      <c r="AP717" s="69"/>
      <c r="AQ717" s="69"/>
      <c r="AR717" s="69"/>
      <c r="AS717" s="69"/>
      <c r="AT717" s="69"/>
      <c r="AU717" s="69"/>
      <c r="AV717" s="69"/>
      <c r="AW717" s="69"/>
      <c r="AX717" s="69"/>
      <c r="AY717" s="69"/>
    </row>
    <row r="718" ht="15.75" customHeight="1">
      <c r="A718" s="69"/>
      <c r="B718" s="69"/>
      <c r="C718" s="69"/>
      <c r="D718" s="4"/>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c r="AP718" s="69"/>
      <c r="AQ718" s="69"/>
      <c r="AR718" s="69"/>
      <c r="AS718" s="69"/>
      <c r="AT718" s="69"/>
      <c r="AU718" s="69"/>
      <c r="AV718" s="69"/>
      <c r="AW718" s="69"/>
      <c r="AX718" s="69"/>
      <c r="AY718" s="69"/>
    </row>
    <row r="719" ht="15.75" customHeight="1">
      <c r="A719" s="69"/>
      <c r="B719" s="69"/>
      <c r="C719" s="69"/>
      <c r="D719" s="4"/>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c r="AN719" s="69"/>
      <c r="AO719" s="69"/>
      <c r="AP719" s="69"/>
      <c r="AQ719" s="69"/>
      <c r="AR719" s="69"/>
      <c r="AS719" s="69"/>
      <c r="AT719" s="69"/>
      <c r="AU719" s="69"/>
      <c r="AV719" s="69"/>
      <c r="AW719" s="69"/>
      <c r="AX719" s="69"/>
      <c r="AY719" s="69"/>
    </row>
    <row r="720" ht="15.75" customHeight="1">
      <c r="A720" s="69"/>
      <c r="B720" s="69"/>
      <c r="C720" s="69"/>
      <c r="D720" s="4"/>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c r="AP720" s="69"/>
      <c r="AQ720" s="69"/>
      <c r="AR720" s="69"/>
      <c r="AS720" s="69"/>
      <c r="AT720" s="69"/>
      <c r="AU720" s="69"/>
      <c r="AV720" s="69"/>
      <c r="AW720" s="69"/>
      <c r="AX720" s="69"/>
      <c r="AY720" s="69"/>
    </row>
    <row r="721" ht="15.75" customHeight="1">
      <c r="A721" s="69"/>
      <c r="B721" s="69"/>
      <c r="C721" s="69"/>
      <c r="D721" s="4"/>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c r="AN721" s="69"/>
      <c r="AO721" s="69"/>
      <c r="AP721" s="69"/>
      <c r="AQ721" s="69"/>
      <c r="AR721" s="69"/>
      <c r="AS721" s="69"/>
      <c r="AT721" s="69"/>
      <c r="AU721" s="69"/>
      <c r="AV721" s="69"/>
      <c r="AW721" s="69"/>
      <c r="AX721" s="69"/>
      <c r="AY721" s="69"/>
    </row>
    <row r="722" ht="15.75" customHeight="1">
      <c r="A722" s="69"/>
      <c r="B722" s="69"/>
      <c r="C722" s="69"/>
      <c r="D722" s="4"/>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c r="AN722" s="69"/>
      <c r="AO722" s="69"/>
      <c r="AP722" s="69"/>
      <c r="AQ722" s="69"/>
      <c r="AR722" s="69"/>
      <c r="AS722" s="69"/>
      <c r="AT722" s="69"/>
      <c r="AU722" s="69"/>
      <c r="AV722" s="69"/>
      <c r="AW722" s="69"/>
      <c r="AX722" s="69"/>
      <c r="AY722" s="69"/>
    </row>
    <row r="723" ht="15.75" customHeight="1">
      <c r="A723" s="69"/>
      <c r="B723" s="69"/>
      <c r="C723" s="69"/>
      <c r="D723" s="4"/>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row>
    <row r="724" ht="15.75" customHeight="1">
      <c r="A724" s="69"/>
      <c r="B724" s="69"/>
      <c r="C724" s="69"/>
      <c r="D724" s="4"/>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c r="AN724" s="69"/>
      <c r="AO724" s="69"/>
      <c r="AP724" s="69"/>
      <c r="AQ724" s="69"/>
      <c r="AR724" s="69"/>
      <c r="AS724" s="69"/>
      <c r="AT724" s="69"/>
      <c r="AU724" s="69"/>
      <c r="AV724" s="69"/>
      <c r="AW724" s="69"/>
      <c r="AX724" s="69"/>
      <c r="AY724" s="69"/>
    </row>
    <row r="725" ht="15.75" customHeight="1">
      <c r="A725" s="69"/>
      <c r="B725" s="69"/>
      <c r="C725" s="69"/>
      <c r="D725" s="4"/>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c r="AN725" s="69"/>
      <c r="AO725" s="69"/>
      <c r="AP725" s="69"/>
      <c r="AQ725" s="69"/>
      <c r="AR725" s="69"/>
      <c r="AS725" s="69"/>
      <c r="AT725" s="69"/>
      <c r="AU725" s="69"/>
      <c r="AV725" s="69"/>
      <c r="AW725" s="69"/>
      <c r="AX725" s="69"/>
      <c r="AY725" s="69"/>
    </row>
    <row r="726" ht="15.75" customHeight="1">
      <c r="A726" s="69"/>
      <c r="B726" s="69"/>
      <c r="C726" s="69"/>
      <c r="D726" s="4"/>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c r="AP726" s="69"/>
      <c r="AQ726" s="69"/>
      <c r="AR726" s="69"/>
      <c r="AS726" s="69"/>
      <c r="AT726" s="69"/>
      <c r="AU726" s="69"/>
      <c r="AV726" s="69"/>
      <c r="AW726" s="69"/>
      <c r="AX726" s="69"/>
      <c r="AY726" s="69"/>
    </row>
    <row r="727" ht="15.75" customHeight="1">
      <c r="A727" s="69"/>
      <c r="B727" s="69"/>
      <c r="C727" s="69"/>
      <c r="D727" s="4"/>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c r="AN727" s="69"/>
      <c r="AO727" s="69"/>
      <c r="AP727" s="69"/>
      <c r="AQ727" s="69"/>
      <c r="AR727" s="69"/>
      <c r="AS727" s="69"/>
      <c r="AT727" s="69"/>
      <c r="AU727" s="69"/>
      <c r="AV727" s="69"/>
      <c r="AW727" s="69"/>
      <c r="AX727" s="69"/>
      <c r="AY727" s="69"/>
    </row>
    <row r="728" ht="15.75" customHeight="1">
      <c r="A728" s="69"/>
      <c r="B728" s="69"/>
      <c r="C728" s="69"/>
      <c r="D728" s="4"/>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c r="AP728" s="69"/>
      <c r="AQ728" s="69"/>
      <c r="AR728" s="69"/>
      <c r="AS728" s="69"/>
      <c r="AT728" s="69"/>
      <c r="AU728" s="69"/>
      <c r="AV728" s="69"/>
      <c r="AW728" s="69"/>
      <c r="AX728" s="69"/>
      <c r="AY728" s="69"/>
    </row>
    <row r="729" ht="15.75" customHeight="1">
      <c r="A729" s="69"/>
      <c r="B729" s="69"/>
      <c r="C729" s="69"/>
      <c r="D729" s="4"/>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c r="AN729" s="69"/>
      <c r="AO729" s="69"/>
      <c r="AP729" s="69"/>
      <c r="AQ729" s="69"/>
      <c r="AR729" s="69"/>
      <c r="AS729" s="69"/>
      <c r="AT729" s="69"/>
      <c r="AU729" s="69"/>
      <c r="AV729" s="69"/>
      <c r="AW729" s="69"/>
      <c r="AX729" s="69"/>
      <c r="AY729" s="69"/>
    </row>
    <row r="730" ht="15.75" customHeight="1">
      <c r="A730" s="69"/>
      <c r="B730" s="69"/>
      <c r="C730" s="69"/>
      <c r="D730" s="4"/>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c r="AN730" s="69"/>
      <c r="AO730" s="69"/>
      <c r="AP730" s="69"/>
      <c r="AQ730" s="69"/>
      <c r="AR730" s="69"/>
      <c r="AS730" s="69"/>
      <c r="AT730" s="69"/>
      <c r="AU730" s="69"/>
      <c r="AV730" s="69"/>
      <c r="AW730" s="69"/>
      <c r="AX730" s="69"/>
      <c r="AY730" s="69"/>
    </row>
    <row r="731" ht="15.75" customHeight="1">
      <c r="A731" s="69"/>
      <c r="B731" s="69"/>
      <c r="C731" s="69"/>
      <c r="D731" s="4"/>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c r="AN731" s="69"/>
      <c r="AO731" s="69"/>
      <c r="AP731" s="69"/>
      <c r="AQ731" s="69"/>
      <c r="AR731" s="69"/>
      <c r="AS731" s="69"/>
      <c r="AT731" s="69"/>
      <c r="AU731" s="69"/>
      <c r="AV731" s="69"/>
      <c r="AW731" s="69"/>
      <c r="AX731" s="69"/>
      <c r="AY731" s="69"/>
    </row>
    <row r="732" ht="15.75" customHeight="1">
      <c r="A732" s="69"/>
      <c r="B732" s="69"/>
      <c r="C732" s="69"/>
      <c r="D732" s="4"/>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c r="AN732" s="69"/>
      <c r="AO732" s="69"/>
      <c r="AP732" s="69"/>
      <c r="AQ732" s="69"/>
      <c r="AR732" s="69"/>
      <c r="AS732" s="69"/>
      <c r="AT732" s="69"/>
      <c r="AU732" s="69"/>
      <c r="AV732" s="69"/>
      <c r="AW732" s="69"/>
      <c r="AX732" s="69"/>
      <c r="AY732" s="69"/>
    </row>
    <row r="733" ht="15.75" customHeight="1">
      <c r="A733" s="69"/>
      <c r="B733" s="69"/>
      <c r="C733" s="69"/>
      <c r="D733" s="4"/>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c r="AN733" s="69"/>
      <c r="AO733" s="69"/>
      <c r="AP733" s="69"/>
      <c r="AQ733" s="69"/>
      <c r="AR733" s="69"/>
      <c r="AS733" s="69"/>
      <c r="AT733" s="69"/>
      <c r="AU733" s="69"/>
      <c r="AV733" s="69"/>
      <c r="AW733" s="69"/>
      <c r="AX733" s="69"/>
      <c r="AY733" s="69"/>
    </row>
    <row r="734" ht="15.75" customHeight="1">
      <c r="A734" s="69"/>
      <c r="B734" s="69"/>
      <c r="C734" s="69"/>
      <c r="D734" s="4"/>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c r="AP734" s="69"/>
      <c r="AQ734" s="69"/>
      <c r="AR734" s="69"/>
      <c r="AS734" s="69"/>
      <c r="AT734" s="69"/>
      <c r="AU734" s="69"/>
      <c r="AV734" s="69"/>
      <c r="AW734" s="69"/>
      <c r="AX734" s="69"/>
      <c r="AY734" s="69"/>
    </row>
    <row r="735" ht="15.75" customHeight="1">
      <c r="A735" s="69"/>
      <c r="B735" s="69"/>
      <c r="C735" s="69"/>
      <c r="D735" s="4"/>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c r="AP735" s="69"/>
      <c r="AQ735" s="69"/>
      <c r="AR735" s="69"/>
      <c r="AS735" s="69"/>
      <c r="AT735" s="69"/>
      <c r="AU735" s="69"/>
      <c r="AV735" s="69"/>
      <c r="AW735" s="69"/>
      <c r="AX735" s="69"/>
      <c r="AY735" s="69"/>
    </row>
    <row r="736" ht="15.75" customHeight="1">
      <c r="A736" s="69"/>
      <c r="B736" s="69"/>
      <c r="C736" s="69"/>
      <c r="D736" s="4"/>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c r="AV736" s="69"/>
      <c r="AW736" s="69"/>
      <c r="AX736" s="69"/>
      <c r="AY736" s="69"/>
    </row>
    <row r="737" ht="15.75" customHeight="1">
      <c r="A737" s="69"/>
      <c r="B737" s="69"/>
      <c r="C737" s="69"/>
      <c r="D737" s="4"/>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c r="AP737" s="69"/>
      <c r="AQ737" s="69"/>
      <c r="AR737" s="69"/>
      <c r="AS737" s="69"/>
      <c r="AT737" s="69"/>
      <c r="AU737" s="69"/>
      <c r="AV737" s="69"/>
      <c r="AW737" s="69"/>
      <c r="AX737" s="69"/>
      <c r="AY737" s="69"/>
    </row>
    <row r="738" ht="15.75" customHeight="1">
      <c r="A738" s="69"/>
      <c r="B738" s="69"/>
      <c r="C738" s="69"/>
      <c r="D738" s="4"/>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c r="AV738" s="69"/>
      <c r="AW738" s="69"/>
      <c r="AX738" s="69"/>
      <c r="AY738" s="69"/>
    </row>
    <row r="739" ht="15.75" customHeight="1">
      <c r="A739" s="69"/>
      <c r="B739" s="69"/>
      <c r="C739" s="69"/>
      <c r="D739" s="4"/>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c r="AP739" s="69"/>
      <c r="AQ739" s="69"/>
      <c r="AR739" s="69"/>
      <c r="AS739" s="69"/>
      <c r="AT739" s="69"/>
      <c r="AU739" s="69"/>
      <c r="AV739" s="69"/>
      <c r="AW739" s="69"/>
      <c r="AX739" s="69"/>
      <c r="AY739" s="69"/>
    </row>
    <row r="740" ht="15.75" customHeight="1">
      <c r="A740" s="69"/>
      <c r="B740" s="69"/>
      <c r="C740" s="69"/>
      <c r="D740" s="4"/>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c r="AP740" s="69"/>
      <c r="AQ740" s="69"/>
      <c r="AR740" s="69"/>
      <c r="AS740" s="69"/>
      <c r="AT740" s="69"/>
      <c r="AU740" s="69"/>
      <c r="AV740" s="69"/>
      <c r="AW740" s="69"/>
      <c r="AX740" s="69"/>
      <c r="AY740" s="69"/>
    </row>
    <row r="741" ht="15.75" customHeight="1">
      <c r="A741" s="69"/>
      <c r="B741" s="69"/>
      <c r="C741" s="69"/>
      <c r="D741" s="4"/>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c r="AP741" s="69"/>
      <c r="AQ741" s="69"/>
      <c r="AR741" s="69"/>
      <c r="AS741" s="69"/>
      <c r="AT741" s="69"/>
      <c r="AU741" s="69"/>
      <c r="AV741" s="69"/>
      <c r="AW741" s="69"/>
      <c r="AX741" s="69"/>
      <c r="AY741" s="69"/>
    </row>
    <row r="742" ht="15.75" customHeight="1">
      <c r="A742" s="69"/>
      <c r="B742" s="69"/>
      <c r="C742" s="69"/>
      <c r="D742" s="4"/>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c r="AP742" s="69"/>
      <c r="AQ742" s="69"/>
      <c r="AR742" s="69"/>
      <c r="AS742" s="69"/>
      <c r="AT742" s="69"/>
      <c r="AU742" s="69"/>
      <c r="AV742" s="69"/>
      <c r="AW742" s="69"/>
      <c r="AX742" s="69"/>
      <c r="AY742" s="69"/>
    </row>
    <row r="743" ht="15.75" customHeight="1">
      <c r="A743" s="69"/>
      <c r="B743" s="69"/>
      <c r="C743" s="69"/>
      <c r="D743" s="4"/>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c r="AP743" s="69"/>
      <c r="AQ743" s="69"/>
      <c r="AR743" s="69"/>
      <c r="AS743" s="69"/>
      <c r="AT743" s="69"/>
      <c r="AU743" s="69"/>
      <c r="AV743" s="69"/>
      <c r="AW743" s="69"/>
      <c r="AX743" s="69"/>
      <c r="AY743" s="69"/>
    </row>
    <row r="744" ht="15.75" customHeight="1">
      <c r="A744" s="69"/>
      <c r="B744" s="69"/>
      <c r="C744" s="69"/>
      <c r="D744" s="4"/>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c r="AV744" s="69"/>
      <c r="AW744" s="69"/>
      <c r="AX744" s="69"/>
      <c r="AY744" s="69"/>
    </row>
    <row r="745" ht="15.75" customHeight="1">
      <c r="A745" s="69"/>
      <c r="B745" s="69"/>
      <c r="C745" s="69"/>
      <c r="D745" s="4"/>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c r="AP745" s="69"/>
      <c r="AQ745" s="69"/>
      <c r="AR745" s="69"/>
      <c r="AS745" s="69"/>
      <c r="AT745" s="69"/>
      <c r="AU745" s="69"/>
      <c r="AV745" s="69"/>
      <c r="AW745" s="69"/>
      <c r="AX745" s="69"/>
      <c r="AY745" s="69"/>
    </row>
    <row r="746" ht="15.75" customHeight="1">
      <c r="A746" s="69"/>
      <c r="B746" s="69"/>
      <c r="C746" s="69"/>
      <c r="D746" s="4"/>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c r="AN746" s="69"/>
      <c r="AO746" s="69"/>
      <c r="AP746" s="69"/>
      <c r="AQ746" s="69"/>
      <c r="AR746" s="69"/>
      <c r="AS746" s="69"/>
      <c r="AT746" s="69"/>
      <c r="AU746" s="69"/>
      <c r="AV746" s="69"/>
      <c r="AW746" s="69"/>
      <c r="AX746" s="69"/>
      <c r="AY746" s="69"/>
    </row>
    <row r="747" ht="15.75" customHeight="1">
      <c r="A747" s="69"/>
      <c r="B747" s="69"/>
      <c r="C747" s="69"/>
      <c r="D747" s="4"/>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c r="AN747" s="69"/>
      <c r="AO747" s="69"/>
      <c r="AP747" s="69"/>
      <c r="AQ747" s="69"/>
      <c r="AR747" s="69"/>
      <c r="AS747" s="69"/>
      <c r="AT747" s="69"/>
      <c r="AU747" s="69"/>
      <c r="AV747" s="69"/>
      <c r="AW747" s="69"/>
      <c r="AX747" s="69"/>
      <c r="AY747" s="69"/>
    </row>
    <row r="748" ht="15.75" customHeight="1">
      <c r="A748" s="69"/>
      <c r="B748" s="69"/>
      <c r="C748" s="69"/>
      <c r="D748" s="4"/>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c r="AN748" s="69"/>
      <c r="AO748" s="69"/>
      <c r="AP748" s="69"/>
      <c r="AQ748" s="69"/>
      <c r="AR748" s="69"/>
      <c r="AS748" s="69"/>
      <c r="AT748" s="69"/>
      <c r="AU748" s="69"/>
      <c r="AV748" s="69"/>
      <c r="AW748" s="69"/>
      <c r="AX748" s="69"/>
      <c r="AY748" s="69"/>
    </row>
    <row r="749" ht="15.75" customHeight="1">
      <c r="A749" s="69"/>
      <c r="B749" s="69"/>
      <c r="C749" s="69"/>
      <c r="D749" s="4"/>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c r="AN749" s="69"/>
      <c r="AO749" s="69"/>
      <c r="AP749" s="69"/>
      <c r="AQ749" s="69"/>
      <c r="AR749" s="69"/>
      <c r="AS749" s="69"/>
      <c r="AT749" s="69"/>
      <c r="AU749" s="69"/>
      <c r="AV749" s="69"/>
      <c r="AW749" s="69"/>
      <c r="AX749" s="69"/>
      <c r="AY749" s="69"/>
    </row>
    <row r="750" ht="15.75" customHeight="1">
      <c r="A750" s="69"/>
      <c r="B750" s="69"/>
      <c r="C750" s="69"/>
      <c r="D750" s="4"/>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c r="AP750" s="69"/>
      <c r="AQ750" s="69"/>
      <c r="AR750" s="69"/>
      <c r="AS750" s="69"/>
      <c r="AT750" s="69"/>
      <c r="AU750" s="69"/>
      <c r="AV750" s="69"/>
      <c r="AW750" s="69"/>
      <c r="AX750" s="69"/>
      <c r="AY750" s="69"/>
    </row>
    <row r="751" ht="15.75" customHeight="1">
      <c r="A751" s="69"/>
      <c r="B751" s="69"/>
      <c r="C751" s="69"/>
      <c r="D751" s="4"/>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c r="AN751" s="69"/>
      <c r="AO751" s="69"/>
      <c r="AP751" s="69"/>
      <c r="AQ751" s="69"/>
      <c r="AR751" s="69"/>
      <c r="AS751" s="69"/>
      <c r="AT751" s="69"/>
      <c r="AU751" s="69"/>
      <c r="AV751" s="69"/>
      <c r="AW751" s="69"/>
      <c r="AX751" s="69"/>
      <c r="AY751" s="69"/>
    </row>
    <row r="752" ht="15.75" customHeight="1">
      <c r="A752" s="69"/>
      <c r="B752" s="69"/>
      <c r="C752" s="69"/>
      <c r="D752" s="4"/>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c r="AP752" s="69"/>
      <c r="AQ752" s="69"/>
      <c r="AR752" s="69"/>
      <c r="AS752" s="69"/>
      <c r="AT752" s="69"/>
      <c r="AU752" s="69"/>
      <c r="AV752" s="69"/>
      <c r="AW752" s="69"/>
      <c r="AX752" s="69"/>
      <c r="AY752" s="69"/>
    </row>
    <row r="753" ht="15.75" customHeight="1">
      <c r="A753" s="69"/>
      <c r="B753" s="69"/>
      <c r="C753" s="69"/>
      <c r="D753" s="4"/>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c r="AN753" s="69"/>
      <c r="AO753" s="69"/>
      <c r="AP753" s="69"/>
      <c r="AQ753" s="69"/>
      <c r="AR753" s="69"/>
      <c r="AS753" s="69"/>
      <c r="AT753" s="69"/>
      <c r="AU753" s="69"/>
      <c r="AV753" s="69"/>
      <c r="AW753" s="69"/>
      <c r="AX753" s="69"/>
      <c r="AY753" s="69"/>
    </row>
    <row r="754" ht="15.75" customHeight="1">
      <c r="A754" s="69"/>
      <c r="B754" s="69"/>
      <c r="C754" s="69"/>
      <c r="D754" s="4"/>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c r="AN754" s="69"/>
      <c r="AO754" s="69"/>
      <c r="AP754" s="69"/>
      <c r="AQ754" s="69"/>
      <c r="AR754" s="69"/>
      <c r="AS754" s="69"/>
      <c r="AT754" s="69"/>
      <c r="AU754" s="69"/>
      <c r="AV754" s="69"/>
      <c r="AW754" s="69"/>
      <c r="AX754" s="69"/>
      <c r="AY754" s="69"/>
    </row>
    <row r="755" ht="15.75" customHeight="1">
      <c r="A755" s="69"/>
      <c r="B755" s="69"/>
      <c r="C755" s="69"/>
      <c r="D755" s="4"/>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c r="AN755" s="69"/>
      <c r="AO755" s="69"/>
      <c r="AP755" s="69"/>
      <c r="AQ755" s="69"/>
      <c r="AR755" s="69"/>
      <c r="AS755" s="69"/>
      <c r="AT755" s="69"/>
      <c r="AU755" s="69"/>
      <c r="AV755" s="69"/>
      <c r="AW755" s="69"/>
      <c r="AX755" s="69"/>
      <c r="AY755" s="69"/>
    </row>
    <row r="756" ht="15.75" customHeight="1">
      <c r="A756" s="69"/>
      <c r="B756" s="69"/>
      <c r="C756" s="69"/>
      <c r="D756" s="4"/>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c r="AN756" s="69"/>
      <c r="AO756" s="69"/>
      <c r="AP756" s="69"/>
      <c r="AQ756" s="69"/>
      <c r="AR756" s="69"/>
      <c r="AS756" s="69"/>
      <c r="AT756" s="69"/>
      <c r="AU756" s="69"/>
      <c r="AV756" s="69"/>
      <c r="AW756" s="69"/>
      <c r="AX756" s="69"/>
      <c r="AY756" s="69"/>
    </row>
    <row r="757" ht="15.75" customHeight="1">
      <c r="A757" s="69"/>
      <c r="B757" s="69"/>
      <c r="C757" s="69"/>
      <c r="D757" s="4"/>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c r="AN757" s="69"/>
      <c r="AO757" s="69"/>
      <c r="AP757" s="69"/>
      <c r="AQ757" s="69"/>
      <c r="AR757" s="69"/>
      <c r="AS757" s="69"/>
      <c r="AT757" s="69"/>
      <c r="AU757" s="69"/>
      <c r="AV757" s="69"/>
      <c r="AW757" s="69"/>
      <c r="AX757" s="69"/>
      <c r="AY757" s="69"/>
    </row>
    <row r="758" ht="15.75" customHeight="1">
      <c r="A758" s="69"/>
      <c r="B758" s="69"/>
      <c r="C758" s="69"/>
      <c r="D758" s="4"/>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c r="AP758" s="69"/>
      <c r="AQ758" s="69"/>
      <c r="AR758" s="69"/>
      <c r="AS758" s="69"/>
      <c r="AT758" s="69"/>
      <c r="AU758" s="69"/>
      <c r="AV758" s="69"/>
      <c r="AW758" s="69"/>
      <c r="AX758" s="69"/>
      <c r="AY758" s="69"/>
    </row>
    <row r="759" ht="15.75" customHeight="1">
      <c r="A759" s="69"/>
      <c r="B759" s="69"/>
      <c r="C759" s="69"/>
      <c r="D759" s="4"/>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c r="AN759" s="69"/>
      <c r="AO759" s="69"/>
      <c r="AP759" s="69"/>
      <c r="AQ759" s="69"/>
      <c r="AR759" s="69"/>
      <c r="AS759" s="69"/>
      <c r="AT759" s="69"/>
      <c r="AU759" s="69"/>
      <c r="AV759" s="69"/>
      <c r="AW759" s="69"/>
      <c r="AX759" s="69"/>
      <c r="AY759" s="69"/>
    </row>
    <row r="760" ht="15.75" customHeight="1">
      <c r="A760" s="69"/>
      <c r="B760" s="69"/>
      <c r="C760" s="69"/>
      <c r="D760" s="4"/>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c r="AP760" s="69"/>
      <c r="AQ760" s="69"/>
      <c r="AR760" s="69"/>
      <c r="AS760" s="69"/>
      <c r="AT760" s="69"/>
      <c r="AU760" s="69"/>
      <c r="AV760" s="69"/>
      <c r="AW760" s="69"/>
      <c r="AX760" s="69"/>
      <c r="AY760" s="69"/>
    </row>
    <row r="761" ht="15.75" customHeight="1">
      <c r="A761" s="69"/>
      <c r="B761" s="69"/>
      <c r="C761" s="69"/>
      <c r="D761" s="4"/>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c r="AN761" s="69"/>
      <c r="AO761" s="69"/>
      <c r="AP761" s="69"/>
      <c r="AQ761" s="69"/>
      <c r="AR761" s="69"/>
      <c r="AS761" s="69"/>
      <c r="AT761" s="69"/>
      <c r="AU761" s="69"/>
      <c r="AV761" s="69"/>
      <c r="AW761" s="69"/>
      <c r="AX761" s="69"/>
      <c r="AY761" s="69"/>
    </row>
    <row r="762" ht="15.75" customHeight="1">
      <c r="A762" s="69"/>
      <c r="B762" s="69"/>
      <c r="C762" s="69"/>
      <c r="D762" s="4"/>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c r="AU762" s="69"/>
      <c r="AV762" s="69"/>
      <c r="AW762" s="69"/>
      <c r="AX762" s="69"/>
      <c r="AY762" s="69"/>
    </row>
    <row r="763" ht="15.75" customHeight="1">
      <c r="A763" s="69"/>
      <c r="B763" s="69"/>
      <c r="C763" s="69"/>
      <c r="D763" s="4"/>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c r="AN763" s="69"/>
      <c r="AO763" s="69"/>
      <c r="AP763" s="69"/>
      <c r="AQ763" s="69"/>
      <c r="AR763" s="69"/>
      <c r="AS763" s="69"/>
      <c r="AT763" s="69"/>
      <c r="AU763" s="69"/>
      <c r="AV763" s="69"/>
      <c r="AW763" s="69"/>
      <c r="AX763" s="69"/>
      <c r="AY763" s="69"/>
    </row>
    <row r="764" ht="15.75" customHeight="1">
      <c r="A764" s="69"/>
      <c r="B764" s="69"/>
      <c r="C764" s="69"/>
      <c r="D764" s="4"/>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c r="AN764" s="69"/>
      <c r="AO764" s="69"/>
      <c r="AP764" s="69"/>
      <c r="AQ764" s="69"/>
      <c r="AR764" s="69"/>
      <c r="AS764" s="69"/>
      <c r="AT764" s="69"/>
      <c r="AU764" s="69"/>
      <c r="AV764" s="69"/>
      <c r="AW764" s="69"/>
      <c r="AX764" s="69"/>
      <c r="AY764" s="69"/>
    </row>
    <row r="765" ht="15.75" customHeight="1">
      <c r="A765" s="69"/>
      <c r="B765" s="69"/>
      <c r="C765" s="69"/>
      <c r="D765" s="4"/>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c r="AP765" s="69"/>
      <c r="AQ765" s="69"/>
      <c r="AR765" s="69"/>
      <c r="AS765" s="69"/>
      <c r="AT765" s="69"/>
      <c r="AU765" s="69"/>
      <c r="AV765" s="69"/>
      <c r="AW765" s="69"/>
      <c r="AX765" s="69"/>
      <c r="AY765" s="69"/>
    </row>
    <row r="766" ht="15.75" customHeight="1">
      <c r="A766" s="69"/>
      <c r="B766" s="69"/>
      <c r="C766" s="69"/>
      <c r="D766" s="4"/>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c r="AS766" s="69"/>
      <c r="AT766" s="69"/>
      <c r="AU766" s="69"/>
      <c r="AV766" s="69"/>
      <c r="AW766" s="69"/>
      <c r="AX766" s="69"/>
      <c r="AY766" s="69"/>
    </row>
    <row r="767" ht="15.75" customHeight="1">
      <c r="A767" s="69"/>
      <c r="B767" s="69"/>
      <c r="C767" s="69"/>
      <c r="D767" s="4"/>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c r="AP767" s="69"/>
      <c r="AQ767" s="69"/>
      <c r="AR767" s="69"/>
      <c r="AS767" s="69"/>
      <c r="AT767" s="69"/>
      <c r="AU767" s="69"/>
      <c r="AV767" s="69"/>
      <c r="AW767" s="69"/>
      <c r="AX767" s="69"/>
      <c r="AY767" s="69"/>
    </row>
    <row r="768" ht="15.75" customHeight="1">
      <c r="A768" s="69"/>
      <c r="B768" s="69"/>
      <c r="C768" s="69"/>
      <c r="D768" s="4"/>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c r="AV768" s="69"/>
      <c r="AW768" s="69"/>
      <c r="AX768" s="69"/>
      <c r="AY768" s="69"/>
    </row>
    <row r="769" ht="15.75" customHeight="1">
      <c r="A769" s="69"/>
      <c r="B769" s="69"/>
      <c r="C769" s="69"/>
      <c r="D769" s="4"/>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c r="AP769" s="69"/>
      <c r="AQ769" s="69"/>
      <c r="AR769" s="69"/>
      <c r="AS769" s="69"/>
      <c r="AT769" s="69"/>
      <c r="AU769" s="69"/>
      <c r="AV769" s="69"/>
      <c r="AW769" s="69"/>
      <c r="AX769" s="69"/>
      <c r="AY769" s="69"/>
    </row>
    <row r="770" ht="15.75" customHeight="1">
      <c r="A770" s="69"/>
      <c r="B770" s="69"/>
      <c r="C770" s="69"/>
      <c r="D770" s="4"/>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c r="AV770" s="69"/>
      <c r="AW770" s="69"/>
      <c r="AX770" s="69"/>
      <c r="AY770" s="69"/>
    </row>
    <row r="771" ht="15.75" customHeight="1">
      <c r="A771" s="69"/>
      <c r="B771" s="69"/>
      <c r="C771" s="69"/>
      <c r="D771" s="4"/>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c r="AP771" s="69"/>
      <c r="AQ771" s="69"/>
      <c r="AR771" s="69"/>
      <c r="AS771" s="69"/>
      <c r="AT771" s="69"/>
      <c r="AU771" s="69"/>
      <c r="AV771" s="69"/>
      <c r="AW771" s="69"/>
      <c r="AX771" s="69"/>
      <c r="AY771" s="69"/>
    </row>
    <row r="772" ht="15.75" customHeight="1">
      <c r="A772" s="69"/>
      <c r="B772" s="69"/>
      <c r="C772" s="69"/>
      <c r="D772" s="4"/>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row>
    <row r="773" ht="15.75" customHeight="1">
      <c r="A773" s="69"/>
      <c r="B773" s="69"/>
      <c r="C773" s="69"/>
      <c r="D773" s="4"/>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c r="AP773" s="69"/>
      <c r="AQ773" s="69"/>
      <c r="AR773" s="69"/>
      <c r="AS773" s="69"/>
      <c r="AT773" s="69"/>
      <c r="AU773" s="69"/>
      <c r="AV773" s="69"/>
      <c r="AW773" s="69"/>
      <c r="AX773" s="69"/>
      <c r="AY773" s="69"/>
    </row>
    <row r="774" ht="15.75" customHeight="1">
      <c r="A774" s="69"/>
      <c r="B774" s="69"/>
      <c r="C774" s="69"/>
      <c r="D774" s="4"/>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c r="AS774" s="69"/>
      <c r="AT774" s="69"/>
      <c r="AU774" s="69"/>
      <c r="AV774" s="69"/>
      <c r="AW774" s="69"/>
      <c r="AX774" s="69"/>
      <c r="AY774" s="69"/>
    </row>
    <row r="775" ht="15.75" customHeight="1">
      <c r="A775" s="69"/>
      <c r="B775" s="69"/>
      <c r="C775" s="69"/>
      <c r="D775" s="4"/>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c r="AN775" s="69"/>
      <c r="AO775" s="69"/>
      <c r="AP775" s="69"/>
      <c r="AQ775" s="69"/>
      <c r="AR775" s="69"/>
      <c r="AS775" s="69"/>
      <c r="AT775" s="69"/>
      <c r="AU775" s="69"/>
      <c r="AV775" s="69"/>
      <c r="AW775" s="69"/>
      <c r="AX775" s="69"/>
      <c r="AY775" s="69"/>
    </row>
    <row r="776" ht="15.75" customHeight="1">
      <c r="A776" s="69"/>
      <c r="B776" s="69"/>
      <c r="C776" s="69"/>
      <c r="D776" s="4"/>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c r="AP776" s="69"/>
      <c r="AQ776" s="69"/>
      <c r="AR776" s="69"/>
      <c r="AS776" s="69"/>
      <c r="AT776" s="69"/>
      <c r="AU776" s="69"/>
      <c r="AV776" s="69"/>
      <c r="AW776" s="69"/>
      <c r="AX776" s="69"/>
      <c r="AY776" s="69"/>
    </row>
    <row r="777" ht="15.75" customHeight="1">
      <c r="A777" s="69"/>
      <c r="B777" s="69"/>
      <c r="C777" s="69"/>
      <c r="D777" s="4"/>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c r="AN777" s="69"/>
      <c r="AO777" s="69"/>
      <c r="AP777" s="69"/>
      <c r="AQ777" s="69"/>
      <c r="AR777" s="69"/>
      <c r="AS777" s="69"/>
      <c r="AT777" s="69"/>
      <c r="AU777" s="69"/>
      <c r="AV777" s="69"/>
      <c r="AW777" s="69"/>
      <c r="AX777" s="69"/>
      <c r="AY777" s="69"/>
    </row>
    <row r="778" ht="15.75" customHeight="1">
      <c r="A778" s="69"/>
      <c r="B778" s="69"/>
      <c r="C778" s="69"/>
      <c r="D778" s="4"/>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c r="AN778" s="69"/>
      <c r="AO778" s="69"/>
      <c r="AP778" s="69"/>
      <c r="AQ778" s="69"/>
      <c r="AR778" s="69"/>
      <c r="AS778" s="69"/>
      <c r="AT778" s="69"/>
      <c r="AU778" s="69"/>
      <c r="AV778" s="69"/>
      <c r="AW778" s="69"/>
      <c r="AX778" s="69"/>
      <c r="AY778" s="69"/>
    </row>
    <row r="779" ht="15.75" customHeight="1">
      <c r="A779" s="69"/>
      <c r="B779" s="69"/>
      <c r="C779" s="69"/>
      <c r="D779" s="4"/>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c r="AN779" s="69"/>
      <c r="AO779" s="69"/>
      <c r="AP779" s="69"/>
      <c r="AQ779" s="69"/>
      <c r="AR779" s="69"/>
      <c r="AS779" s="69"/>
      <c r="AT779" s="69"/>
      <c r="AU779" s="69"/>
      <c r="AV779" s="69"/>
      <c r="AW779" s="69"/>
      <c r="AX779" s="69"/>
      <c r="AY779" s="69"/>
    </row>
    <row r="780" ht="15.75" customHeight="1">
      <c r="A780" s="69"/>
      <c r="B780" s="69"/>
      <c r="C780" s="69"/>
      <c r="D780" s="4"/>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c r="AN780" s="69"/>
      <c r="AO780" s="69"/>
      <c r="AP780" s="69"/>
      <c r="AQ780" s="69"/>
      <c r="AR780" s="69"/>
      <c r="AS780" s="69"/>
      <c r="AT780" s="69"/>
      <c r="AU780" s="69"/>
      <c r="AV780" s="69"/>
      <c r="AW780" s="69"/>
      <c r="AX780" s="69"/>
      <c r="AY780" s="69"/>
    </row>
    <row r="781" ht="15.75" customHeight="1">
      <c r="A781" s="69"/>
      <c r="B781" s="69"/>
      <c r="C781" s="69"/>
      <c r="D781" s="4"/>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c r="AN781" s="69"/>
      <c r="AO781" s="69"/>
      <c r="AP781" s="69"/>
      <c r="AQ781" s="69"/>
      <c r="AR781" s="69"/>
      <c r="AS781" s="69"/>
      <c r="AT781" s="69"/>
      <c r="AU781" s="69"/>
      <c r="AV781" s="69"/>
      <c r="AW781" s="69"/>
      <c r="AX781" s="69"/>
      <c r="AY781" s="69"/>
    </row>
    <row r="782" ht="15.75" customHeight="1">
      <c r="A782" s="69"/>
      <c r="B782" s="69"/>
      <c r="C782" s="69"/>
      <c r="D782" s="4"/>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c r="AP782" s="69"/>
      <c r="AQ782" s="69"/>
      <c r="AR782" s="69"/>
      <c r="AS782" s="69"/>
      <c r="AT782" s="69"/>
      <c r="AU782" s="69"/>
      <c r="AV782" s="69"/>
      <c r="AW782" s="69"/>
      <c r="AX782" s="69"/>
      <c r="AY782" s="69"/>
    </row>
    <row r="783" ht="15.75" customHeight="1">
      <c r="A783" s="69"/>
      <c r="B783" s="69"/>
      <c r="C783" s="69"/>
      <c r="D783" s="4"/>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c r="AN783" s="69"/>
      <c r="AO783" s="69"/>
      <c r="AP783" s="69"/>
      <c r="AQ783" s="69"/>
      <c r="AR783" s="69"/>
      <c r="AS783" s="69"/>
      <c r="AT783" s="69"/>
      <c r="AU783" s="69"/>
      <c r="AV783" s="69"/>
      <c r="AW783" s="69"/>
      <c r="AX783" s="69"/>
      <c r="AY783" s="69"/>
    </row>
    <row r="784" ht="15.75" customHeight="1">
      <c r="A784" s="69"/>
      <c r="B784" s="69"/>
      <c r="C784" s="69"/>
      <c r="D784" s="4"/>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c r="AP784" s="69"/>
      <c r="AQ784" s="69"/>
      <c r="AR784" s="69"/>
      <c r="AS784" s="69"/>
      <c r="AT784" s="69"/>
      <c r="AU784" s="69"/>
      <c r="AV784" s="69"/>
      <c r="AW784" s="69"/>
      <c r="AX784" s="69"/>
      <c r="AY784" s="69"/>
    </row>
    <row r="785" ht="15.75" customHeight="1">
      <c r="A785" s="69"/>
      <c r="B785" s="69"/>
      <c r="C785" s="69"/>
      <c r="D785" s="4"/>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c r="AN785" s="69"/>
      <c r="AO785" s="69"/>
      <c r="AP785" s="69"/>
      <c r="AQ785" s="69"/>
      <c r="AR785" s="69"/>
      <c r="AS785" s="69"/>
      <c r="AT785" s="69"/>
      <c r="AU785" s="69"/>
      <c r="AV785" s="69"/>
      <c r="AW785" s="69"/>
      <c r="AX785" s="69"/>
      <c r="AY785" s="69"/>
    </row>
    <row r="786" ht="15.75" customHeight="1">
      <c r="A786" s="69"/>
      <c r="B786" s="69"/>
      <c r="C786" s="69"/>
      <c r="D786" s="4"/>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c r="AN786" s="69"/>
      <c r="AO786" s="69"/>
      <c r="AP786" s="69"/>
      <c r="AQ786" s="69"/>
      <c r="AR786" s="69"/>
      <c r="AS786" s="69"/>
      <c r="AT786" s="69"/>
      <c r="AU786" s="69"/>
      <c r="AV786" s="69"/>
      <c r="AW786" s="69"/>
      <c r="AX786" s="69"/>
      <c r="AY786" s="69"/>
    </row>
    <row r="787" ht="15.75" customHeight="1">
      <c r="A787" s="69"/>
      <c r="B787" s="69"/>
      <c r="C787" s="69"/>
      <c r="D787" s="4"/>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c r="AN787" s="69"/>
      <c r="AO787" s="69"/>
      <c r="AP787" s="69"/>
      <c r="AQ787" s="69"/>
      <c r="AR787" s="69"/>
      <c r="AS787" s="69"/>
      <c r="AT787" s="69"/>
      <c r="AU787" s="69"/>
      <c r="AV787" s="69"/>
      <c r="AW787" s="69"/>
      <c r="AX787" s="69"/>
      <c r="AY787" s="69"/>
    </row>
    <row r="788" ht="15.75" customHeight="1">
      <c r="A788" s="69"/>
      <c r="B788" s="69"/>
      <c r="C788" s="69"/>
      <c r="D788" s="4"/>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c r="AN788" s="69"/>
      <c r="AO788" s="69"/>
      <c r="AP788" s="69"/>
      <c r="AQ788" s="69"/>
      <c r="AR788" s="69"/>
      <c r="AS788" s="69"/>
      <c r="AT788" s="69"/>
      <c r="AU788" s="69"/>
      <c r="AV788" s="69"/>
      <c r="AW788" s="69"/>
      <c r="AX788" s="69"/>
      <c r="AY788" s="69"/>
    </row>
    <row r="789" ht="15.75" customHeight="1">
      <c r="A789" s="69"/>
      <c r="B789" s="69"/>
      <c r="C789" s="69"/>
      <c r="D789" s="4"/>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c r="AN789" s="69"/>
      <c r="AO789" s="69"/>
      <c r="AP789" s="69"/>
      <c r="AQ789" s="69"/>
      <c r="AR789" s="69"/>
      <c r="AS789" s="69"/>
      <c r="AT789" s="69"/>
      <c r="AU789" s="69"/>
      <c r="AV789" s="69"/>
      <c r="AW789" s="69"/>
      <c r="AX789" s="69"/>
      <c r="AY789" s="69"/>
    </row>
    <row r="790" ht="15.75" customHeight="1">
      <c r="A790" s="69"/>
      <c r="B790" s="69"/>
      <c r="C790" s="69"/>
      <c r="D790" s="4"/>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c r="AP790" s="69"/>
      <c r="AQ790" s="69"/>
      <c r="AR790" s="69"/>
      <c r="AS790" s="69"/>
      <c r="AT790" s="69"/>
      <c r="AU790" s="69"/>
      <c r="AV790" s="69"/>
      <c r="AW790" s="69"/>
      <c r="AX790" s="69"/>
      <c r="AY790" s="69"/>
    </row>
    <row r="791" ht="15.75" customHeight="1">
      <c r="A791" s="69"/>
      <c r="B791" s="69"/>
      <c r="C791" s="69"/>
      <c r="D791" s="4"/>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c r="AN791" s="69"/>
      <c r="AO791" s="69"/>
      <c r="AP791" s="69"/>
      <c r="AQ791" s="69"/>
      <c r="AR791" s="69"/>
      <c r="AS791" s="69"/>
      <c r="AT791" s="69"/>
      <c r="AU791" s="69"/>
      <c r="AV791" s="69"/>
      <c r="AW791" s="69"/>
      <c r="AX791" s="69"/>
      <c r="AY791" s="69"/>
    </row>
    <row r="792" ht="15.75" customHeight="1">
      <c r="A792" s="69"/>
      <c r="B792" s="69"/>
      <c r="C792" s="69"/>
      <c r="D792" s="4"/>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c r="AP792" s="69"/>
      <c r="AQ792" s="69"/>
      <c r="AR792" s="69"/>
      <c r="AS792" s="69"/>
      <c r="AT792" s="69"/>
      <c r="AU792" s="69"/>
      <c r="AV792" s="69"/>
      <c r="AW792" s="69"/>
      <c r="AX792" s="69"/>
      <c r="AY792" s="69"/>
    </row>
    <row r="793" ht="15.75" customHeight="1">
      <c r="A793" s="69"/>
      <c r="B793" s="69"/>
      <c r="C793" s="69"/>
      <c r="D793" s="4"/>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c r="AN793" s="69"/>
      <c r="AO793" s="69"/>
      <c r="AP793" s="69"/>
      <c r="AQ793" s="69"/>
      <c r="AR793" s="69"/>
      <c r="AS793" s="69"/>
      <c r="AT793" s="69"/>
      <c r="AU793" s="69"/>
      <c r="AV793" s="69"/>
      <c r="AW793" s="69"/>
      <c r="AX793" s="69"/>
      <c r="AY793" s="69"/>
    </row>
    <row r="794" ht="15.75" customHeight="1">
      <c r="A794" s="69"/>
      <c r="B794" s="69"/>
      <c r="C794" s="69"/>
      <c r="D794" s="4"/>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c r="AN794" s="69"/>
      <c r="AO794" s="69"/>
      <c r="AP794" s="69"/>
      <c r="AQ794" s="69"/>
      <c r="AR794" s="69"/>
      <c r="AS794" s="69"/>
      <c r="AT794" s="69"/>
      <c r="AU794" s="69"/>
      <c r="AV794" s="69"/>
      <c r="AW794" s="69"/>
      <c r="AX794" s="69"/>
      <c r="AY794" s="69"/>
    </row>
    <row r="795" ht="15.75" customHeight="1">
      <c r="A795" s="69"/>
      <c r="B795" s="69"/>
      <c r="C795" s="69"/>
      <c r="D795" s="4"/>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c r="AW795" s="69"/>
      <c r="AX795" s="69"/>
      <c r="AY795" s="69"/>
    </row>
    <row r="796" ht="15.75" customHeight="1">
      <c r="A796" s="69"/>
      <c r="B796" s="69"/>
      <c r="C796" s="69"/>
      <c r="D796" s="4"/>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c r="AN796" s="69"/>
      <c r="AO796" s="69"/>
      <c r="AP796" s="69"/>
      <c r="AQ796" s="69"/>
      <c r="AR796" s="69"/>
      <c r="AS796" s="69"/>
      <c r="AT796" s="69"/>
      <c r="AU796" s="69"/>
      <c r="AV796" s="69"/>
      <c r="AW796" s="69"/>
      <c r="AX796" s="69"/>
      <c r="AY796" s="69"/>
    </row>
    <row r="797" ht="15.75" customHeight="1">
      <c r="A797" s="69"/>
      <c r="B797" s="69"/>
      <c r="C797" s="69"/>
      <c r="D797" s="4"/>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c r="AN797" s="69"/>
      <c r="AO797" s="69"/>
      <c r="AP797" s="69"/>
      <c r="AQ797" s="69"/>
      <c r="AR797" s="69"/>
      <c r="AS797" s="69"/>
      <c r="AT797" s="69"/>
      <c r="AU797" s="69"/>
      <c r="AV797" s="69"/>
      <c r="AW797" s="69"/>
      <c r="AX797" s="69"/>
      <c r="AY797" s="69"/>
    </row>
    <row r="798" ht="15.75" customHeight="1">
      <c r="A798" s="69"/>
      <c r="B798" s="69"/>
      <c r="C798" s="69"/>
      <c r="D798" s="4"/>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c r="AP798" s="69"/>
      <c r="AQ798" s="69"/>
      <c r="AR798" s="69"/>
      <c r="AS798" s="69"/>
      <c r="AT798" s="69"/>
      <c r="AU798" s="69"/>
      <c r="AV798" s="69"/>
      <c r="AW798" s="69"/>
      <c r="AX798" s="69"/>
      <c r="AY798" s="69"/>
    </row>
    <row r="799" ht="15.75" customHeight="1">
      <c r="A799" s="69"/>
      <c r="B799" s="69"/>
      <c r="C799" s="69"/>
      <c r="D799" s="4"/>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c r="AN799" s="69"/>
      <c r="AO799" s="69"/>
      <c r="AP799" s="69"/>
      <c r="AQ799" s="69"/>
      <c r="AR799" s="69"/>
      <c r="AS799" s="69"/>
      <c r="AT799" s="69"/>
      <c r="AU799" s="69"/>
      <c r="AV799" s="69"/>
      <c r="AW799" s="69"/>
      <c r="AX799" s="69"/>
      <c r="AY799" s="69"/>
    </row>
    <row r="800" ht="15.75" customHeight="1">
      <c r="A800" s="69"/>
      <c r="B800" s="69"/>
      <c r="C800" s="69"/>
      <c r="D800" s="4"/>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c r="AP800" s="69"/>
      <c r="AQ800" s="69"/>
      <c r="AR800" s="69"/>
      <c r="AS800" s="69"/>
      <c r="AT800" s="69"/>
      <c r="AU800" s="69"/>
      <c r="AV800" s="69"/>
      <c r="AW800" s="69"/>
      <c r="AX800" s="69"/>
      <c r="AY800" s="69"/>
    </row>
    <row r="801" ht="15.75" customHeight="1">
      <c r="A801" s="69"/>
      <c r="B801" s="69"/>
      <c r="C801" s="69"/>
      <c r="D801" s="4"/>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c r="AN801" s="69"/>
      <c r="AO801" s="69"/>
      <c r="AP801" s="69"/>
      <c r="AQ801" s="69"/>
      <c r="AR801" s="69"/>
      <c r="AS801" s="69"/>
      <c r="AT801" s="69"/>
      <c r="AU801" s="69"/>
      <c r="AV801" s="69"/>
      <c r="AW801" s="69"/>
      <c r="AX801" s="69"/>
      <c r="AY801" s="69"/>
    </row>
    <row r="802" ht="15.75" customHeight="1">
      <c r="A802" s="69"/>
      <c r="B802" s="69"/>
      <c r="C802" s="69"/>
      <c r="D802" s="4"/>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row>
    <row r="803" ht="15.75" customHeight="1">
      <c r="A803" s="69"/>
      <c r="B803" s="69"/>
      <c r="C803" s="69"/>
      <c r="D803" s="4"/>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c r="AN803" s="69"/>
      <c r="AO803" s="69"/>
      <c r="AP803" s="69"/>
      <c r="AQ803" s="69"/>
      <c r="AR803" s="69"/>
      <c r="AS803" s="69"/>
      <c r="AT803" s="69"/>
      <c r="AU803" s="69"/>
      <c r="AV803" s="69"/>
      <c r="AW803" s="69"/>
      <c r="AX803" s="69"/>
      <c r="AY803" s="69"/>
    </row>
    <row r="804" ht="15.75" customHeight="1">
      <c r="A804" s="69"/>
      <c r="B804" s="69"/>
      <c r="C804" s="69"/>
      <c r="D804" s="4"/>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c r="AN804" s="69"/>
      <c r="AO804" s="69"/>
      <c r="AP804" s="69"/>
      <c r="AQ804" s="69"/>
      <c r="AR804" s="69"/>
      <c r="AS804" s="69"/>
      <c r="AT804" s="69"/>
      <c r="AU804" s="69"/>
      <c r="AV804" s="69"/>
      <c r="AW804" s="69"/>
      <c r="AX804" s="69"/>
      <c r="AY804" s="69"/>
    </row>
    <row r="805" ht="15.75" customHeight="1">
      <c r="A805" s="69"/>
      <c r="B805" s="69"/>
      <c r="C805" s="69"/>
      <c r="D805" s="4"/>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c r="AN805" s="69"/>
      <c r="AO805" s="69"/>
      <c r="AP805" s="69"/>
      <c r="AQ805" s="69"/>
      <c r="AR805" s="69"/>
      <c r="AS805" s="69"/>
      <c r="AT805" s="69"/>
      <c r="AU805" s="69"/>
      <c r="AV805" s="69"/>
      <c r="AW805" s="69"/>
      <c r="AX805" s="69"/>
      <c r="AY805" s="69"/>
    </row>
    <row r="806" ht="15.75" customHeight="1">
      <c r="A806" s="69"/>
      <c r="B806" s="69"/>
      <c r="C806" s="69"/>
      <c r="D806" s="4"/>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c r="AP806" s="69"/>
      <c r="AQ806" s="69"/>
      <c r="AR806" s="69"/>
      <c r="AS806" s="69"/>
      <c r="AT806" s="69"/>
      <c r="AU806" s="69"/>
      <c r="AV806" s="69"/>
      <c r="AW806" s="69"/>
      <c r="AX806" s="69"/>
      <c r="AY806" s="69"/>
    </row>
    <row r="807" ht="15.75" customHeight="1">
      <c r="A807" s="69"/>
      <c r="B807" s="69"/>
      <c r="C807" s="69"/>
      <c r="D807" s="4"/>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c r="AN807" s="69"/>
      <c r="AO807" s="69"/>
      <c r="AP807" s="69"/>
      <c r="AQ807" s="69"/>
      <c r="AR807" s="69"/>
      <c r="AS807" s="69"/>
      <c r="AT807" s="69"/>
      <c r="AU807" s="69"/>
      <c r="AV807" s="69"/>
      <c r="AW807" s="69"/>
      <c r="AX807" s="69"/>
      <c r="AY807" s="69"/>
    </row>
    <row r="808" ht="15.75" customHeight="1">
      <c r="A808" s="69"/>
      <c r="B808" s="69"/>
      <c r="C808" s="69"/>
      <c r="D808" s="4"/>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c r="AP808" s="69"/>
      <c r="AQ808" s="69"/>
      <c r="AR808" s="69"/>
      <c r="AS808" s="69"/>
      <c r="AT808" s="69"/>
      <c r="AU808" s="69"/>
      <c r="AV808" s="69"/>
      <c r="AW808" s="69"/>
      <c r="AX808" s="69"/>
      <c r="AY808" s="69"/>
    </row>
    <row r="809" ht="15.75" customHeight="1">
      <c r="A809" s="69"/>
      <c r="B809" s="69"/>
      <c r="C809" s="69"/>
      <c r="D809" s="4"/>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c r="AW809" s="69"/>
      <c r="AX809" s="69"/>
      <c r="AY809" s="69"/>
    </row>
    <row r="810" ht="15.75" customHeight="1">
      <c r="A810" s="69"/>
      <c r="B810" s="69"/>
      <c r="C810" s="69"/>
      <c r="D810" s="4"/>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c r="AW810" s="69"/>
      <c r="AX810" s="69"/>
      <c r="AY810" s="69"/>
    </row>
    <row r="811" ht="15.75" customHeight="1">
      <c r="A811" s="69"/>
      <c r="B811" s="69"/>
      <c r="C811" s="69"/>
      <c r="D811" s="4"/>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c r="AN811" s="69"/>
      <c r="AO811" s="69"/>
      <c r="AP811" s="69"/>
      <c r="AQ811" s="69"/>
      <c r="AR811" s="69"/>
      <c r="AS811" s="69"/>
      <c r="AT811" s="69"/>
      <c r="AU811" s="69"/>
      <c r="AV811" s="69"/>
      <c r="AW811" s="69"/>
      <c r="AX811" s="69"/>
      <c r="AY811" s="69"/>
    </row>
    <row r="812" ht="15.75" customHeight="1">
      <c r="A812" s="69"/>
      <c r="B812" s="69"/>
      <c r="C812" s="69"/>
      <c r="D812" s="4"/>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c r="AS812" s="69"/>
      <c r="AT812" s="69"/>
      <c r="AU812" s="69"/>
      <c r="AV812" s="69"/>
      <c r="AW812" s="69"/>
      <c r="AX812" s="69"/>
      <c r="AY812" s="69"/>
    </row>
    <row r="813" ht="15.75" customHeight="1">
      <c r="A813" s="69"/>
      <c r="B813" s="69"/>
      <c r="C813" s="69"/>
      <c r="D813" s="4"/>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c r="AN813" s="69"/>
      <c r="AO813" s="69"/>
      <c r="AP813" s="69"/>
      <c r="AQ813" s="69"/>
      <c r="AR813" s="69"/>
      <c r="AS813" s="69"/>
      <c r="AT813" s="69"/>
      <c r="AU813" s="69"/>
      <c r="AV813" s="69"/>
      <c r="AW813" s="69"/>
      <c r="AX813" s="69"/>
      <c r="AY813" s="69"/>
    </row>
    <row r="814" ht="15.75" customHeight="1">
      <c r="A814" s="69"/>
      <c r="B814" s="69"/>
      <c r="C814" s="69"/>
      <c r="D814" s="4"/>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c r="AP814" s="69"/>
      <c r="AQ814" s="69"/>
      <c r="AR814" s="69"/>
      <c r="AS814" s="69"/>
      <c r="AT814" s="69"/>
      <c r="AU814" s="69"/>
      <c r="AV814" s="69"/>
      <c r="AW814" s="69"/>
      <c r="AX814" s="69"/>
      <c r="AY814" s="69"/>
    </row>
    <row r="815" ht="15.75" customHeight="1">
      <c r="A815" s="69"/>
      <c r="B815" s="69"/>
      <c r="C815" s="69"/>
      <c r="D815" s="4"/>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c r="AN815" s="69"/>
      <c r="AO815" s="69"/>
      <c r="AP815" s="69"/>
      <c r="AQ815" s="69"/>
      <c r="AR815" s="69"/>
      <c r="AS815" s="69"/>
      <c r="AT815" s="69"/>
      <c r="AU815" s="69"/>
      <c r="AV815" s="69"/>
      <c r="AW815" s="69"/>
      <c r="AX815" s="69"/>
      <c r="AY815" s="69"/>
    </row>
    <row r="816" ht="15.75" customHeight="1">
      <c r="A816" s="69"/>
      <c r="B816" s="69"/>
      <c r="C816" s="69"/>
      <c r="D816" s="4"/>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c r="AP816" s="69"/>
      <c r="AQ816" s="69"/>
      <c r="AR816" s="69"/>
      <c r="AS816" s="69"/>
      <c r="AT816" s="69"/>
      <c r="AU816" s="69"/>
      <c r="AV816" s="69"/>
      <c r="AW816" s="69"/>
      <c r="AX816" s="69"/>
      <c r="AY816" s="69"/>
    </row>
    <row r="817" ht="15.75" customHeight="1">
      <c r="A817" s="69"/>
      <c r="B817" s="69"/>
      <c r="C817" s="69"/>
      <c r="D817" s="4"/>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c r="AN817" s="69"/>
      <c r="AO817" s="69"/>
      <c r="AP817" s="69"/>
      <c r="AQ817" s="69"/>
      <c r="AR817" s="69"/>
      <c r="AS817" s="69"/>
      <c r="AT817" s="69"/>
      <c r="AU817" s="69"/>
      <c r="AV817" s="69"/>
      <c r="AW817" s="69"/>
      <c r="AX817" s="69"/>
      <c r="AY817" s="69"/>
    </row>
    <row r="818" ht="15.75" customHeight="1">
      <c r="A818" s="69"/>
      <c r="B818" s="69"/>
      <c r="C818" s="69"/>
      <c r="D818" s="4"/>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c r="AN818" s="69"/>
      <c r="AO818" s="69"/>
      <c r="AP818" s="69"/>
      <c r="AQ818" s="69"/>
      <c r="AR818" s="69"/>
      <c r="AS818" s="69"/>
      <c r="AT818" s="69"/>
      <c r="AU818" s="69"/>
      <c r="AV818" s="69"/>
      <c r="AW818" s="69"/>
      <c r="AX818" s="69"/>
      <c r="AY818" s="69"/>
    </row>
    <row r="819" ht="15.75" customHeight="1">
      <c r="A819" s="69"/>
      <c r="B819" s="69"/>
      <c r="C819" s="69"/>
      <c r="D819" s="4"/>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c r="AN819" s="69"/>
      <c r="AO819" s="69"/>
      <c r="AP819" s="69"/>
      <c r="AQ819" s="69"/>
      <c r="AR819" s="69"/>
      <c r="AS819" s="69"/>
      <c r="AT819" s="69"/>
      <c r="AU819" s="69"/>
      <c r="AV819" s="69"/>
      <c r="AW819" s="69"/>
      <c r="AX819" s="69"/>
      <c r="AY819" s="69"/>
    </row>
    <row r="820" ht="15.75" customHeight="1">
      <c r="A820" s="69"/>
      <c r="B820" s="69"/>
      <c r="C820" s="69"/>
      <c r="D820" s="4"/>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c r="AN820" s="69"/>
      <c r="AO820" s="69"/>
      <c r="AP820" s="69"/>
      <c r="AQ820" s="69"/>
      <c r="AR820" s="69"/>
      <c r="AS820" s="69"/>
      <c r="AT820" s="69"/>
      <c r="AU820" s="69"/>
      <c r="AV820" s="69"/>
      <c r="AW820" s="69"/>
      <c r="AX820" s="69"/>
      <c r="AY820" s="69"/>
    </row>
    <row r="821" ht="15.75" customHeight="1">
      <c r="A821" s="69"/>
      <c r="B821" s="69"/>
      <c r="C821" s="69"/>
      <c r="D821" s="4"/>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c r="AN821" s="69"/>
      <c r="AO821" s="69"/>
      <c r="AP821" s="69"/>
      <c r="AQ821" s="69"/>
      <c r="AR821" s="69"/>
      <c r="AS821" s="69"/>
      <c r="AT821" s="69"/>
      <c r="AU821" s="69"/>
      <c r="AV821" s="69"/>
      <c r="AW821" s="69"/>
      <c r="AX821" s="69"/>
      <c r="AY821" s="69"/>
    </row>
    <row r="822" ht="15.75" customHeight="1">
      <c r="A822" s="69"/>
      <c r="B822" s="69"/>
      <c r="C822" s="69"/>
      <c r="D822" s="4"/>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c r="AP822" s="69"/>
      <c r="AQ822" s="69"/>
      <c r="AR822" s="69"/>
      <c r="AS822" s="69"/>
      <c r="AT822" s="69"/>
      <c r="AU822" s="69"/>
      <c r="AV822" s="69"/>
      <c r="AW822" s="69"/>
      <c r="AX822" s="69"/>
      <c r="AY822" s="69"/>
    </row>
    <row r="823" ht="15.75" customHeight="1">
      <c r="A823" s="69"/>
      <c r="B823" s="69"/>
      <c r="C823" s="69"/>
      <c r="D823" s="4"/>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c r="AN823" s="69"/>
      <c r="AO823" s="69"/>
      <c r="AP823" s="69"/>
      <c r="AQ823" s="69"/>
      <c r="AR823" s="69"/>
      <c r="AS823" s="69"/>
      <c r="AT823" s="69"/>
      <c r="AU823" s="69"/>
      <c r="AV823" s="69"/>
      <c r="AW823" s="69"/>
      <c r="AX823" s="69"/>
      <c r="AY823" s="69"/>
    </row>
    <row r="824" ht="15.75" customHeight="1">
      <c r="A824" s="69"/>
      <c r="B824" s="69"/>
      <c r="C824" s="69"/>
      <c r="D824" s="4"/>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c r="AP824" s="69"/>
      <c r="AQ824" s="69"/>
      <c r="AR824" s="69"/>
      <c r="AS824" s="69"/>
      <c r="AT824" s="69"/>
      <c r="AU824" s="69"/>
      <c r="AV824" s="69"/>
      <c r="AW824" s="69"/>
      <c r="AX824" s="69"/>
      <c r="AY824" s="69"/>
    </row>
    <row r="825" ht="15.75" customHeight="1">
      <c r="A825" s="69"/>
      <c r="B825" s="69"/>
      <c r="C825" s="69"/>
      <c r="D825" s="4"/>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c r="AN825" s="69"/>
      <c r="AO825" s="69"/>
      <c r="AP825" s="69"/>
      <c r="AQ825" s="69"/>
      <c r="AR825" s="69"/>
      <c r="AS825" s="69"/>
      <c r="AT825" s="69"/>
      <c r="AU825" s="69"/>
      <c r="AV825" s="69"/>
      <c r="AW825" s="69"/>
      <c r="AX825" s="69"/>
      <c r="AY825" s="69"/>
    </row>
    <row r="826" ht="15.75" customHeight="1">
      <c r="A826" s="69"/>
      <c r="B826" s="69"/>
      <c r="C826" s="69"/>
      <c r="D826" s="4"/>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c r="AN826" s="69"/>
      <c r="AO826" s="69"/>
      <c r="AP826" s="69"/>
      <c r="AQ826" s="69"/>
      <c r="AR826" s="69"/>
      <c r="AS826" s="69"/>
      <c r="AT826" s="69"/>
      <c r="AU826" s="69"/>
      <c r="AV826" s="69"/>
      <c r="AW826" s="69"/>
      <c r="AX826" s="69"/>
      <c r="AY826" s="69"/>
    </row>
    <row r="827" ht="15.75" customHeight="1">
      <c r="A827" s="69"/>
      <c r="B827" s="69"/>
      <c r="C827" s="69"/>
      <c r="D827" s="4"/>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c r="AN827" s="69"/>
      <c r="AO827" s="69"/>
      <c r="AP827" s="69"/>
      <c r="AQ827" s="69"/>
      <c r="AR827" s="69"/>
      <c r="AS827" s="69"/>
      <c r="AT827" s="69"/>
      <c r="AU827" s="69"/>
      <c r="AV827" s="69"/>
      <c r="AW827" s="69"/>
      <c r="AX827" s="69"/>
      <c r="AY827" s="69"/>
    </row>
    <row r="828" ht="15.75" customHeight="1">
      <c r="A828" s="69"/>
      <c r="B828" s="69"/>
      <c r="C828" s="69"/>
      <c r="D828" s="4"/>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c r="AN828" s="69"/>
      <c r="AO828" s="69"/>
      <c r="AP828" s="69"/>
      <c r="AQ828" s="69"/>
      <c r="AR828" s="69"/>
      <c r="AS828" s="69"/>
      <c r="AT828" s="69"/>
      <c r="AU828" s="69"/>
      <c r="AV828" s="69"/>
      <c r="AW828" s="69"/>
      <c r="AX828" s="69"/>
      <c r="AY828" s="69"/>
    </row>
    <row r="829" ht="15.75" customHeight="1">
      <c r="A829" s="69"/>
      <c r="B829" s="69"/>
      <c r="C829" s="69"/>
      <c r="D829" s="4"/>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c r="AN829" s="69"/>
      <c r="AO829" s="69"/>
      <c r="AP829" s="69"/>
      <c r="AQ829" s="69"/>
      <c r="AR829" s="69"/>
      <c r="AS829" s="69"/>
      <c r="AT829" s="69"/>
      <c r="AU829" s="69"/>
      <c r="AV829" s="69"/>
      <c r="AW829" s="69"/>
      <c r="AX829" s="69"/>
      <c r="AY829" s="69"/>
    </row>
    <row r="830" ht="15.75" customHeight="1">
      <c r="A830" s="69"/>
      <c r="B830" s="69"/>
      <c r="C830" s="69"/>
      <c r="D830" s="4"/>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c r="AP830" s="69"/>
      <c r="AQ830" s="69"/>
      <c r="AR830" s="69"/>
      <c r="AS830" s="69"/>
      <c r="AT830" s="69"/>
      <c r="AU830" s="69"/>
      <c r="AV830" s="69"/>
      <c r="AW830" s="69"/>
      <c r="AX830" s="69"/>
      <c r="AY830" s="69"/>
    </row>
    <row r="831" ht="15.75" customHeight="1">
      <c r="A831" s="69"/>
      <c r="B831" s="69"/>
      <c r="C831" s="69"/>
      <c r="D831" s="4"/>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c r="AN831" s="69"/>
      <c r="AO831" s="69"/>
      <c r="AP831" s="69"/>
      <c r="AQ831" s="69"/>
      <c r="AR831" s="69"/>
      <c r="AS831" s="69"/>
      <c r="AT831" s="69"/>
      <c r="AU831" s="69"/>
      <c r="AV831" s="69"/>
      <c r="AW831" s="69"/>
      <c r="AX831" s="69"/>
      <c r="AY831" s="69"/>
    </row>
    <row r="832" ht="15.75" customHeight="1">
      <c r="A832" s="69"/>
      <c r="B832" s="69"/>
      <c r="C832" s="69"/>
      <c r="D832" s="4"/>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c r="AV832" s="69"/>
      <c r="AW832" s="69"/>
      <c r="AX832" s="69"/>
      <c r="AY832" s="69"/>
    </row>
    <row r="833" ht="15.75" customHeight="1">
      <c r="A833" s="69"/>
      <c r="B833" s="69"/>
      <c r="C833" s="69"/>
      <c r="D833" s="4"/>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c r="AN833" s="69"/>
      <c r="AO833" s="69"/>
      <c r="AP833" s="69"/>
      <c r="AQ833" s="69"/>
      <c r="AR833" s="69"/>
      <c r="AS833" s="69"/>
      <c r="AT833" s="69"/>
      <c r="AU833" s="69"/>
      <c r="AV833" s="69"/>
      <c r="AW833" s="69"/>
      <c r="AX833" s="69"/>
      <c r="AY833" s="69"/>
    </row>
    <row r="834" ht="15.75" customHeight="1">
      <c r="A834" s="69"/>
      <c r="B834" s="69"/>
      <c r="C834" s="69"/>
      <c r="D834" s="4"/>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c r="AV834" s="69"/>
      <c r="AW834" s="69"/>
      <c r="AX834" s="69"/>
      <c r="AY834" s="69"/>
    </row>
    <row r="835" ht="15.75" customHeight="1">
      <c r="A835" s="69"/>
      <c r="B835" s="69"/>
      <c r="C835" s="69"/>
      <c r="D835" s="4"/>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c r="AN835" s="69"/>
      <c r="AO835" s="69"/>
      <c r="AP835" s="69"/>
      <c r="AQ835" s="69"/>
      <c r="AR835" s="69"/>
      <c r="AS835" s="69"/>
      <c r="AT835" s="69"/>
      <c r="AU835" s="69"/>
      <c r="AV835" s="69"/>
      <c r="AW835" s="69"/>
      <c r="AX835" s="69"/>
      <c r="AY835" s="69"/>
    </row>
    <row r="836" ht="15.75" customHeight="1">
      <c r="A836" s="69"/>
      <c r="B836" s="69"/>
      <c r="C836" s="69"/>
      <c r="D836" s="4"/>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c r="AN836" s="69"/>
      <c r="AO836" s="69"/>
      <c r="AP836" s="69"/>
      <c r="AQ836" s="69"/>
      <c r="AR836" s="69"/>
      <c r="AS836" s="69"/>
      <c r="AT836" s="69"/>
      <c r="AU836" s="69"/>
      <c r="AV836" s="69"/>
      <c r="AW836" s="69"/>
      <c r="AX836" s="69"/>
      <c r="AY836" s="69"/>
    </row>
    <row r="837" ht="15.75" customHeight="1">
      <c r="A837" s="69"/>
      <c r="B837" s="69"/>
      <c r="C837" s="69"/>
      <c r="D837" s="4"/>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c r="AN837" s="69"/>
      <c r="AO837" s="69"/>
      <c r="AP837" s="69"/>
      <c r="AQ837" s="69"/>
      <c r="AR837" s="69"/>
      <c r="AS837" s="69"/>
      <c r="AT837" s="69"/>
      <c r="AU837" s="69"/>
      <c r="AV837" s="69"/>
      <c r="AW837" s="69"/>
      <c r="AX837" s="69"/>
      <c r="AY837" s="69"/>
    </row>
    <row r="838" ht="15.75" customHeight="1">
      <c r="A838" s="69"/>
      <c r="B838" s="69"/>
      <c r="C838" s="69"/>
      <c r="D838" s="4"/>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c r="AP838" s="69"/>
      <c r="AQ838" s="69"/>
      <c r="AR838" s="69"/>
      <c r="AS838" s="69"/>
      <c r="AT838" s="69"/>
      <c r="AU838" s="69"/>
      <c r="AV838" s="69"/>
      <c r="AW838" s="69"/>
      <c r="AX838" s="69"/>
      <c r="AY838" s="69"/>
    </row>
    <row r="839" ht="15.75" customHeight="1">
      <c r="A839" s="69"/>
      <c r="B839" s="69"/>
      <c r="C839" s="69"/>
      <c r="D839" s="4"/>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c r="AN839" s="69"/>
      <c r="AO839" s="69"/>
      <c r="AP839" s="69"/>
      <c r="AQ839" s="69"/>
      <c r="AR839" s="69"/>
      <c r="AS839" s="69"/>
      <c r="AT839" s="69"/>
      <c r="AU839" s="69"/>
      <c r="AV839" s="69"/>
      <c r="AW839" s="69"/>
      <c r="AX839" s="69"/>
      <c r="AY839" s="69"/>
    </row>
    <row r="840" ht="15.75" customHeight="1">
      <c r="A840" s="69"/>
      <c r="B840" s="69"/>
      <c r="C840" s="69"/>
      <c r="D840" s="4"/>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c r="AP840" s="69"/>
      <c r="AQ840" s="69"/>
      <c r="AR840" s="69"/>
      <c r="AS840" s="69"/>
      <c r="AT840" s="69"/>
      <c r="AU840" s="69"/>
      <c r="AV840" s="69"/>
      <c r="AW840" s="69"/>
      <c r="AX840" s="69"/>
      <c r="AY840" s="69"/>
    </row>
    <row r="841" ht="15.75" customHeight="1">
      <c r="A841" s="69"/>
      <c r="B841" s="69"/>
      <c r="C841" s="69"/>
      <c r="D841" s="4"/>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c r="AN841" s="69"/>
      <c r="AO841" s="69"/>
      <c r="AP841" s="69"/>
      <c r="AQ841" s="69"/>
      <c r="AR841" s="69"/>
      <c r="AS841" s="69"/>
      <c r="AT841" s="69"/>
      <c r="AU841" s="69"/>
      <c r="AV841" s="69"/>
      <c r="AW841" s="69"/>
      <c r="AX841" s="69"/>
      <c r="AY841" s="69"/>
    </row>
    <row r="842" ht="15.75" customHeight="1">
      <c r="A842" s="69"/>
      <c r="B842" s="69"/>
      <c r="C842" s="69"/>
      <c r="D842" s="4"/>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c r="AN842" s="69"/>
      <c r="AO842" s="69"/>
      <c r="AP842" s="69"/>
      <c r="AQ842" s="69"/>
      <c r="AR842" s="69"/>
      <c r="AS842" s="69"/>
      <c r="AT842" s="69"/>
      <c r="AU842" s="69"/>
      <c r="AV842" s="69"/>
      <c r="AW842" s="69"/>
      <c r="AX842" s="69"/>
      <c r="AY842" s="69"/>
    </row>
    <row r="843" ht="15.75" customHeight="1">
      <c r="A843" s="69"/>
      <c r="B843" s="69"/>
      <c r="C843" s="69"/>
      <c r="D843" s="4"/>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c r="AN843" s="69"/>
      <c r="AO843" s="69"/>
      <c r="AP843" s="69"/>
      <c r="AQ843" s="69"/>
      <c r="AR843" s="69"/>
      <c r="AS843" s="69"/>
      <c r="AT843" s="69"/>
      <c r="AU843" s="69"/>
      <c r="AV843" s="69"/>
      <c r="AW843" s="69"/>
      <c r="AX843" s="69"/>
      <c r="AY843" s="69"/>
    </row>
    <row r="844" ht="15.75" customHeight="1">
      <c r="A844" s="69"/>
      <c r="B844" s="69"/>
      <c r="C844" s="69"/>
      <c r="D844" s="4"/>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c r="AN844" s="69"/>
      <c r="AO844" s="69"/>
      <c r="AP844" s="69"/>
      <c r="AQ844" s="69"/>
      <c r="AR844" s="69"/>
      <c r="AS844" s="69"/>
      <c r="AT844" s="69"/>
      <c r="AU844" s="69"/>
      <c r="AV844" s="69"/>
      <c r="AW844" s="69"/>
      <c r="AX844" s="69"/>
      <c r="AY844" s="69"/>
    </row>
    <row r="845" ht="15.75" customHeight="1">
      <c r="A845" s="69"/>
      <c r="B845" s="69"/>
      <c r="C845" s="69"/>
      <c r="D845" s="4"/>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c r="AN845" s="69"/>
      <c r="AO845" s="69"/>
      <c r="AP845" s="69"/>
      <c r="AQ845" s="69"/>
      <c r="AR845" s="69"/>
      <c r="AS845" s="69"/>
      <c r="AT845" s="69"/>
      <c r="AU845" s="69"/>
      <c r="AV845" s="69"/>
      <c r="AW845" s="69"/>
      <c r="AX845" s="69"/>
      <c r="AY845" s="69"/>
    </row>
    <row r="846" ht="15.75" customHeight="1">
      <c r="A846" s="69"/>
      <c r="B846" s="69"/>
      <c r="C846" s="69"/>
      <c r="D846" s="4"/>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c r="AP846" s="69"/>
      <c r="AQ846" s="69"/>
      <c r="AR846" s="69"/>
      <c r="AS846" s="69"/>
      <c r="AT846" s="69"/>
      <c r="AU846" s="69"/>
      <c r="AV846" s="69"/>
      <c r="AW846" s="69"/>
      <c r="AX846" s="69"/>
      <c r="AY846" s="69"/>
    </row>
    <row r="847" ht="15.75" customHeight="1">
      <c r="A847" s="69"/>
      <c r="B847" s="69"/>
      <c r="C847" s="69"/>
      <c r="D847" s="4"/>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c r="AN847" s="69"/>
      <c r="AO847" s="69"/>
      <c r="AP847" s="69"/>
      <c r="AQ847" s="69"/>
      <c r="AR847" s="69"/>
      <c r="AS847" s="69"/>
      <c r="AT847" s="69"/>
      <c r="AU847" s="69"/>
      <c r="AV847" s="69"/>
      <c r="AW847" s="69"/>
      <c r="AX847" s="69"/>
      <c r="AY847" s="69"/>
    </row>
    <row r="848" ht="15.75" customHeight="1">
      <c r="A848" s="69"/>
      <c r="B848" s="69"/>
      <c r="C848" s="69"/>
      <c r="D848" s="4"/>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c r="AP848" s="69"/>
      <c r="AQ848" s="69"/>
      <c r="AR848" s="69"/>
      <c r="AS848" s="69"/>
      <c r="AT848" s="69"/>
      <c r="AU848" s="69"/>
      <c r="AV848" s="69"/>
      <c r="AW848" s="69"/>
      <c r="AX848" s="69"/>
      <c r="AY848" s="69"/>
    </row>
    <row r="849" ht="15.75" customHeight="1">
      <c r="A849" s="69"/>
      <c r="B849" s="69"/>
      <c r="C849" s="69"/>
      <c r="D849" s="4"/>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c r="AN849" s="69"/>
      <c r="AO849" s="69"/>
      <c r="AP849" s="69"/>
      <c r="AQ849" s="69"/>
      <c r="AR849" s="69"/>
      <c r="AS849" s="69"/>
      <c r="AT849" s="69"/>
      <c r="AU849" s="69"/>
      <c r="AV849" s="69"/>
      <c r="AW849" s="69"/>
      <c r="AX849" s="69"/>
      <c r="AY849" s="69"/>
    </row>
    <row r="850" ht="15.75" customHeight="1">
      <c r="A850" s="69"/>
      <c r="B850" s="69"/>
      <c r="C850" s="69"/>
      <c r="D850" s="4"/>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c r="AN850" s="69"/>
      <c r="AO850" s="69"/>
      <c r="AP850" s="69"/>
      <c r="AQ850" s="69"/>
      <c r="AR850" s="69"/>
      <c r="AS850" s="69"/>
      <c r="AT850" s="69"/>
      <c r="AU850" s="69"/>
      <c r="AV850" s="69"/>
      <c r="AW850" s="69"/>
      <c r="AX850" s="69"/>
      <c r="AY850" s="69"/>
    </row>
    <row r="851" ht="15.75" customHeight="1">
      <c r="A851" s="69"/>
      <c r="B851" s="69"/>
      <c r="C851" s="69"/>
      <c r="D851" s="4"/>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c r="AN851" s="69"/>
      <c r="AO851" s="69"/>
      <c r="AP851" s="69"/>
      <c r="AQ851" s="69"/>
      <c r="AR851" s="69"/>
      <c r="AS851" s="69"/>
      <c r="AT851" s="69"/>
      <c r="AU851" s="69"/>
      <c r="AV851" s="69"/>
      <c r="AW851" s="69"/>
      <c r="AX851" s="69"/>
      <c r="AY851" s="69"/>
    </row>
    <row r="852" ht="15.75" customHeight="1">
      <c r="A852" s="69"/>
      <c r="B852" s="69"/>
      <c r="C852" s="69"/>
      <c r="D852" s="4"/>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c r="AN852" s="69"/>
      <c r="AO852" s="69"/>
      <c r="AP852" s="69"/>
      <c r="AQ852" s="69"/>
      <c r="AR852" s="69"/>
      <c r="AS852" s="69"/>
      <c r="AT852" s="69"/>
      <c r="AU852" s="69"/>
      <c r="AV852" s="69"/>
      <c r="AW852" s="69"/>
      <c r="AX852" s="69"/>
      <c r="AY852" s="69"/>
    </row>
    <row r="853" ht="15.75" customHeight="1">
      <c r="A853" s="69"/>
      <c r="B853" s="69"/>
      <c r="C853" s="69"/>
      <c r="D853" s="4"/>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c r="AN853" s="69"/>
      <c r="AO853" s="69"/>
      <c r="AP853" s="69"/>
      <c r="AQ853" s="69"/>
      <c r="AR853" s="69"/>
      <c r="AS853" s="69"/>
      <c r="AT853" s="69"/>
      <c r="AU853" s="69"/>
      <c r="AV853" s="69"/>
      <c r="AW853" s="69"/>
      <c r="AX853" s="69"/>
      <c r="AY853" s="69"/>
    </row>
    <row r="854" ht="15.75" customHeight="1">
      <c r="A854" s="69"/>
      <c r="B854" s="69"/>
      <c r="C854" s="69"/>
      <c r="D854" s="4"/>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c r="AP854" s="69"/>
      <c r="AQ854" s="69"/>
      <c r="AR854" s="69"/>
      <c r="AS854" s="69"/>
      <c r="AT854" s="69"/>
      <c r="AU854" s="69"/>
      <c r="AV854" s="69"/>
      <c r="AW854" s="69"/>
      <c r="AX854" s="69"/>
      <c r="AY854" s="69"/>
    </row>
    <row r="855" ht="15.75" customHeight="1">
      <c r="A855" s="69"/>
      <c r="B855" s="69"/>
      <c r="C855" s="69"/>
      <c r="D855" s="4"/>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c r="AN855" s="69"/>
      <c r="AO855" s="69"/>
      <c r="AP855" s="69"/>
      <c r="AQ855" s="69"/>
      <c r="AR855" s="69"/>
      <c r="AS855" s="69"/>
      <c r="AT855" s="69"/>
      <c r="AU855" s="69"/>
      <c r="AV855" s="69"/>
      <c r="AW855" s="69"/>
      <c r="AX855" s="69"/>
      <c r="AY855" s="69"/>
    </row>
    <row r="856" ht="15.75" customHeight="1">
      <c r="A856" s="69"/>
      <c r="B856" s="69"/>
      <c r="C856" s="69"/>
      <c r="D856" s="4"/>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c r="AP856" s="69"/>
      <c r="AQ856" s="69"/>
      <c r="AR856" s="69"/>
      <c r="AS856" s="69"/>
      <c r="AT856" s="69"/>
      <c r="AU856" s="69"/>
      <c r="AV856" s="69"/>
      <c r="AW856" s="69"/>
      <c r="AX856" s="69"/>
      <c r="AY856" s="69"/>
    </row>
    <row r="857" ht="15.75" customHeight="1">
      <c r="A857" s="69"/>
      <c r="B857" s="69"/>
      <c r="C857" s="69"/>
      <c r="D857" s="4"/>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c r="AN857" s="69"/>
      <c r="AO857" s="69"/>
      <c r="AP857" s="69"/>
      <c r="AQ857" s="69"/>
      <c r="AR857" s="69"/>
      <c r="AS857" s="69"/>
      <c r="AT857" s="69"/>
      <c r="AU857" s="69"/>
      <c r="AV857" s="69"/>
      <c r="AW857" s="69"/>
      <c r="AX857" s="69"/>
      <c r="AY857" s="69"/>
    </row>
    <row r="858" ht="15.75" customHeight="1">
      <c r="A858" s="69"/>
      <c r="B858" s="69"/>
      <c r="C858" s="69"/>
      <c r="D858" s="4"/>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c r="AN858" s="69"/>
      <c r="AO858" s="69"/>
      <c r="AP858" s="69"/>
      <c r="AQ858" s="69"/>
      <c r="AR858" s="69"/>
      <c r="AS858" s="69"/>
      <c r="AT858" s="69"/>
      <c r="AU858" s="69"/>
      <c r="AV858" s="69"/>
      <c r="AW858" s="69"/>
      <c r="AX858" s="69"/>
      <c r="AY858" s="69"/>
    </row>
    <row r="859" ht="15.75" customHeight="1">
      <c r="A859" s="69"/>
      <c r="B859" s="69"/>
      <c r="C859" s="69"/>
      <c r="D859" s="4"/>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c r="AN859" s="69"/>
      <c r="AO859" s="69"/>
      <c r="AP859" s="69"/>
      <c r="AQ859" s="69"/>
      <c r="AR859" s="69"/>
      <c r="AS859" s="69"/>
      <c r="AT859" s="69"/>
      <c r="AU859" s="69"/>
      <c r="AV859" s="69"/>
      <c r="AW859" s="69"/>
      <c r="AX859" s="69"/>
      <c r="AY859" s="69"/>
    </row>
    <row r="860" ht="15.75" customHeight="1">
      <c r="A860" s="69"/>
      <c r="B860" s="69"/>
      <c r="C860" s="69"/>
      <c r="D860" s="4"/>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c r="AN860" s="69"/>
      <c r="AO860" s="69"/>
      <c r="AP860" s="69"/>
      <c r="AQ860" s="69"/>
      <c r="AR860" s="69"/>
      <c r="AS860" s="69"/>
      <c r="AT860" s="69"/>
      <c r="AU860" s="69"/>
      <c r="AV860" s="69"/>
      <c r="AW860" s="69"/>
      <c r="AX860" s="69"/>
      <c r="AY860" s="69"/>
    </row>
    <row r="861" ht="15.75" customHeight="1">
      <c r="A861" s="69"/>
      <c r="B861" s="69"/>
      <c r="C861" s="69"/>
      <c r="D861" s="4"/>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c r="AN861" s="69"/>
      <c r="AO861" s="69"/>
      <c r="AP861" s="69"/>
      <c r="AQ861" s="69"/>
      <c r="AR861" s="69"/>
      <c r="AS861" s="69"/>
      <c r="AT861" s="69"/>
      <c r="AU861" s="69"/>
      <c r="AV861" s="69"/>
      <c r="AW861" s="69"/>
      <c r="AX861" s="69"/>
      <c r="AY861" s="69"/>
    </row>
    <row r="862" ht="15.75" customHeight="1">
      <c r="A862" s="69"/>
      <c r="B862" s="69"/>
      <c r="C862" s="69"/>
      <c r="D862" s="4"/>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c r="AP862" s="69"/>
      <c r="AQ862" s="69"/>
      <c r="AR862" s="69"/>
      <c r="AS862" s="69"/>
      <c r="AT862" s="69"/>
      <c r="AU862" s="69"/>
      <c r="AV862" s="69"/>
      <c r="AW862" s="69"/>
      <c r="AX862" s="69"/>
      <c r="AY862" s="69"/>
    </row>
    <row r="863" ht="15.75" customHeight="1">
      <c r="A863" s="69"/>
      <c r="B863" s="69"/>
      <c r="C863" s="69"/>
      <c r="D863" s="4"/>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c r="AN863" s="69"/>
      <c r="AO863" s="69"/>
      <c r="AP863" s="69"/>
      <c r="AQ863" s="69"/>
      <c r="AR863" s="69"/>
      <c r="AS863" s="69"/>
      <c r="AT863" s="69"/>
      <c r="AU863" s="69"/>
      <c r="AV863" s="69"/>
      <c r="AW863" s="69"/>
      <c r="AX863" s="69"/>
      <c r="AY863" s="69"/>
    </row>
    <row r="864" ht="15.75" customHeight="1">
      <c r="A864" s="69"/>
      <c r="B864" s="69"/>
      <c r="C864" s="69"/>
      <c r="D864" s="4"/>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c r="AP864" s="69"/>
      <c r="AQ864" s="69"/>
      <c r="AR864" s="69"/>
      <c r="AS864" s="69"/>
      <c r="AT864" s="69"/>
      <c r="AU864" s="69"/>
      <c r="AV864" s="69"/>
      <c r="AW864" s="69"/>
      <c r="AX864" s="69"/>
      <c r="AY864" s="69"/>
    </row>
    <row r="865" ht="15.75" customHeight="1">
      <c r="A865" s="69"/>
      <c r="B865" s="69"/>
      <c r="C865" s="69"/>
      <c r="D865" s="4"/>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c r="AN865" s="69"/>
      <c r="AO865" s="69"/>
      <c r="AP865" s="69"/>
      <c r="AQ865" s="69"/>
      <c r="AR865" s="69"/>
      <c r="AS865" s="69"/>
      <c r="AT865" s="69"/>
      <c r="AU865" s="69"/>
      <c r="AV865" s="69"/>
      <c r="AW865" s="69"/>
      <c r="AX865" s="69"/>
      <c r="AY865" s="69"/>
    </row>
    <row r="866" ht="15.75" customHeight="1">
      <c r="A866" s="69"/>
      <c r="B866" s="69"/>
      <c r="C866" s="69"/>
      <c r="D866" s="4"/>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c r="AN866" s="69"/>
      <c r="AO866" s="69"/>
      <c r="AP866" s="69"/>
      <c r="AQ866" s="69"/>
      <c r="AR866" s="69"/>
      <c r="AS866" s="69"/>
      <c r="AT866" s="69"/>
      <c r="AU866" s="69"/>
      <c r="AV866" s="69"/>
      <c r="AW866" s="69"/>
      <c r="AX866" s="69"/>
      <c r="AY866" s="69"/>
    </row>
    <row r="867" ht="15.75" customHeight="1">
      <c r="A867" s="69"/>
      <c r="B867" s="69"/>
      <c r="C867" s="69"/>
      <c r="D867" s="4"/>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c r="AN867" s="69"/>
      <c r="AO867" s="69"/>
      <c r="AP867" s="69"/>
      <c r="AQ867" s="69"/>
      <c r="AR867" s="69"/>
      <c r="AS867" s="69"/>
      <c r="AT867" s="69"/>
      <c r="AU867" s="69"/>
      <c r="AV867" s="69"/>
      <c r="AW867" s="69"/>
      <c r="AX867" s="69"/>
      <c r="AY867" s="69"/>
    </row>
    <row r="868" ht="15.75" customHeight="1">
      <c r="A868" s="69"/>
      <c r="B868" s="69"/>
      <c r="C868" s="69"/>
      <c r="D868" s="4"/>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c r="AN868" s="69"/>
      <c r="AO868" s="69"/>
      <c r="AP868" s="69"/>
      <c r="AQ868" s="69"/>
      <c r="AR868" s="69"/>
      <c r="AS868" s="69"/>
      <c r="AT868" s="69"/>
      <c r="AU868" s="69"/>
      <c r="AV868" s="69"/>
      <c r="AW868" s="69"/>
      <c r="AX868" s="69"/>
      <c r="AY868" s="69"/>
    </row>
    <row r="869" ht="15.75" customHeight="1">
      <c r="A869" s="69"/>
      <c r="B869" s="69"/>
      <c r="C869" s="69"/>
      <c r="D869" s="4"/>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c r="AN869" s="69"/>
      <c r="AO869" s="69"/>
      <c r="AP869" s="69"/>
      <c r="AQ869" s="69"/>
      <c r="AR869" s="69"/>
      <c r="AS869" s="69"/>
      <c r="AT869" s="69"/>
      <c r="AU869" s="69"/>
      <c r="AV869" s="69"/>
      <c r="AW869" s="69"/>
      <c r="AX869" s="69"/>
      <c r="AY869" s="69"/>
    </row>
    <row r="870" ht="15.75" customHeight="1">
      <c r="A870" s="69"/>
      <c r="B870" s="69"/>
      <c r="C870" s="69"/>
      <c r="D870" s="4"/>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c r="AP870" s="69"/>
      <c r="AQ870" s="69"/>
      <c r="AR870" s="69"/>
      <c r="AS870" s="69"/>
      <c r="AT870" s="69"/>
      <c r="AU870" s="69"/>
      <c r="AV870" s="69"/>
      <c r="AW870" s="69"/>
      <c r="AX870" s="69"/>
      <c r="AY870" s="69"/>
    </row>
    <row r="871" ht="15.75" customHeight="1">
      <c r="A871" s="69"/>
      <c r="B871" s="69"/>
      <c r="C871" s="69"/>
      <c r="D871" s="4"/>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c r="AN871" s="69"/>
      <c r="AO871" s="69"/>
      <c r="AP871" s="69"/>
      <c r="AQ871" s="69"/>
      <c r="AR871" s="69"/>
      <c r="AS871" s="69"/>
      <c r="AT871" s="69"/>
      <c r="AU871" s="69"/>
      <c r="AV871" s="69"/>
      <c r="AW871" s="69"/>
      <c r="AX871" s="69"/>
      <c r="AY871" s="69"/>
    </row>
    <row r="872" ht="15.75" customHeight="1">
      <c r="A872" s="69"/>
      <c r="B872" s="69"/>
      <c r="C872" s="69"/>
      <c r="D872" s="4"/>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c r="AP872" s="69"/>
      <c r="AQ872" s="69"/>
      <c r="AR872" s="69"/>
      <c r="AS872" s="69"/>
      <c r="AT872" s="69"/>
      <c r="AU872" s="69"/>
      <c r="AV872" s="69"/>
      <c r="AW872" s="69"/>
      <c r="AX872" s="69"/>
      <c r="AY872" s="69"/>
    </row>
    <row r="873" ht="15.75" customHeight="1">
      <c r="A873" s="69"/>
      <c r="B873" s="69"/>
      <c r="C873" s="69"/>
      <c r="D873" s="4"/>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c r="AN873" s="69"/>
      <c r="AO873" s="69"/>
      <c r="AP873" s="69"/>
      <c r="AQ873" s="69"/>
      <c r="AR873" s="69"/>
      <c r="AS873" s="69"/>
      <c r="AT873" s="69"/>
      <c r="AU873" s="69"/>
      <c r="AV873" s="69"/>
      <c r="AW873" s="69"/>
      <c r="AX873" s="69"/>
      <c r="AY873" s="69"/>
    </row>
    <row r="874" ht="15.75" customHeight="1">
      <c r="A874" s="69"/>
      <c r="B874" s="69"/>
      <c r="C874" s="69"/>
      <c r="D874" s="4"/>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c r="AN874" s="69"/>
      <c r="AO874" s="69"/>
      <c r="AP874" s="69"/>
      <c r="AQ874" s="69"/>
      <c r="AR874" s="69"/>
      <c r="AS874" s="69"/>
      <c r="AT874" s="69"/>
      <c r="AU874" s="69"/>
      <c r="AV874" s="69"/>
      <c r="AW874" s="69"/>
      <c r="AX874" s="69"/>
      <c r="AY874" s="69"/>
    </row>
    <row r="875" ht="15.75" customHeight="1">
      <c r="A875" s="69"/>
      <c r="B875" s="69"/>
      <c r="C875" s="69"/>
      <c r="D875" s="4"/>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c r="AN875" s="69"/>
      <c r="AO875" s="69"/>
      <c r="AP875" s="69"/>
      <c r="AQ875" s="69"/>
      <c r="AR875" s="69"/>
      <c r="AS875" s="69"/>
      <c r="AT875" s="69"/>
      <c r="AU875" s="69"/>
      <c r="AV875" s="69"/>
      <c r="AW875" s="69"/>
      <c r="AX875" s="69"/>
      <c r="AY875" s="69"/>
    </row>
    <row r="876" ht="15.75" customHeight="1">
      <c r="A876" s="69"/>
      <c r="B876" s="69"/>
      <c r="C876" s="69"/>
      <c r="D876" s="4"/>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c r="AN876" s="69"/>
      <c r="AO876" s="69"/>
      <c r="AP876" s="69"/>
      <c r="AQ876" s="69"/>
      <c r="AR876" s="69"/>
      <c r="AS876" s="69"/>
      <c r="AT876" s="69"/>
      <c r="AU876" s="69"/>
      <c r="AV876" s="69"/>
      <c r="AW876" s="69"/>
      <c r="AX876" s="69"/>
      <c r="AY876" s="69"/>
    </row>
    <row r="877" ht="15.75" customHeight="1">
      <c r="A877" s="69"/>
      <c r="B877" s="69"/>
      <c r="C877" s="69"/>
      <c r="D877" s="4"/>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c r="AN877" s="69"/>
      <c r="AO877" s="69"/>
      <c r="AP877" s="69"/>
      <c r="AQ877" s="69"/>
      <c r="AR877" s="69"/>
      <c r="AS877" s="69"/>
      <c r="AT877" s="69"/>
      <c r="AU877" s="69"/>
      <c r="AV877" s="69"/>
      <c r="AW877" s="69"/>
      <c r="AX877" s="69"/>
      <c r="AY877" s="69"/>
    </row>
    <row r="878" ht="15.75" customHeight="1">
      <c r="A878" s="69"/>
      <c r="B878" s="69"/>
      <c r="C878" s="69"/>
      <c r="D878" s="4"/>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c r="AP878" s="69"/>
      <c r="AQ878" s="69"/>
      <c r="AR878" s="69"/>
      <c r="AS878" s="69"/>
      <c r="AT878" s="69"/>
      <c r="AU878" s="69"/>
      <c r="AV878" s="69"/>
      <c r="AW878" s="69"/>
      <c r="AX878" s="69"/>
      <c r="AY878" s="69"/>
    </row>
    <row r="879" ht="15.75" customHeight="1">
      <c r="A879" s="69"/>
      <c r="B879" s="69"/>
      <c r="C879" s="69"/>
      <c r="D879" s="4"/>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c r="AN879" s="69"/>
      <c r="AO879" s="69"/>
      <c r="AP879" s="69"/>
      <c r="AQ879" s="69"/>
      <c r="AR879" s="69"/>
      <c r="AS879" s="69"/>
      <c r="AT879" s="69"/>
      <c r="AU879" s="69"/>
      <c r="AV879" s="69"/>
      <c r="AW879" s="69"/>
      <c r="AX879" s="69"/>
      <c r="AY879" s="69"/>
    </row>
    <row r="880" ht="15.75" customHeight="1">
      <c r="A880" s="69"/>
      <c r="B880" s="69"/>
      <c r="C880" s="69"/>
      <c r="D880" s="4"/>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c r="AP880" s="69"/>
      <c r="AQ880" s="69"/>
      <c r="AR880" s="69"/>
      <c r="AS880" s="69"/>
      <c r="AT880" s="69"/>
      <c r="AU880" s="69"/>
      <c r="AV880" s="69"/>
      <c r="AW880" s="69"/>
      <c r="AX880" s="69"/>
      <c r="AY880" s="69"/>
    </row>
    <row r="881" ht="15.75" customHeight="1">
      <c r="A881" s="69"/>
      <c r="B881" s="69"/>
      <c r="C881" s="69"/>
      <c r="D881" s="4"/>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c r="AN881" s="69"/>
      <c r="AO881" s="69"/>
      <c r="AP881" s="69"/>
      <c r="AQ881" s="69"/>
      <c r="AR881" s="69"/>
      <c r="AS881" s="69"/>
      <c r="AT881" s="69"/>
      <c r="AU881" s="69"/>
      <c r="AV881" s="69"/>
      <c r="AW881" s="69"/>
      <c r="AX881" s="69"/>
      <c r="AY881" s="69"/>
    </row>
    <row r="882" ht="15.75" customHeight="1">
      <c r="A882" s="69"/>
      <c r="B882" s="69"/>
      <c r="C882" s="69"/>
      <c r="D882" s="4"/>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c r="AN882" s="69"/>
      <c r="AO882" s="69"/>
      <c r="AP882" s="69"/>
      <c r="AQ882" s="69"/>
      <c r="AR882" s="69"/>
      <c r="AS882" s="69"/>
      <c r="AT882" s="69"/>
      <c r="AU882" s="69"/>
      <c r="AV882" s="69"/>
      <c r="AW882" s="69"/>
      <c r="AX882" s="69"/>
      <c r="AY882" s="69"/>
    </row>
    <row r="883" ht="15.75" customHeight="1">
      <c r="A883" s="69"/>
      <c r="B883" s="69"/>
      <c r="C883" s="69"/>
      <c r="D883" s="4"/>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c r="AN883" s="69"/>
      <c r="AO883" s="69"/>
      <c r="AP883" s="69"/>
      <c r="AQ883" s="69"/>
      <c r="AR883" s="69"/>
      <c r="AS883" s="69"/>
      <c r="AT883" s="69"/>
      <c r="AU883" s="69"/>
      <c r="AV883" s="69"/>
      <c r="AW883" s="69"/>
      <c r="AX883" s="69"/>
      <c r="AY883" s="69"/>
    </row>
    <row r="884" ht="15.75" customHeight="1">
      <c r="A884" s="69"/>
      <c r="B884" s="69"/>
      <c r="C884" s="69"/>
      <c r="D884" s="4"/>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c r="AN884" s="69"/>
      <c r="AO884" s="69"/>
      <c r="AP884" s="69"/>
      <c r="AQ884" s="69"/>
      <c r="AR884" s="69"/>
      <c r="AS884" s="69"/>
      <c r="AT884" s="69"/>
      <c r="AU884" s="69"/>
      <c r="AV884" s="69"/>
      <c r="AW884" s="69"/>
      <c r="AX884" s="69"/>
      <c r="AY884" s="69"/>
    </row>
    <row r="885" ht="15.75" customHeight="1">
      <c r="A885" s="69"/>
      <c r="B885" s="69"/>
      <c r="C885" s="69"/>
      <c r="D885" s="4"/>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c r="AN885" s="69"/>
      <c r="AO885" s="69"/>
      <c r="AP885" s="69"/>
      <c r="AQ885" s="69"/>
      <c r="AR885" s="69"/>
      <c r="AS885" s="69"/>
      <c r="AT885" s="69"/>
      <c r="AU885" s="69"/>
      <c r="AV885" s="69"/>
      <c r="AW885" s="69"/>
      <c r="AX885" s="69"/>
      <c r="AY885" s="69"/>
    </row>
    <row r="886" ht="15.75" customHeight="1">
      <c r="A886" s="69"/>
      <c r="B886" s="69"/>
      <c r="C886" s="69"/>
      <c r="D886" s="4"/>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c r="AP886" s="69"/>
      <c r="AQ886" s="69"/>
      <c r="AR886" s="69"/>
      <c r="AS886" s="69"/>
      <c r="AT886" s="69"/>
      <c r="AU886" s="69"/>
      <c r="AV886" s="69"/>
      <c r="AW886" s="69"/>
      <c r="AX886" s="69"/>
      <c r="AY886" s="69"/>
    </row>
    <row r="887" ht="15.75" customHeight="1">
      <c r="A887" s="69"/>
      <c r="B887" s="69"/>
      <c r="C887" s="69"/>
      <c r="D887" s="4"/>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c r="AN887" s="69"/>
      <c r="AO887" s="69"/>
      <c r="AP887" s="69"/>
      <c r="AQ887" s="69"/>
      <c r="AR887" s="69"/>
      <c r="AS887" s="69"/>
      <c r="AT887" s="69"/>
      <c r="AU887" s="69"/>
      <c r="AV887" s="69"/>
      <c r="AW887" s="69"/>
      <c r="AX887" s="69"/>
      <c r="AY887" s="69"/>
    </row>
    <row r="888" ht="15.75" customHeight="1">
      <c r="A888" s="69"/>
      <c r="B888" s="69"/>
      <c r="C888" s="69"/>
      <c r="D888" s="4"/>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c r="AP888" s="69"/>
      <c r="AQ888" s="69"/>
      <c r="AR888" s="69"/>
      <c r="AS888" s="69"/>
      <c r="AT888" s="69"/>
      <c r="AU888" s="69"/>
      <c r="AV888" s="69"/>
      <c r="AW888" s="69"/>
      <c r="AX888" s="69"/>
      <c r="AY888" s="69"/>
    </row>
    <row r="889" ht="15.75" customHeight="1">
      <c r="A889" s="69"/>
      <c r="B889" s="69"/>
      <c r="C889" s="69"/>
      <c r="D889" s="4"/>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c r="AN889" s="69"/>
      <c r="AO889" s="69"/>
      <c r="AP889" s="69"/>
      <c r="AQ889" s="69"/>
      <c r="AR889" s="69"/>
      <c r="AS889" s="69"/>
      <c r="AT889" s="69"/>
      <c r="AU889" s="69"/>
      <c r="AV889" s="69"/>
      <c r="AW889" s="69"/>
      <c r="AX889" s="69"/>
      <c r="AY889" s="69"/>
    </row>
    <row r="890" ht="15.75" customHeight="1">
      <c r="A890" s="69"/>
      <c r="B890" s="69"/>
      <c r="C890" s="69"/>
      <c r="D890" s="4"/>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c r="AN890" s="69"/>
      <c r="AO890" s="69"/>
      <c r="AP890" s="69"/>
      <c r="AQ890" s="69"/>
      <c r="AR890" s="69"/>
      <c r="AS890" s="69"/>
      <c r="AT890" s="69"/>
      <c r="AU890" s="69"/>
      <c r="AV890" s="69"/>
      <c r="AW890" s="69"/>
      <c r="AX890" s="69"/>
      <c r="AY890" s="69"/>
    </row>
    <row r="891" ht="15.75" customHeight="1">
      <c r="A891" s="69"/>
      <c r="B891" s="69"/>
      <c r="C891" s="69"/>
      <c r="D891" s="4"/>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c r="AN891" s="69"/>
      <c r="AO891" s="69"/>
      <c r="AP891" s="69"/>
      <c r="AQ891" s="69"/>
      <c r="AR891" s="69"/>
      <c r="AS891" s="69"/>
      <c r="AT891" s="69"/>
      <c r="AU891" s="69"/>
      <c r="AV891" s="69"/>
      <c r="AW891" s="69"/>
      <c r="AX891" s="69"/>
      <c r="AY891" s="69"/>
    </row>
    <row r="892" ht="15.75" customHeight="1">
      <c r="A892" s="69"/>
      <c r="B892" s="69"/>
      <c r="C892" s="69"/>
      <c r="D892" s="4"/>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c r="AN892" s="69"/>
      <c r="AO892" s="69"/>
      <c r="AP892" s="69"/>
      <c r="AQ892" s="69"/>
      <c r="AR892" s="69"/>
      <c r="AS892" s="69"/>
      <c r="AT892" s="69"/>
      <c r="AU892" s="69"/>
      <c r="AV892" s="69"/>
      <c r="AW892" s="69"/>
      <c r="AX892" s="69"/>
      <c r="AY892" s="69"/>
    </row>
    <row r="893" ht="15.75" customHeight="1">
      <c r="A893" s="69"/>
      <c r="B893" s="69"/>
      <c r="C893" s="69"/>
      <c r="D893" s="4"/>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c r="AN893" s="69"/>
      <c r="AO893" s="69"/>
      <c r="AP893" s="69"/>
      <c r="AQ893" s="69"/>
      <c r="AR893" s="69"/>
      <c r="AS893" s="69"/>
      <c r="AT893" s="69"/>
      <c r="AU893" s="69"/>
      <c r="AV893" s="69"/>
      <c r="AW893" s="69"/>
      <c r="AX893" s="69"/>
      <c r="AY893" s="69"/>
    </row>
    <row r="894" ht="15.75" customHeight="1">
      <c r="A894" s="69"/>
      <c r="B894" s="69"/>
      <c r="C894" s="69"/>
      <c r="D894" s="4"/>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c r="AP894" s="69"/>
      <c r="AQ894" s="69"/>
      <c r="AR894" s="69"/>
      <c r="AS894" s="69"/>
      <c r="AT894" s="69"/>
      <c r="AU894" s="69"/>
      <c r="AV894" s="69"/>
      <c r="AW894" s="69"/>
      <c r="AX894" s="69"/>
      <c r="AY894" s="69"/>
    </row>
    <row r="895" ht="15.75" customHeight="1">
      <c r="A895" s="69"/>
      <c r="B895" s="69"/>
      <c r="C895" s="69"/>
      <c r="D895" s="4"/>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c r="AN895" s="69"/>
      <c r="AO895" s="69"/>
      <c r="AP895" s="69"/>
      <c r="AQ895" s="69"/>
      <c r="AR895" s="69"/>
      <c r="AS895" s="69"/>
      <c r="AT895" s="69"/>
      <c r="AU895" s="69"/>
      <c r="AV895" s="69"/>
      <c r="AW895" s="69"/>
      <c r="AX895" s="69"/>
      <c r="AY895" s="69"/>
    </row>
    <row r="896" ht="15.75" customHeight="1">
      <c r="A896" s="69"/>
      <c r="B896" s="69"/>
      <c r="C896" s="69"/>
      <c r="D896" s="4"/>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c r="AP896" s="69"/>
      <c r="AQ896" s="69"/>
      <c r="AR896" s="69"/>
      <c r="AS896" s="69"/>
      <c r="AT896" s="69"/>
      <c r="AU896" s="69"/>
      <c r="AV896" s="69"/>
      <c r="AW896" s="69"/>
      <c r="AX896" s="69"/>
      <c r="AY896" s="69"/>
    </row>
    <row r="897" ht="15.75" customHeight="1">
      <c r="A897" s="69"/>
      <c r="B897" s="69"/>
      <c r="C897" s="69"/>
      <c r="D897" s="4"/>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c r="AN897" s="69"/>
      <c r="AO897" s="69"/>
      <c r="AP897" s="69"/>
      <c r="AQ897" s="69"/>
      <c r="AR897" s="69"/>
      <c r="AS897" s="69"/>
      <c r="AT897" s="69"/>
      <c r="AU897" s="69"/>
      <c r="AV897" s="69"/>
      <c r="AW897" s="69"/>
      <c r="AX897" s="69"/>
      <c r="AY897" s="69"/>
    </row>
    <row r="898" ht="15.75" customHeight="1">
      <c r="A898" s="69"/>
      <c r="B898" s="69"/>
      <c r="C898" s="69"/>
      <c r="D898" s="4"/>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c r="AN898" s="69"/>
      <c r="AO898" s="69"/>
      <c r="AP898" s="69"/>
      <c r="AQ898" s="69"/>
      <c r="AR898" s="69"/>
      <c r="AS898" s="69"/>
      <c r="AT898" s="69"/>
      <c r="AU898" s="69"/>
      <c r="AV898" s="69"/>
      <c r="AW898" s="69"/>
      <c r="AX898" s="69"/>
      <c r="AY898" s="69"/>
    </row>
    <row r="899" ht="15.75" customHeight="1">
      <c r="A899" s="69"/>
      <c r="B899" s="69"/>
      <c r="C899" s="69"/>
      <c r="D899" s="4"/>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c r="AN899" s="69"/>
      <c r="AO899" s="69"/>
      <c r="AP899" s="69"/>
      <c r="AQ899" s="69"/>
      <c r="AR899" s="69"/>
      <c r="AS899" s="69"/>
      <c r="AT899" s="69"/>
      <c r="AU899" s="69"/>
      <c r="AV899" s="69"/>
      <c r="AW899" s="69"/>
      <c r="AX899" s="69"/>
      <c r="AY899" s="69"/>
    </row>
    <row r="900" ht="15.75" customHeight="1">
      <c r="A900" s="69"/>
      <c r="B900" s="69"/>
      <c r="C900" s="69"/>
      <c r="D900" s="4"/>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c r="AN900" s="69"/>
      <c r="AO900" s="69"/>
      <c r="AP900" s="69"/>
      <c r="AQ900" s="69"/>
      <c r="AR900" s="69"/>
      <c r="AS900" s="69"/>
      <c r="AT900" s="69"/>
      <c r="AU900" s="69"/>
      <c r="AV900" s="69"/>
      <c r="AW900" s="69"/>
      <c r="AX900" s="69"/>
      <c r="AY900" s="69"/>
    </row>
    <row r="901" ht="15.75" customHeight="1">
      <c r="A901" s="69"/>
      <c r="B901" s="69"/>
      <c r="C901" s="69"/>
      <c r="D901" s="4"/>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c r="AN901" s="69"/>
      <c r="AO901" s="69"/>
      <c r="AP901" s="69"/>
      <c r="AQ901" s="69"/>
      <c r="AR901" s="69"/>
      <c r="AS901" s="69"/>
      <c r="AT901" s="69"/>
      <c r="AU901" s="69"/>
      <c r="AV901" s="69"/>
      <c r="AW901" s="69"/>
      <c r="AX901" s="69"/>
      <c r="AY901" s="69"/>
    </row>
    <row r="902" ht="15.75" customHeight="1">
      <c r="A902" s="69"/>
      <c r="B902" s="69"/>
      <c r="C902" s="69"/>
      <c r="D902" s="4"/>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c r="AP902" s="69"/>
      <c r="AQ902" s="69"/>
      <c r="AR902" s="69"/>
      <c r="AS902" s="69"/>
      <c r="AT902" s="69"/>
      <c r="AU902" s="69"/>
      <c r="AV902" s="69"/>
      <c r="AW902" s="69"/>
      <c r="AX902" s="69"/>
      <c r="AY902" s="69"/>
    </row>
    <row r="903" ht="15.75" customHeight="1">
      <c r="A903" s="69"/>
      <c r="B903" s="69"/>
      <c r="C903" s="69"/>
      <c r="D903" s="4"/>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c r="AN903" s="69"/>
      <c r="AO903" s="69"/>
      <c r="AP903" s="69"/>
      <c r="AQ903" s="69"/>
      <c r="AR903" s="69"/>
      <c r="AS903" s="69"/>
      <c r="AT903" s="69"/>
      <c r="AU903" s="69"/>
      <c r="AV903" s="69"/>
      <c r="AW903" s="69"/>
      <c r="AX903" s="69"/>
      <c r="AY903" s="69"/>
    </row>
    <row r="904" ht="15.75" customHeight="1">
      <c r="A904" s="69"/>
      <c r="B904" s="69"/>
      <c r="C904" s="69"/>
      <c r="D904" s="4"/>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c r="AP904" s="69"/>
      <c r="AQ904" s="69"/>
      <c r="AR904" s="69"/>
      <c r="AS904" s="69"/>
      <c r="AT904" s="69"/>
      <c r="AU904" s="69"/>
      <c r="AV904" s="69"/>
      <c r="AW904" s="69"/>
      <c r="AX904" s="69"/>
      <c r="AY904" s="69"/>
    </row>
    <row r="905" ht="15.75" customHeight="1">
      <c r="A905" s="69"/>
      <c r="B905" s="69"/>
      <c r="C905" s="69"/>
      <c r="D905" s="4"/>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c r="AN905" s="69"/>
      <c r="AO905" s="69"/>
      <c r="AP905" s="69"/>
      <c r="AQ905" s="69"/>
      <c r="AR905" s="69"/>
      <c r="AS905" s="69"/>
      <c r="AT905" s="69"/>
      <c r="AU905" s="69"/>
      <c r="AV905" s="69"/>
      <c r="AW905" s="69"/>
      <c r="AX905" s="69"/>
      <c r="AY905" s="69"/>
    </row>
    <row r="906" ht="15.75" customHeight="1">
      <c r="A906" s="69"/>
      <c r="B906" s="69"/>
      <c r="C906" s="69"/>
      <c r="D906" s="4"/>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c r="AN906" s="69"/>
      <c r="AO906" s="69"/>
      <c r="AP906" s="69"/>
      <c r="AQ906" s="69"/>
      <c r="AR906" s="69"/>
      <c r="AS906" s="69"/>
      <c r="AT906" s="69"/>
      <c r="AU906" s="69"/>
      <c r="AV906" s="69"/>
      <c r="AW906" s="69"/>
      <c r="AX906" s="69"/>
      <c r="AY906" s="69"/>
    </row>
    <row r="907" ht="15.75" customHeight="1">
      <c r="A907" s="69"/>
      <c r="B907" s="69"/>
      <c r="C907" s="69"/>
      <c r="D907" s="4"/>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c r="AN907" s="69"/>
      <c r="AO907" s="69"/>
      <c r="AP907" s="69"/>
      <c r="AQ907" s="69"/>
      <c r="AR907" s="69"/>
      <c r="AS907" s="69"/>
      <c r="AT907" s="69"/>
      <c r="AU907" s="69"/>
      <c r="AV907" s="69"/>
      <c r="AW907" s="69"/>
      <c r="AX907" s="69"/>
      <c r="AY907" s="69"/>
    </row>
    <row r="908" ht="15.75" customHeight="1">
      <c r="A908" s="69"/>
      <c r="B908" s="69"/>
      <c r="C908" s="69"/>
      <c r="D908" s="4"/>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c r="AN908" s="69"/>
      <c r="AO908" s="69"/>
      <c r="AP908" s="69"/>
      <c r="AQ908" s="69"/>
      <c r="AR908" s="69"/>
      <c r="AS908" s="69"/>
      <c r="AT908" s="69"/>
      <c r="AU908" s="69"/>
      <c r="AV908" s="69"/>
      <c r="AW908" s="69"/>
      <c r="AX908" s="69"/>
      <c r="AY908" s="69"/>
    </row>
    <row r="909" ht="15.75" customHeight="1">
      <c r="A909" s="69"/>
      <c r="B909" s="69"/>
      <c r="C909" s="69"/>
      <c r="D909" s="4"/>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c r="AN909" s="69"/>
      <c r="AO909" s="69"/>
      <c r="AP909" s="69"/>
      <c r="AQ909" s="69"/>
      <c r="AR909" s="69"/>
      <c r="AS909" s="69"/>
      <c r="AT909" s="69"/>
      <c r="AU909" s="69"/>
      <c r="AV909" s="69"/>
      <c r="AW909" s="69"/>
      <c r="AX909" s="69"/>
      <c r="AY909" s="69"/>
    </row>
    <row r="910" ht="15.75" customHeight="1">
      <c r="A910" s="69"/>
      <c r="B910" s="69"/>
      <c r="C910" s="69"/>
      <c r="D910" s="4"/>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c r="AP910" s="69"/>
      <c r="AQ910" s="69"/>
      <c r="AR910" s="69"/>
      <c r="AS910" s="69"/>
      <c r="AT910" s="69"/>
      <c r="AU910" s="69"/>
      <c r="AV910" s="69"/>
      <c r="AW910" s="69"/>
      <c r="AX910" s="69"/>
      <c r="AY910" s="69"/>
    </row>
    <row r="911" ht="15.75" customHeight="1">
      <c r="A911" s="69"/>
      <c r="B911" s="69"/>
      <c r="C911" s="69"/>
      <c r="D911" s="4"/>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c r="AN911" s="69"/>
      <c r="AO911" s="69"/>
      <c r="AP911" s="69"/>
      <c r="AQ911" s="69"/>
      <c r="AR911" s="69"/>
      <c r="AS911" s="69"/>
      <c r="AT911" s="69"/>
      <c r="AU911" s="69"/>
      <c r="AV911" s="69"/>
      <c r="AW911" s="69"/>
      <c r="AX911" s="69"/>
      <c r="AY911" s="69"/>
    </row>
    <row r="912" ht="15.75" customHeight="1">
      <c r="A912" s="69"/>
      <c r="B912" s="69"/>
      <c r="C912" s="69"/>
      <c r="D912" s="4"/>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c r="AP912" s="69"/>
      <c r="AQ912" s="69"/>
      <c r="AR912" s="69"/>
      <c r="AS912" s="69"/>
      <c r="AT912" s="69"/>
      <c r="AU912" s="69"/>
      <c r="AV912" s="69"/>
      <c r="AW912" s="69"/>
      <c r="AX912" s="69"/>
      <c r="AY912" s="69"/>
    </row>
    <row r="913" ht="15.75" customHeight="1">
      <c r="A913" s="69"/>
      <c r="B913" s="69"/>
      <c r="C913" s="69"/>
      <c r="D913" s="4"/>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c r="AN913" s="69"/>
      <c r="AO913" s="69"/>
      <c r="AP913" s="69"/>
      <c r="AQ913" s="69"/>
      <c r="AR913" s="69"/>
      <c r="AS913" s="69"/>
      <c r="AT913" s="69"/>
      <c r="AU913" s="69"/>
      <c r="AV913" s="69"/>
      <c r="AW913" s="69"/>
      <c r="AX913" s="69"/>
      <c r="AY913" s="69"/>
    </row>
    <row r="914" ht="15.75" customHeight="1">
      <c r="A914" s="69"/>
      <c r="B914" s="69"/>
      <c r="C914" s="69"/>
      <c r="D914" s="4"/>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c r="AN914" s="69"/>
      <c r="AO914" s="69"/>
      <c r="AP914" s="69"/>
      <c r="AQ914" s="69"/>
      <c r="AR914" s="69"/>
      <c r="AS914" s="69"/>
      <c r="AT914" s="69"/>
      <c r="AU914" s="69"/>
      <c r="AV914" s="69"/>
      <c r="AW914" s="69"/>
      <c r="AX914" s="69"/>
      <c r="AY914" s="69"/>
    </row>
    <row r="915" ht="15.75" customHeight="1">
      <c r="A915" s="69"/>
      <c r="B915" s="69"/>
      <c r="C915" s="69"/>
      <c r="D915" s="4"/>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c r="AN915" s="69"/>
      <c r="AO915" s="69"/>
      <c r="AP915" s="69"/>
      <c r="AQ915" s="69"/>
      <c r="AR915" s="69"/>
      <c r="AS915" s="69"/>
      <c r="AT915" s="69"/>
      <c r="AU915" s="69"/>
      <c r="AV915" s="69"/>
      <c r="AW915" s="69"/>
      <c r="AX915" s="69"/>
      <c r="AY915" s="69"/>
    </row>
    <row r="916" ht="15.75" customHeight="1">
      <c r="A916" s="69"/>
      <c r="B916" s="69"/>
      <c r="C916" s="69"/>
      <c r="D916" s="4"/>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c r="AN916" s="69"/>
      <c r="AO916" s="69"/>
      <c r="AP916" s="69"/>
      <c r="AQ916" s="69"/>
      <c r="AR916" s="69"/>
      <c r="AS916" s="69"/>
      <c r="AT916" s="69"/>
      <c r="AU916" s="69"/>
      <c r="AV916" s="69"/>
      <c r="AW916" s="69"/>
      <c r="AX916" s="69"/>
      <c r="AY916" s="69"/>
    </row>
    <row r="917" ht="15.75" customHeight="1">
      <c r="A917" s="69"/>
      <c r="B917" s="69"/>
      <c r="C917" s="69"/>
      <c r="D917" s="4"/>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c r="AN917" s="69"/>
      <c r="AO917" s="69"/>
      <c r="AP917" s="69"/>
      <c r="AQ917" s="69"/>
      <c r="AR917" s="69"/>
      <c r="AS917" s="69"/>
      <c r="AT917" s="69"/>
      <c r="AU917" s="69"/>
      <c r="AV917" s="69"/>
      <c r="AW917" s="69"/>
      <c r="AX917" s="69"/>
      <c r="AY917" s="69"/>
    </row>
    <row r="918" ht="15.75" customHeight="1">
      <c r="A918" s="69"/>
      <c r="B918" s="69"/>
      <c r="C918" s="69"/>
      <c r="D918" s="4"/>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c r="AP918" s="69"/>
      <c r="AQ918" s="69"/>
      <c r="AR918" s="69"/>
      <c r="AS918" s="69"/>
      <c r="AT918" s="69"/>
      <c r="AU918" s="69"/>
      <c r="AV918" s="69"/>
      <c r="AW918" s="69"/>
      <c r="AX918" s="69"/>
      <c r="AY918" s="69"/>
    </row>
    <row r="919" ht="15.75" customHeight="1">
      <c r="A919" s="69"/>
      <c r="B919" s="69"/>
      <c r="C919" s="69"/>
      <c r="D919" s="4"/>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c r="AN919" s="69"/>
      <c r="AO919" s="69"/>
      <c r="AP919" s="69"/>
      <c r="AQ919" s="69"/>
      <c r="AR919" s="69"/>
      <c r="AS919" s="69"/>
      <c r="AT919" s="69"/>
      <c r="AU919" s="69"/>
      <c r="AV919" s="69"/>
      <c r="AW919" s="69"/>
      <c r="AX919" s="69"/>
      <c r="AY919" s="69"/>
    </row>
    <row r="920" ht="15.75" customHeight="1">
      <c r="A920" s="69"/>
      <c r="B920" s="69"/>
      <c r="C920" s="69"/>
      <c r="D920" s="4"/>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c r="AP920" s="69"/>
      <c r="AQ920" s="69"/>
      <c r="AR920" s="69"/>
      <c r="AS920" s="69"/>
      <c r="AT920" s="69"/>
      <c r="AU920" s="69"/>
      <c r="AV920" s="69"/>
      <c r="AW920" s="69"/>
      <c r="AX920" s="69"/>
      <c r="AY920" s="69"/>
    </row>
    <row r="921" ht="15.75" customHeight="1">
      <c r="A921" s="69"/>
      <c r="B921" s="69"/>
      <c r="C921" s="69"/>
      <c r="D921" s="4"/>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c r="AN921" s="69"/>
      <c r="AO921" s="69"/>
      <c r="AP921" s="69"/>
      <c r="AQ921" s="69"/>
      <c r="AR921" s="69"/>
      <c r="AS921" s="69"/>
      <c r="AT921" s="69"/>
      <c r="AU921" s="69"/>
      <c r="AV921" s="69"/>
      <c r="AW921" s="69"/>
      <c r="AX921" s="69"/>
      <c r="AY921" s="69"/>
    </row>
    <row r="922" ht="15.75" customHeight="1">
      <c r="A922" s="69"/>
      <c r="B922" s="69"/>
      <c r="C922" s="69"/>
      <c r="D922" s="4"/>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c r="AN922" s="69"/>
      <c r="AO922" s="69"/>
      <c r="AP922" s="69"/>
      <c r="AQ922" s="69"/>
      <c r="AR922" s="69"/>
      <c r="AS922" s="69"/>
      <c r="AT922" s="69"/>
      <c r="AU922" s="69"/>
      <c r="AV922" s="69"/>
      <c r="AW922" s="69"/>
      <c r="AX922" s="69"/>
      <c r="AY922" s="69"/>
    </row>
    <row r="923" ht="15.75" customHeight="1">
      <c r="A923" s="69"/>
      <c r="B923" s="69"/>
      <c r="C923" s="69"/>
      <c r="D923" s="4"/>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c r="AN923" s="69"/>
      <c r="AO923" s="69"/>
      <c r="AP923" s="69"/>
      <c r="AQ923" s="69"/>
      <c r="AR923" s="69"/>
      <c r="AS923" s="69"/>
      <c r="AT923" s="69"/>
      <c r="AU923" s="69"/>
      <c r="AV923" s="69"/>
      <c r="AW923" s="69"/>
      <c r="AX923" s="69"/>
      <c r="AY923" s="69"/>
    </row>
    <row r="924" ht="15.75" customHeight="1">
      <c r="A924" s="69"/>
      <c r="B924" s="69"/>
      <c r="C924" s="69"/>
      <c r="D924" s="4"/>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c r="AP924" s="69"/>
      <c r="AQ924" s="69"/>
      <c r="AR924" s="69"/>
      <c r="AS924" s="69"/>
      <c r="AT924" s="69"/>
      <c r="AU924" s="69"/>
      <c r="AV924" s="69"/>
      <c r="AW924" s="69"/>
      <c r="AX924" s="69"/>
      <c r="AY924" s="69"/>
    </row>
    <row r="925" ht="15.75" customHeight="1">
      <c r="A925" s="69"/>
      <c r="B925" s="69"/>
      <c r="C925" s="69"/>
      <c r="D925" s="4"/>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c r="AN925" s="69"/>
      <c r="AO925" s="69"/>
      <c r="AP925" s="69"/>
      <c r="AQ925" s="69"/>
      <c r="AR925" s="69"/>
      <c r="AS925" s="69"/>
      <c r="AT925" s="69"/>
      <c r="AU925" s="69"/>
      <c r="AV925" s="69"/>
      <c r="AW925" s="69"/>
      <c r="AX925" s="69"/>
      <c r="AY925" s="69"/>
    </row>
    <row r="926" ht="15.75" customHeight="1">
      <c r="A926" s="69"/>
      <c r="B926" s="69"/>
      <c r="C926" s="69"/>
      <c r="D926" s="4"/>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c r="AP926" s="69"/>
      <c r="AQ926" s="69"/>
      <c r="AR926" s="69"/>
      <c r="AS926" s="69"/>
      <c r="AT926" s="69"/>
      <c r="AU926" s="69"/>
      <c r="AV926" s="69"/>
      <c r="AW926" s="69"/>
      <c r="AX926" s="69"/>
      <c r="AY926" s="69"/>
    </row>
    <row r="927" ht="15.75" customHeight="1">
      <c r="A927" s="69"/>
      <c r="B927" s="69"/>
      <c r="C927" s="69"/>
      <c r="D927" s="4"/>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c r="AN927" s="69"/>
      <c r="AO927" s="69"/>
      <c r="AP927" s="69"/>
      <c r="AQ927" s="69"/>
      <c r="AR927" s="69"/>
      <c r="AS927" s="69"/>
      <c r="AT927" s="69"/>
      <c r="AU927" s="69"/>
      <c r="AV927" s="69"/>
      <c r="AW927" s="69"/>
      <c r="AX927" s="69"/>
      <c r="AY927" s="69"/>
    </row>
    <row r="928" ht="15.75" customHeight="1">
      <c r="A928" s="69"/>
      <c r="B928" s="69"/>
      <c r="C928" s="69"/>
      <c r="D928" s="4"/>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c r="AN928" s="69"/>
      <c r="AO928" s="69"/>
      <c r="AP928" s="69"/>
      <c r="AQ928" s="69"/>
      <c r="AR928" s="69"/>
      <c r="AS928" s="69"/>
      <c r="AT928" s="69"/>
      <c r="AU928" s="69"/>
      <c r="AV928" s="69"/>
      <c r="AW928" s="69"/>
      <c r="AX928" s="69"/>
      <c r="AY928" s="69"/>
    </row>
    <row r="929" ht="15.75" customHeight="1">
      <c r="A929" s="69"/>
      <c r="B929" s="69"/>
      <c r="C929" s="69"/>
      <c r="D929" s="4"/>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c r="AN929" s="69"/>
      <c r="AO929" s="69"/>
      <c r="AP929" s="69"/>
      <c r="AQ929" s="69"/>
      <c r="AR929" s="69"/>
      <c r="AS929" s="69"/>
      <c r="AT929" s="69"/>
      <c r="AU929" s="69"/>
      <c r="AV929" s="69"/>
      <c r="AW929" s="69"/>
      <c r="AX929" s="69"/>
      <c r="AY929" s="69"/>
    </row>
    <row r="930" ht="15.75" customHeight="1">
      <c r="A930" s="69"/>
      <c r="B930" s="69"/>
      <c r="C930" s="69"/>
      <c r="D930" s="4"/>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c r="AN930" s="69"/>
      <c r="AO930" s="69"/>
      <c r="AP930" s="69"/>
      <c r="AQ930" s="69"/>
      <c r="AR930" s="69"/>
      <c r="AS930" s="69"/>
      <c r="AT930" s="69"/>
      <c r="AU930" s="69"/>
      <c r="AV930" s="69"/>
      <c r="AW930" s="69"/>
      <c r="AX930" s="69"/>
      <c r="AY930" s="69"/>
    </row>
    <row r="931" ht="15.75" customHeight="1">
      <c r="A931" s="69"/>
      <c r="B931" s="69"/>
      <c r="C931" s="69"/>
      <c r="D931" s="4"/>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c r="AN931" s="69"/>
      <c r="AO931" s="69"/>
      <c r="AP931" s="69"/>
      <c r="AQ931" s="69"/>
      <c r="AR931" s="69"/>
      <c r="AS931" s="69"/>
      <c r="AT931" s="69"/>
      <c r="AU931" s="69"/>
      <c r="AV931" s="69"/>
      <c r="AW931" s="69"/>
      <c r="AX931" s="69"/>
      <c r="AY931" s="69"/>
    </row>
    <row r="932" ht="15.75" customHeight="1">
      <c r="A932" s="69"/>
      <c r="B932" s="69"/>
      <c r="C932" s="69"/>
      <c r="D932" s="4"/>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c r="AP932" s="69"/>
      <c r="AQ932" s="69"/>
      <c r="AR932" s="69"/>
      <c r="AS932" s="69"/>
      <c r="AT932" s="69"/>
      <c r="AU932" s="69"/>
      <c r="AV932" s="69"/>
      <c r="AW932" s="69"/>
      <c r="AX932" s="69"/>
      <c r="AY932" s="69"/>
    </row>
    <row r="933" ht="15.75" customHeight="1">
      <c r="A933" s="69"/>
      <c r="B933" s="69"/>
      <c r="C933" s="69"/>
      <c r="D933" s="4"/>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c r="AN933" s="69"/>
      <c r="AO933" s="69"/>
      <c r="AP933" s="69"/>
      <c r="AQ933" s="69"/>
      <c r="AR933" s="69"/>
      <c r="AS933" s="69"/>
      <c r="AT933" s="69"/>
      <c r="AU933" s="69"/>
      <c r="AV933" s="69"/>
      <c r="AW933" s="69"/>
      <c r="AX933" s="69"/>
      <c r="AY933" s="69"/>
    </row>
    <row r="934" ht="15.75" customHeight="1">
      <c r="A934" s="69"/>
      <c r="B934" s="69"/>
      <c r="C934" s="69"/>
      <c r="D934" s="4"/>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c r="AP934" s="69"/>
      <c r="AQ934" s="69"/>
      <c r="AR934" s="69"/>
      <c r="AS934" s="69"/>
      <c r="AT934" s="69"/>
      <c r="AU934" s="69"/>
      <c r="AV934" s="69"/>
      <c r="AW934" s="69"/>
      <c r="AX934" s="69"/>
      <c r="AY934" s="69"/>
    </row>
    <row r="935" ht="15.75" customHeight="1">
      <c r="A935" s="69"/>
      <c r="B935" s="69"/>
      <c r="C935" s="69"/>
      <c r="D935" s="4"/>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c r="AN935" s="69"/>
      <c r="AO935" s="69"/>
      <c r="AP935" s="69"/>
      <c r="AQ935" s="69"/>
      <c r="AR935" s="69"/>
      <c r="AS935" s="69"/>
      <c r="AT935" s="69"/>
      <c r="AU935" s="69"/>
      <c r="AV935" s="69"/>
      <c r="AW935" s="69"/>
      <c r="AX935" s="69"/>
      <c r="AY935" s="69"/>
    </row>
    <row r="936" ht="15.75" customHeight="1">
      <c r="A936" s="69"/>
      <c r="B936" s="69"/>
      <c r="C936" s="69"/>
      <c r="D936" s="4"/>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c r="AN936" s="69"/>
      <c r="AO936" s="69"/>
      <c r="AP936" s="69"/>
      <c r="AQ936" s="69"/>
      <c r="AR936" s="69"/>
      <c r="AS936" s="69"/>
      <c r="AT936" s="69"/>
      <c r="AU936" s="69"/>
      <c r="AV936" s="69"/>
      <c r="AW936" s="69"/>
      <c r="AX936" s="69"/>
      <c r="AY936" s="69"/>
    </row>
    <row r="937" ht="15.75" customHeight="1">
      <c r="A937" s="69"/>
      <c r="B937" s="69"/>
      <c r="C937" s="69"/>
      <c r="D937" s="4"/>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c r="AN937" s="69"/>
      <c r="AO937" s="69"/>
      <c r="AP937" s="69"/>
      <c r="AQ937" s="69"/>
      <c r="AR937" s="69"/>
      <c r="AS937" s="69"/>
      <c r="AT937" s="69"/>
      <c r="AU937" s="69"/>
      <c r="AV937" s="69"/>
      <c r="AW937" s="69"/>
      <c r="AX937" s="69"/>
      <c r="AY937" s="69"/>
    </row>
    <row r="938" ht="15.75" customHeight="1">
      <c r="A938" s="69"/>
      <c r="B938" s="69"/>
      <c r="C938" s="69"/>
      <c r="D938" s="4"/>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c r="AN938" s="69"/>
      <c r="AO938" s="69"/>
      <c r="AP938" s="69"/>
      <c r="AQ938" s="69"/>
      <c r="AR938" s="69"/>
      <c r="AS938" s="69"/>
      <c r="AT938" s="69"/>
      <c r="AU938" s="69"/>
      <c r="AV938" s="69"/>
      <c r="AW938" s="69"/>
      <c r="AX938" s="69"/>
      <c r="AY938" s="69"/>
    </row>
    <row r="939" ht="15.75" customHeight="1">
      <c r="A939" s="69"/>
      <c r="B939" s="69"/>
      <c r="C939" s="69"/>
      <c r="D939" s="4"/>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c r="AN939" s="69"/>
      <c r="AO939" s="69"/>
      <c r="AP939" s="69"/>
      <c r="AQ939" s="69"/>
      <c r="AR939" s="69"/>
      <c r="AS939" s="69"/>
      <c r="AT939" s="69"/>
      <c r="AU939" s="69"/>
      <c r="AV939" s="69"/>
      <c r="AW939" s="69"/>
      <c r="AX939" s="69"/>
      <c r="AY939" s="69"/>
    </row>
    <row r="940" ht="15.75" customHeight="1">
      <c r="A940" s="69"/>
      <c r="B940" s="69"/>
      <c r="C940" s="69"/>
      <c r="D940" s="4"/>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c r="AP940" s="69"/>
      <c r="AQ940" s="69"/>
      <c r="AR940" s="69"/>
      <c r="AS940" s="69"/>
      <c r="AT940" s="69"/>
      <c r="AU940" s="69"/>
      <c r="AV940" s="69"/>
      <c r="AW940" s="69"/>
      <c r="AX940" s="69"/>
      <c r="AY940" s="69"/>
    </row>
    <row r="941" ht="15.75" customHeight="1">
      <c r="A941" s="69"/>
      <c r="B941" s="69"/>
      <c r="C941" s="69"/>
      <c r="D941" s="4"/>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c r="AN941" s="69"/>
      <c r="AO941" s="69"/>
      <c r="AP941" s="69"/>
      <c r="AQ941" s="69"/>
      <c r="AR941" s="69"/>
      <c r="AS941" s="69"/>
      <c r="AT941" s="69"/>
      <c r="AU941" s="69"/>
      <c r="AV941" s="69"/>
      <c r="AW941" s="69"/>
      <c r="AX941" s="69"/>
      <c r="AY941" s="69"/>
    </row>
    <row r="942" ht="15.75" customHeight="1">
      <c r="A942" s="69"/>
      <c r="B942" s="69"/>
      <c r="C942" s="69"/>
      <c r="D942" s="4"/>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c r="AP942" s="69"/>
      <c r="AQ942" s="69"/>
      <c r="AR942" s="69"/>
      <c r="AS942" s="69"/>
      <c r="AT942" s="69"/>
      <c r="AU942" s="69"/>
      <c r="AV942" s="69"/>
      <c r="AW942" s="69"/>
      <c r="AX942" s="69"/>
      <c r="AY942" s="69"/>
    </row>
    <row r="943" ht="15.75" customHeight="1">
      <c r="A943" s="69"/>
      <c r="B943" s="69"/>
      <c r="C943" s="69"/>
      <c r="D943" s="4"/>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c r="AN943" s="69"/>
      <c r="AO943" s="69"/>
      <c r="AP943" s="69"/>
      <c r="AQ943" s="69"/>
      <c r="AR943" s="69"/>
      <c r="AS943" s="69"/>
      <c r="AT943" s="69"/>
      <c r="AU943" s="69"/>
      <c r="AV943" s="69"/>
      <c r="AW943" s="69"/>
      <c r="AX943" s="69"/>
      <c r="AY943" s="69"/>
    </row>
    <row r="944" ht="15.75" customHeight="1">
      <c r="A944" s="69"/>
      <c r="B944" s="69"/>
      <c r="C944" s="69"/>
      <c r="D944" s="4"/>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c r="AN944" s="69"/>
      <c r="AO944" s="69"/>
      <c r="AP944" s="69"/>
      <c r="AQ944" s="69"/>
      <c r="AR944" s="69"/>
      <c r="AS944" s="69"/>
      <c r="AT944" s="69"/>
      <c r="AU944" s="69"/>
      <c r="AV944" s="69"/>
      <c r="AW944" s="69"/>
      <c r="AX944" s="69"/>
      <c r="AY944" s="69"/>
    </row>
    <row r="945" ht="15.75" customHeight="1">
      <c r="A945" s="69"/>
      <c r="B945" s="69"/>
      <c r="C945" s="69"/>
      <c r="D945" s="4"/>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c r="AN945" s="69"/>
      <c r="AO945" s="69"/>
      <c r="AP945" s="69"/>
      <c r="AQ945" s="69"/>
      <c r="AR945" s="69"/>
      <c r="AS945" s="69"/>
      <c r="AT945" s="69"/>
      <c r="AU945" s="69"/>
      <c r="AV945" s="69"/>
      <c r="AW945" s="69"/>
      <c r="AX945" s="69"/>
      <c r="AY945" s="69"/>
    </row>
    <row r="946" ht="15.75" customHeight="1">
      <c r="A946" s="69"/>
      <c r="B946" s="69"/>
      <c r="C946" s="69"/>
      <c r="D946" s="4"/>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c r="AN946" s="69"/>
      <c r="AO946" s="69"/>
      <c r="AP946" s="69"/>
      <c r="AQ946" s="69"/>
      <c r="AR946" s="69"/>
      <c r="AS946" s="69"/>
      <c r="AT946" s="69"/>
      <c r="AU946" s="69"/>
      <c r="AV946" s="69"/>
      <c r="AW946" s="69"/>
      <c r="AX946" s="69"/>
      <c r="AY946" s="69"/>
    </row>
    <row r="947" ht="15.75" customHeight="1">
      <c r="A947" s="69"/>
      <c r="B947" s="69"/>
      <c r="C947" s="69"/>
      <c r="D947" s="4"/>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c r="AN947" s="69"/>
      <c r="AO947" s="69"/>
      <c r="AP947" s="69"/>
      <c r="AQ947" s="69"/>
      <c r="AR947" s="69"/>
      <c r="AS947" s="69"/>
      <c r="AT947" s="69"/>
      <c r="AU947" s="69"/>
      <c r="AV947" s="69"/>
      <c r="AW947" s="69"/>
      <c r="AX947" s="69"/>
      <c r="AY947" s="69"/>
    </row>
    <row r="948" ht="15.75" customHeight="1">
      <c r="A948" s="69"/>
      <c r="B948" s="69"/>
      <c r="C948" s="69"/>
      <c r="D948" s="4"/>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c r="AP948" s="69"/>
      <c r="AQ948" s="69"/>
      <c r="AR948" s="69"/>
      <c r="AS948" s="69"/>
      <c r="AT948" s="69"/>
      <c r="AU948" s="69"/>
      <c r="AV948" s="69"/>
      <c r="AW948" s="69"/>
      <c r="AX948" s="69"/>
      <c r="AY948" s="69"/>
    </row>
    <row r="949" ht="15.75" customHeight="1">
      <c r="A949" s="69"/>
      <c r="B949" s="69"/>
      <c r="C949" s="69"/>
      <c r="D949" s="4"/>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c r="AN949" s="69"/>
      <c r="AO949" s="69"/>
      <c r="AP949" s="69"/>
      <c r="AQ949" s="69"/>
      <c r="AR949" s="69"/>
      <c r="AS949" s="69"/>
      <c r="AT949" s="69"/>
      <c r="AU949" s="69"/>
      <c r="AV949" s="69"/>
      <c r="AW949" s="69"/>
      <c r="AX949" s="69"/>
      <c r="AY949" s="69"/>
    </row>
    <row r="950" ht="15.75" customHeight="1">
      <c r="A950" s="69"/>
      <c r="B950" s="69"/>
      <c r="C950" s="69"/>
      <c r="D950" s="4"/>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c r="AP950" s="69"/>
      <c r="AQ950" s="69"/>
      <c r="AR950" s="69"/>
      <c r="AS950" s="69"/>
      <c r="AT950" s="69"/>
      <c r="AU950" s="69"/>
      <c r="AV950" s="69"/>
      <c r="AW950" s="69"/>
      <c r="AX950" s="69"/>
      <c r="AY950" s="69"/>
    </row>
    <row r="951" ht="15.75" customHeight="1">
      <c r="A951" s="69"/>
      <c r="B951" s="69"/>
      <c r="C951" s="69"/>
      <c r="D951" s="4"/>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c r="AN951" s="69"/>
      <c r="AO951" s="69"/>
      <c r="AP951" s="69"/>
      <c r="AQ951" s="69"/>
      <c r="AR951" s="69"/>
      <c r="AS951" s="69"/>
      <c r="AT951" s="69"/>
      <c r="AU951" s="69"/>
      <c r="AV951" s="69"/>
      <c r="AW951" s="69"/>
      <c r="AX951" s="69"/>
      <c r="AY951" s="69"/>
    </row>
    <row r="952" ht="15.75" customHeight="1">
      <c r="A952" s="69"/>
      <c r="B952" s="69"/>
      <c r="C952" s="69"/>
      <c r="D952" s="4"/>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c r="AN952" s="69"/>
      <c r="AO952" s="69"/>
      <c r="AP952" s="69"/>
      <c r="AQ952" s="69"/>
      <c r="AR952" s="69"/>
      <c r="AS952" s="69"/>
      <c r="AT952" s="69"/>
      <c r="AU952" s="69"/>
      <c r="AV952" s="69"/>
      <c r="AW952" s="69"/>
      <c r="AX952" s="69"/>
      <c r="AY952" s="69"/>
    </row>
    <row r="953" ht="15.75" customHeight="1">
      <c r="A953" s="69"/>
      <c r="B953" s="69"/>
      <c r="C953" s="69"/>
      <c r="D953" s="4"/>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c r="AN953" s="69"/>
      <c r="AO953" s="69"/>
      <c r="AP953" s="69"/>
      <c r="AQ953" s="69"/>
      <c r="AR953" s="69"/>
      <c r="AS953" s="69"/>
      <c r="AT953" s="69"/>
      <c r="AU953" s="69"/>
      <c r="AV953" s="69"/>
      <c r="AW953" s="69"/>
      <c r="AX953" s="69"/>
      <c r="AY953" s="69"/>
    </row>
    <row r="954" ht="15.75" customHeight="1">
      <c r="A954" s="69"/>
      <c r="B954" s="69"/>
      <c r="C954" s="69"/>
      <c r="D954" s="4"/>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c r="AN954" s="69"/>
      <c r="AO954" s="69"/>
      <c r="AP954" s="69"/>
      <c r="AQ954" s="69"/>
      <c r="AR954" s="69"/>
      <c r="AS954" s="69"/>
      <c r="AT954" s="69"/>
      <c r="AU954" s="69"/>
      <c r="AV954" s="69"/>
      <c r="AW954" s="69"/>
      <c r="AX954" s="69"/>
      <c r="AY954" s="69"/>
    </row>
    <row r="955" ht="15.75" customHeight="1">
      <c r="A955" s="69"/>
      <c r="B955" s="69"/>
      <c r="C955" s="69"/>
      <c r="D955" s="4"/>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c r="AN955" s="69"/>
      <c r="AO955" s="69"/>
      <c r="AP955" s="69"/>
      <c r="AQ955" s="69"/>
      <c r="AR955" s="69"/>
      <c r="AS955" s="69"/>
      <c r="AT955" s="69"/>
      <c r="AU955" s="69"/>
      <c r="AV955" s="69"/>
      <c r="AW955" s="69"/>
      <c r="AX955" s="69"/>
      <c r="AY955" s="69"/>
    </row>
    <row r="956" ht="15.75" customHeight="1">
      <c r="A956" s="69"/>
      <c r="B956" s="69"/>
      <c r="C956" s="69"/>
      <c r="D956" s="4"/>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c r="AP956" s="69"/>
      <c r="AQ956" s="69"/>
      <c r="AR956" s="69"/>
      <c r="AS956" s="69"/>
      <c r="AT956" s="69"/>
      <c r="AU956" s="69"/>
      <c r="AV956" s="69"/>
      <c r="AW956" s="69"/>
      <c r="AX956" s="69"/>
      <c r="AY956" s="69"/>
    </row>
    <row r="957" ht="15.75" customHeight="1">
      <c r="A957" s="69"/>
      <c r="B957" s="69"/>
      <c r="C957" s="69"/>
      <c r="D957" s="4"/>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c r="AN957" s="69"/>
      <c r="AO957" s="69"/>
      <c r="AP957" s="69"/>
      <c r="AQ957" s="69"/>
      <c r="AR957" s="69"/>
      <c r="AS957" s="69"/>
      <c r="AT957" s="69"/>
      <c r="AU957" s="69"/>
      <c r="AV957" s="69"/>
      <c r="AW957" s="69"/>
      <c r="AX957" s="69"/>
      <c r="AY957" s="69"/>
    </row>
    <row r="958" ht="15.75" customHeight="1">
      <c r="A958" s="69"/>
      <c r="B958" s="69"/>
      <c r="C958" s="69"/>
      <c r="D958" s="4"/>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c r="AP958" s="69"/>
      <c r="AQ958" s="69"/>
      <c r="AR958" s="69"/>
      <c r="AS958" s="69"/>
      <c r="AT958" s="69"/>
      <c r="AU958" s="69"/>
      <c r="AV958" s="69"/>
      <c r="AW958" s="69"/>
      <c r="AX958" s="69"/>
      <c r="AY958" s="69"/>
    </row>
    <row r="959" ht="15.75" customHeight="1">
      <c r="A959" s="69"/>
      <c r="B959" s="69"/>
      <c r="C959" s="69"/>
      <c r="D959" s="4"/>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c r="AN959" s="69"/>
      <c r="AO959" s="69"/>
      <c r="AP959" s="69"/>
      <c r="AQ959" s="69"/>
      <c r="AR959" s="69"/>
      <c r="AS959" s="69"/>
      <c r="AT959" s="69"/>
      <c r="AU959" s="69"/>
      <c r="AV959" s="69"/>
      <c r="AW959" s="69"/>
      <c r="AX959" s="69"/>
      <c r="AY959" s="69"/>
    </row>
    <row r="960" ht="15.75" customHeight="1">
      <c r="A960" s="69"/>
      <c r="B960" s="69"/>
      <c r="C960" s="69"/>
      <c r="D960" s="4"/>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c r="AN960" s="69"/>
      <c r="AO960" s="69"/>
      <c r="AP960" s="69"/>
      <c r="AQ960" s="69"/>
      <c r="AR960" s="69"/>
      <c r="AS960" s="69"/>
      <c r="AT960" s="69"/>
      <c r="AU960" s="69"/>
      <c r="AV960" s="69"/>
      <c r="AW960" s="69"/>
      <c r="AX960" s="69"/>
      <c r="AY960" s="69"/>
    </row>
    <row r="961" ht="15.75" customHeight="1">
      <c r="A961" s="69"/>
      <c r="B961" s="69"/>
      <c r="C961" s="69"/>
      <c r="D961" s="4"/>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c r="AN961" s="69"/>
      <c r="AO961" s="69"/>
      <c r="AP961" s="69"/>
      <c r="AQ961" s="69"/>
      <c r="AR961" s="69"/>
      <c r="AS961" s="69"/>
      <c r="AT961" s="69"/>
      <c r="AU961" s="69"/>
      <c r="AV961" s="69"/>
      <c r="AW961" s="69"/>
      <c r="AX961" s="69"/>
      <c r="AY961" s="69"/>
    </row>
    <row r="962" ht="15.75" customHeight="1">
      <c r="A962" s="69"/>
      <c r="B962" s="69"/>
      <c r="C962" s="69"/>
      <c r="D962" s="4"/>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c r="AN962" s="69"/>
      <c r="AO962" s="69"/>
      <c r="AP962" s="69"/>
      <c r="AQ962" s="69"/>
      <c r="AR962" s="69"/>
      <c r="AS962" s="69"/>
      <c r="AT962" s="69"/>
      <c r="AU962" s="69"/>
      <c r="AV962" s="69"/>
      <c r="AW962" s="69"/>
      <c r="AX962" s="69"/>
      <c r="AY962" s="69"/>
    </row>
    <row r="963" ht="15.75" customHeight="1">
      <c r="A963" s="69"/>
      <c r="B963" s="69"/>
      <c r="C963" s="69"/>
      <c r="D963" s="4"/>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c r="AN963" s="69"/>
      <c r="AO963" s="69"/>
      <c r="AP963" s="69"/>
      <c r="AQ963" s="69"/>
      <c r="AR963" s="69"/>
      <c r="AS963" s="69"/>
      <c r="AT963" s="69"/>
      <c r="AU963" s="69"/>
      <c r="AV963" s="69"/>
      <c r="AW963" s="69"/>
      <c r="AX963" s="69"/>
      <c r="AY963" s="69"/>
    </row>
    <row r="964" ht="15.75" customHeight="1">
      <c r="A964" s="69"/>
      <c r="B964" s="69"/>
      <c r="C964" s="69"/>
      <c r="D964" s="4"/>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c r="AP964" s="69"/>
      <c r="AQ964" s="69"/>
      <c r="AR964" s="69"/>
      <c r="AS964" s="69"/>
      <c r="AT964" s="69"/>
      <c r="AU964" s="69"/>
      <c r="AV964" s="69"/>
      <c r="AW964" s="69"/>
      <c r="AX964" s="69"/>
      <c r="AY964" s="69"/>
    </row>
    <row r="965" ht="15.75" customHeight="1">
      <c r="A965" s="69"/>
      <c r="B965" s="69"/>
      <c r="C965" s="69"/>
      <c r="D965" s="4"/>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c r="AN965" s="69"/>
      <c r="AO965" s="69"/>
      <c r="AP965" s="69"/>
      <c r="AQ965" s="69"/>
      <c r="AR965" s="69"/>
      <c r="AS965" s="69"/>
      <c r="AT965" s="69"/>
      <c r="AU965" s="69"/>
      <c r="AV965" s="69"/>
      <c r="AW965" s="69"/>
      <c r="AX965" s="69"/>
      <c r="AY965" s="69"/>
    </row>
    <row r="966" ht="15.75" customHeight="1">
      <c r="A966" s="69"/>
      <c r="B966" s="69"/>
      <c r="C966" s="69"/>
      <c r="D966" s="4"/>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c r="AP966" s="69"/>
      <c r="AQ966" s="69"/>
      <c r="AR966" s="69"/>
      <c r="AS966" s="69"/>
      <c r="AT966" s="69"/>
      <c r="AU966" s="69"/>
      <c r="AV966" s="69"/>
      <c r="AW966" s="69"/>
      <c r="AX966" s="69"/>
      <c r="AY966" s="69"/>
    </row>
    <row r="967" ht="15.75" customHeight="1">
      <c r="A967" s="69"/>
      <c r="B967" s="69"/>
      <c r="C967" s="69"/>
      <c r="D967" s="4"/>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c r="AN967" s="69"/>
      <c r="AO967" s="69"/>
      <c r="AP967" s="69"/>
      <c r="AQ967" s="69"/>
      <c r="AR967" s="69"/>
      <c r="AS967" s="69"/>
      <c r="AT967" s="69"/>
      <c r="AU967" s="69"/>
      <c r="AV967" s="69"/>
      <c r="AW967" s="69"/>
      <c r="AX967" s="69"/>
      <c r="AY967" s="69"/>
    </row>
    <row r="968" ht="15.75" customHeight="1">
      <c r="A968" s="69"/>
      <c r="B968" s="69"/>
      <c r="C968" s="69"/>
      <c r="D968" s="4"/>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c r="AP968" s="69"/>
      <c r="AQ968" s="69"/>
      <c r="AR968" s="69"/>
      <c r="AS968" s="69"/>
      <c r="AT968" s="69"/>
      <c r="AU968" s="69"/>
      <c r="AV968" s="69"/>
      <c r="AW968" s="69"/>
      <c r="AX968" s="69"/>
      <c r="AY968" s="69"/>
    </row>
    <row r="969" ht="15.75" customHeight="1">
      <c r="A969" s="69"/>
      <c r="B969" s="69"/>
      <c r="C969" s="69"/>
      <c r="D969" s="4"/>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c r="AN969" s="69"/>
      <c r="AO969" s="69"/>
      <c r="AP969" s="69"/>
      <c r="AQ969" s="69"/>
      <c r="AR969" s="69"/>
      <c r="AS969" s="69"/>
      <c r="AT969" s="69"/>
      <c r="AU969" s="69"/>
      <c r="AV969" s="69"/>
      <c r="AW969" s="69"/>
      <c r="AX969" s="69"/>
      <c r="AY969" s="69"/>
    </row>
    <row r="970" ht="15.75" customHeight="1">
      <c r="A970" s="69"/>
      <c r="B970" s="69"/>
      <c r="C970" s="69"/>
      <c r="D970" s="4"/>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c r="AN970" s="69"/>
      <c r="AO970" s="69"/>
      <c r="AP970" s="69"/>
      <c r="AQ970" s="69"/>
      <c r="AR970" s="69"/>
      <c r="AS970" s="69"/>
      <c r="AT970" s="69"/>
      <c r="AU970" s="69"/>
      <c r="AV970" s="69"/>
      <c r="AW970" s="69"/>
      <c r="AX970" s="69"/>
      <c r="AY970" s="69"/>
    </row>
    <row r="971" ht="15.75" customHeight="1">
      <c r="A971" s="69"/>
      <c r="B971" s="69"/>
      <c r="C971" s="69"/>
      <c r="D971" s="4"/>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c r="AN971" s="69"/>
      <c r="AO971" s="69"/>
      <c r="AP971" s="69"/>
      <c r="AQ971" s="69"/>
      <c r="AR971" s="69"/>
      <c r="AS971" s="69"/>
      <c r="AT971" s="69"/>
      <c r="AU971" s="69"/>
      <c r="AV971" s="69"/>
      <c r="AW971" s="69"/>
      <c r="AX971" s="69"/>
      <c r="AY971" s="69"/>
    </row>
    <row r="972" ht="15.75" customHeight="1">
      <c r="A972" s="69"/>
      <c r="B972" s="69"/>
      <c r="C972" s="69"/>
      <c r="D972" s="4"/>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c r="AP972" s="69"/>
      <c r="AQ972" s="69"/>
      <c r="AR972" s="69"/>
      <c r="AS972" s="69"/>
      <c r="AT972" s="69"/>
      <c r="AU972" s="69"/>
      <c r="AV972" s="69"/>
      <c r="AW972" s="69"/>
      <c r="AX972" s="69"/>
      <c r="AY972" s="69"/>
    </row>
    <row r="973">
      <c r="A973" s="69"/>
      <c r="B973" s="69"/>
      <c r="C973" s="69"/>
      <c r="D973" s="4"/>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c r="AN973" s="69"/>
      <c r="AO973" s="69"/>
      <c r="AP973" s="69"/>
      <c r="AQ973" s="69"/>
      <c r="AR973" s="69"/>
      <c r="AS973" s="69"/>
      <c r="AT973" s="69"/>
      <c r="AU973" s="69"/>
      <c r="AV973" s="69"/>
      <c r="AW973" s="69"/>
      <c r="AX973" s="69"/>
      <c r="AY973" s="69"/>
    </row>
    <row r="974">
      <c r="A974" s="69"/>
      <c r="B974" s="69"/>
      <c r="C974" s="69"/>
      <c r="D974" s="4"/>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c r="AP974" s="69"/>
      <c r="AQ974" s="69"/>
      <c r="AR974" s="69"/>
      <c r="AS974" s="69"/>
      <c r="AT974" s="69"/>
      <c r="AU974" s="69"/>
      <c r="AV974" s="69"/>
      <c r="AW974" s="69"/>
      <c r="AX974" s="69"/>
      <c r="AY974" s="69"/>
    </row>
    <row r="975">
      <c r="A975" s="69"/>
      <c r="B975" s="69"/>
      <c r="C975" s="69"/>
      <c r="D975" s="4"/>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c r="AN975" s="69"/>
      <c r="AO975" s="69"/>
      <c r="AP975" s="69"/>
      <c r="AQ975" s="69"/>
      <c r="AR975" s="69"/>
      <c r="AS975" s="69"/>
      <c r="AT975" s="69"/>
      <c r="AU975" s="69"/>
      <c r="AV975" s="69"/>
      <c r="AW975" s="69"/>
      <c r="AX975" s="69"/>
      <c r="AY975" s="69"/>
    </row>
    <row r="976">
      <c r="A976" s="69"/>
      <c r="B976" s="69"/>
      <c r="C976" s="69"/>
      <c r="D976" s="4"/>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c r="AN976" s="69"/>
      <c r="AO976" s="69"/>
      <c r="AP976" s="69"/>
      <c r="AQ976" s="69"/>
      <c r="AR976" s="69"/>
      <c r="AS976" s="69"/>
      <c r="AT976" s="69"/>
      <c r="AU976" s="69"/>
      <c r="AV976" s="69"/>
      <c r="AW976" s="69"/>
      <c r="AX976" s="69"/>
      <c r="AY976" s="69"/>
    </row>
    <row r="977">
      <c r="A977" s="69"/>
      <c r="B977" s="69"/>
      <c r="C977" s="69"/>
      <c r="D977" s="4"/>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c r="AN977" s="69"/>
      <c r="AO977" s="69"/>
      <c r="AP977" s="69"/>
      <c r="AQ977" s="69"/>
      <c r="AR977" s="69"/>
      <c r="AS977" s="69"/>
      <c r="AT977" s="69"/>
      <c r="AU977" s="69"/>
      <c r="AV977" s="69"/>
      <c r="AW977" s="69"/>
      <c r="AX977" s="69"/>
      <c r="AY977" s="69"/>
    </row>
    <row r="978">
      <c r="A978" s="69"/>
      <c r="B978" s="69"/>
      <c r="C978" s="69"/>
      <c r="D978" s="4"/>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c r="AN978" s="69"/>
      <c r="AO978" s="69"/>
      <c r="AP978" s="69"/>
      <c r="AQ978" s="69"/>
      <c r="AR978" s="69"/>
      <c r="AS978" s="69"/>
      <c r="AT978" s="69"/>
      <c r="AU978" s="69"/>
      <c r="AV978" s="69"/>
      <c r="AW978" s="69"/>
      <c r="AX978" s="69"/>
      <c r="AY978" s="69"/>
    </row>
    <row r="979">
      <c r="A979" s="69"/>
      <c r="B979" s="69"/>
      <c r="C979" s="69"/>
      <c r="D979" s="4"/>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c r="AN979" s="69"/>
      <c r="AO979" s="69"/>
      <c r="AP979" s="69"/>
      <c r="AQ979" s="69"/>
      <c r="AR979" s="69"/>
      <c r="AS979" s="69"/>
      <c r="AT979" s="69"/>
      <c r="AU979" s="69"/>
      <c r="AV979" s="69"/>
      <c r="AW979" s="69"/>
      <c r="AX979" s="69"/>
      <c r="AY979" s="69"/>
    </row>
    <row r="980">
      <c r="A980" s="69"/>
      <c r="B980" s="69"/>
      <c r="C980" s="69"/>
      <c r="D980" s="4"/>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c r="AP980" s="69"/>
      <c r="AQ980" s="69"/>
      <c r="AR980" s="69"/>
      <c r="AS980" s="69"/>
      <c r="AT980" s="69"/>
      <c r="AU980" s="69"/>
      <c r="AV980" s="69"/>
      <c r="AW980" s="69"/>
      <c r="AX980" s="69"/>
      <c r="AY980" s="69"/>
    </row>
    <row r="981">
      <c r="A981" s="69"/>
      <c r="B981" s="69"/>
      <c r="C981" s="69"/>
      <c r="D981" s="4"/>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c r="AN981" s="69"/>
      <c r="AO981" s="69"/>
      <c r="AP981" s="69"/>
      <c r="AQ981" s="69"/>
      <c r="AR981" s="69"/>
      <c r="AS981" s="69"/>
      <c r="AT981" s="69"/>
      <c r="AU981" s="69"/>
      <c r="AV981" s="69"/>
      <c r="AW981" s="69"/>
      <c r="AX981" s="69"/>
      <c r="AY981" s="69"/>
    </row>
    <row r="982">
      <c r="A982" s="69"/>
      <c r="B982" s="69"/>
      <c r="C982" s="69"/>
      <c r="D982" s="4"/>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c r="AP982" s="69"/>
      <c r="AQ982" s="69"/>
      <c r="AR982" s="69"/>
      <c r="AS982" s="69"/>
      <c r="AT982" s="69"/>
      <c r="AU982" s="69"/>
      <c r="AV982" s="69"/>
      <c r="AW982" s="69"/>
      <c r="AX982" s="69"/>
      <c r="AY982" s="69"/>
    </row>
    <row r="983">
      <c r="A983" s="69"/>
      <c r="B983" s="69"/>
      <c r="C983" s="69"/>
      <c r="D983" s="4"/>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c r="AN983" s="69"/>
      <c r="AO983" s="69"/>
      <c r="AP983" s="69"/>
      <c r="AQ983" s="69"/>
      <c r="AR983" s="69"/>
      <c r="AS983" s="69"/>
      <c r="AT983" s="69"/>
      <c r="AU983" s="69"/>
      <c r="AV983" s="69"/>
      <c r="AW983" s="69"/>
      <c r="AX983" s="69"/>
      <c r="AY983" s="69"/>
    </row>
    <row r="984">
      <c r="A984" s="69"/>
      <c r="B984" s="69"/>
      <c r="C984" s="69"/>
      <c r="D984" s="4"/>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c r="AN984" s="69"/>
      <c r="AO984" s="69"/>
      <c r="AP984" s="69"/>
      <c r="AQ984" s="69"/>
      <c r="AR984" s="69"/>
      <c r="AS984" s="69"/>
      <c r="AT984" s="69"/>
      <c r="AU984" s="69"/>
      <c r="AV984" s="69"/>
      <c r="AW984" s="69"/>
      <c r="AX984" s="69"/>
      <c r="AY984" s="69"/>
    </row>
    <row r="985">
      <c r="A985" s="69"/>
      <c r="B985" s="69"/>
      <c r="C985" s="69"/>
      <c r="D985" s="4"/>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c r="AN985" s="69"/>
      <c r="AO985" s="69"/>
      <c r="AP985" s="69"/>
      <c r="AQ985" s="69"/>
      <c r="AR985" s="69"/>
      <c r="AS985" s="69"/>
      <c r="AT985" s="69"/>
      <c r="AU985" s="69"/>
      <c r="AV985" s="69"/>
      <c r="AW985" s="69"/>
      <c r="AX985" s="69"/>
      <c r="AY985" s="69"/>
    </row>
    <row r="986">
      <c r="A986" s="69"/>
      <c r="B986" s="69"/>
      <c r="C986" s="69"/>
      <c r="D986" s="4"/>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c r="AN986" s="69"/>
      <c r="AO986" s="69"/>
      <c r="AP986" s="69"/>
      <c r="AQ986" s="69"/>
      <c r="AR986" s="69"/>
      <c r="AS986" s="69"/>
      <c r="AT986" s="69"/>
      <c r="AU986" s="69"/>
      <c r="AV986" s="69"/>
      <c r="AW986" s="69"/>
      <c r="AX986" s="69"/>
      <c r="AY986" s="69"/>
    </row>
    <row r="987">
      <c r="A987" s="69"/>
      <c r="B987" s="69"/>
      <c r="C987" s="69"/>
      <c r="D987" s="4"/>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c r="AN987" s="69"/>
      <c r="AO987" s="69"/>
      <c r="AP987" s="69"/>
      <c r="AQ987" s="69"/>
      <c r="AR987" s="69"/>
      <c r="AS987" s="69"/>
      <c r="AT987" s="69"/>
      <c r="AU987" s="69"/>
      <c r="AV987" s="69"/>
      <c r="AW987" s="69"/>
      <c r="AX987" s="69"/>
      <c r="AY987" s="69"/>
    </row>
    <row r="988">
      <c r="A988" s="69"/>
      <c r="B988" s="69"/>
      <c r="C988" s="69"/>
      <c r="D988" s="4"/>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c r="AP988" s="69"/>
      <c r="AQ988" s="69"/>
      <c r="AR988" s="69"/>
      <c r="AS988" s="69"/>
      <c r="AT988" s="69"/>
      <c r="AU988" s="69"/>
      <c r="AV988" s="69"/>
      <c r="AW988" s="69"/>
      <c r="AX988" s="69"/>
      <c r="AY988" s="69"/>
    </row>
    <row r="989">
      <c r="A989" s="69"/>
      <c r="B989" s="69"/>
      <c r="C989" s="69"/>
      <c r="D989" s="4"/>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c r="AN989" s="69"/>
      <c r="AO989" s="69"/>
      <c r="AP989" s="69"/>
      <c r="AQ989" s="69"/>
      <c r="AR989" s="69"/>
      <c r="AS989" s="69"/>
      <c r="AT989" s="69"/>
      <c r="AU989" s="69"/>
      <c r="AV989" s="69"/>
      <c r="AW989" s="69"/>
      <c r="AX989" s="69"/>
      <c r="AY989" s="69"/>
    </row>
    <row r="990">
      <c r="A990" s="69"/>
      <c r="B990" s="69"/>
      <c r="C990" s="69"/>
      <c r="D990" s="4"/>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c r="AP990" s="69"/>
      <c r="AQ990" s="69"/>
      <c r="AR990" s="69"/>
      <c r="AS990" s="69"/>
      <c r="AT990" s="69"/>
      <c r="AU990" s="69"/>
      <c r="AV990" s="69"/>
      <c r="AW990" s="69"/>
      <c r="AX990" s="69"/>
      <c r="AY990" s="69"/>
    </row>
    <row r="991">
      <c r="A991" s="69"/>
      <c r="B991" s="69"/>
      <c r="C991" s="69"/>
      <c r="D991" s="4"/>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c r="AF991" s="69"/>
      <c r="AG991" s="69"/>
      <c r="AH991" s="69"/>
      <c r="AI991" s="69"/>
      <c r="AJ991" s="69"/>
      <c r="AK991" s="69"/>
      <c r="AL991" s="69"/>
      <c r="AM991" s="69"/>
      <c r="AN991" s="69"/>
      <c r="AO991" s="69"/>
      <c r="AP991" s="69"/>
      <c r="AQ991" s="69"/>
      <c r="AR991" s="69"/>
      <c r="AS991" s="69"/>
      <c r="AT991" s="69"/>
      <c r="AU991" s="69"/>
      <c r="AV991" s="69"/>
      <c r="AW991" s="69"/>
      <c r="AX991" s="69"/>
      <c r="AY991" s="69"/>
    </row>
    <row r="992">
      <c r="A992" s="69"/>
      <c r="B992" s="69"/>
      <c r="C992" s="69"/>
      <c r="D992" s="4"/>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c r="AF992" s="69"/>
      <c r="AG992" s="69"/>
      <c r="AH992" s="69"/>
      <c r="AI992" s="69"/>
      <c r="AJ992" s="69"/>
      <c r="AK992" s="69"/>
      <c r="AL992" s="69"/>
      <c r="AM992" s="69"/>
      <c r="AN992" s="69"/>
      <c r="AO992" s="69"/>
      <c r="AP992" s="69"/>
      <c r="AQ992" s="69"/>
      <c r="AR992" s="69"/>
      <c r="AS992" s="69"/>
      <c r="AT992" s="69"/>
      <c r="AU992" s="69"/>
      <c r="AV992" s="69"/>
      <c r="AW992" s="69"/>
      <c r="AX992" s="69"/>
      <c r="AY992" s="69"/>
    </row>
    <row r="993">
      <c r="A993" s="69"/>
      <c r="B993" s="69"/>
      <c r="C993" s="69"/>
      <c r="D993" s="4"/>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c r="AF993" s="69"/>
      <c r="AG993" s="69"/>
      <c r="AH993" s="69"/>
      <c r="AI993" s="69"/>
      <c r="AJ993" s="69"/>
      <c r="AK993" s="69"/>
      <c r="AL993" s="69"/>
      <c r="AM993" s="69"/>
      <c r="AN993" s="69"/>
      <c r="AO993" s="69"/>
      <c r="AP993" s="69"/>
      <c r="AQ993" s="69"/>
      <c r="AR993" s="69"/>
      <c r="AS993" s="69"/>
      <c r="AT993" s="69"/>
      <c r="AU993" s="69"/>
      <c r="AV993" s="69"/>
      <c r="AW993" s="69"/>
      <c r="AX993" s="69"/>
      <c r="AY993" s="69"/>
    </row>
    <row r="994">
      <c r="A994" s="69"/>
      <c r="B994" s="69"/>
      <c r="C994" s="69"/>
      <c r="D994" s="4"/>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c r="AF994" s="69"/>
      <c r="AG994" s="69"/>
      <c r="AH994" s="69"/>
      <c r="AI994" s="69"/>
      <c r="AJ994" s="69"/>
      <c r="AK994" s="69"/>
      <c r="AL994" s="69"/>
      <c r="AM994" s="69"/>
      <c r="AN994" s="69"/>
      <c r="AO994" s="69"/>
      <c r="AP994" s="69"/>
      <c r="AQ994" s="69"/>
      <c r="AR994" s="69"/>
      <c r="AS994" s="69"/>
      <c r="AT994" s="69"/>
      <c r="AU994" s="69"/>
      <c r="AV994" s="69"/>
      <c r="AW994" s="69"/>
      <c r="AX994" s="69"/>
      <c r="AY994" s="69"/>
    </row>
    <row r="995">
      <c r="A995" s="69"/>
      <c r="B995" s="69"/>
      <c r="C995" s="69"/>
      <c r="D995" s="4"/>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c r="AF995" s="69"/>
      <c r="AG995" s="69"/>
      <c r="AH995" s="69"/>
      <c r="AI995" s="69"/>
      <c r="AJ995" s="69"/>
      <c r="AK995" s="69"/>
      <c r="AL995" s="69"/>
      <c r="AM995" s="69"/>
      <c r="AN995" s="69"/>
      <c r="AO995" s="69"/>
      <c r="AP995" s="69"/>
      <c r="AQ995" s="69"/>
      <c r="AR995" s="69"/>
      <c r="AS995" s="69"/>
      <c r="AT995" s="69"/>
      <c r="AU995" s="69"/>
      <c r="AV995" s="69"/>
      <c r="AW995" s="69"/>
      <c r="AX995" s="69"/>
      <c r="AY995" s="69"/>
    </row>
    <row r="996">
      <c r="A996" s="69"/>
      <c r="B996" s="69"/>
      <c r="C996" s="69"/>
      <c r="D996" s="4"/>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c r="AP996" s="69"/>
      <c r="AQ996" s="69"/>
      <c r="AR996" s="69"/>
      <c r="AS996" s="69"/>
      <c r="AT996" s="69"/>
      <c r="AU996" s="69"/>
      <c r="AV996" s="69"/>
      <c r="AW996" s="69"/>
      <c r="AX996" s="69"/>
      <c r="AY996" s="69"/>
    </row>
    <row r="997">
      <c r="A997" s="69"/>
      <c r="B997" s="69"/>
      <c r="C997" s="69"/>
      <c r="D997" s="4"/>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c r="AD997" s="69"/>
      <c r="AE997" s="69"/>
      <c r="AF997" s="69"/>
      <c r="AG997" s="69"/>
      <c r="AH997" s="69"/>
      <c r="AI997" s="69"/>
      <c r="AJ997" s="69"/>
      <c r="AK997" s="69"/>
      <c r="AL997" s="69"/>
      <c r="AM997" s="69"/>
      <c r="AN997" s="69"/>
      <c r="AO997" s="69"/>
      <c r="AP997" s="69"/>
      <c r="AQ997" s="69"/>
      <c r="AR997" s="69"/>
      <c r="AS997" s="69"/>
      <c r="AT997" s="69"/>
      <c r="AU997" s="69"/>
      <c r="AV997" s="69"/>
      <c r="AW997" s="69"/>
      <c r="AX997" s="69"/>
      <c r="AY997" s="69"/>
    </row>
    <row r="998">
      <c r="A998" s="69"/>
      <c r="B998" s="69"/>
      <c r="C998" s="69"/>
      <c r="D998" s="4"/>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c r="AP998" s="69"/>
      <c r="AQ998" s="69"/>
      <c r="AR998" s="69"/>
      <c r="AS998" s="69"/>
      <c r="AT998" s="69"/>
      <c r="AU998" s="69"/>
      <c r="AV998" s="69"/>
      <c r="AW998" s="69"/>
      <c r="AX998" s="69"/>
      <c r="AY998" s="69"/>
    </row>
    <row r="999">
      <c r="A999" s="69"/>
      <c r="B999" s="69"/>
      <c r="C999" s="69"/>
      <c r="D999" s="4"/>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c r="AC999" s="69"/>
      <c r="AD999" s="69"/>
      <c r="AE999" s="69"/>
      <c r="AF999" s="69"/>
      <c r="AG999" s="69"/>
      <c r="AH999" s="69"/>
      <c r="AI999" s="69"/>
      <c r="AJ999" s="69"/>
      <c r="AK999" s="69"/>
      <c r="AL999" s="69"/>
      <c r="AM999" s="69"/>
      <c r="AN999" s="69"/>
      <c r="AO999" s="69"/>
      <c r="AP999" s="69"/>
      <c r="AQ999" s="69"/>
      <c r="AR999" s="69"/>
      <c r="AS999" s="69"/>
      <c r="AT999" s="69"/>
      <c r="AU999" s="69"/>
      <c r="AV999" s="69"/>
      <c r="AW999" s="69"/>
      <c r="AX999" s="69"/>
      <c r="AY999" s="69"/>
    </row>
    <row r="1000">
      <c r="A1000" s="69"/>
      <c r="B1000" s="69"/>
      <c r="C1000" s="69"/>
      <c r="D1000" s="4"/>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c r="AL1000" s="69"/>
      <c r="AM1000" s="69"/>
      <c r="AN1000" s="69"/>
      <c r="AO1000" s="69"/>
      <c r="AP1000" s="69"/>
      <c r="AQ1000" s="69"/>
      <c r="AR1000" s="69"/>
      <c r="AS1000" s="69"/>
      <c r="AT1000" s="69"/>
      <c r="AU1000" s="69"/>
      <c r="AV1000" s="69"/>
      <c r="AW1000" s="69"/>
      <c r="AX1000" s="69"/>
      <c r="AY1000" s="69"/>
    </row>
  </sheetData>
  <mergeCells count="6">
    <mergeCell ref="A1:B2"/>
    <mergeCell ref="A3:B3"/>
    <mergeCell ref="A4:B4"/>
    <mergeCell ref="A6:H6"/>
    <mergeCell ref="A32:C32"/>
    <mergeCell ref="A33:H33"/>
  </mergeCell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71"/>
    <col customWidth="1" min="2" max="2" width="51.29"/>
    <col customWidth="1" min="3" max="3" width="11.71"/>
    <col customWidth="1" min="4" max="4" width="12.0"/>
    <col customWidth="1" min="5" max="81" width="12.71"/>
  </cols>
  <sheetData>
    <row r="1" ht="15.0" customHeight="1">
      <c r="A1" s="1" t="s">
        <v>111</v>
      </c>
      <c r="C1" s="2" t="s">
        <v>1</v>
      </c>
      <c r="D1" s="2" t="s">
        <v>2</v>
      </c>
      <c r="E1" s="2" t="s">
        <v>112</v>
      </c>
      <c r="F1" s="2" t="s">
        <v>113</v>
      </c>
      <c r="G1" s="3"/>
      <c r="H1" s="3"/>
      <c r="I1" s="3"/>
      <c r="J1" s="3"/>
      <c r="K1" s="3"/>
      <c r="L1" s="3"/>
      <c r="M1" s="3"/>
      <c r="N1" s="3"/>
      <c r="O1" s="3"/>
      <c r="P1" s="3"/>
      <c r="Q1" s="3"/>
      <c r="R1" s="3"/>
      <c r="S1" s="3"/>
      <c r="T1" s="3"/>
      <c r="U1" s="3"/>
      <c r="V1" s="3"/>
      <c r="W1" s="3"/>
      <c r="X1" s="3"/>
      <c r="Y1" s="3"/>
      <c r="Z1" s="3"/>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row>
    <row r="2" ht="15.0" customHeight="1">
      <c r="C2" s="5">
        <v>4.0</v>
      </c>
      <c r="D2" s="6">
        <v>43998.0</v>
      </c>
      <c r="E2" s="6">
        <v>44034.0</v>
      </c>
      <c r="F2" s="6">
        <v>44043.0</v>
      </c>
      <c r="G2" s="3"/>
      <c r="H2" s="3"/>
      <c r="I2" s="3"/>
      <c r="J2" s="3"/>
      <c r="K2" s="3"/>
      <c r="L2" s="3"/>
      <c r="M2" s="3"/>
      <c r="N2" s="3"/>
      <c r="O2" s="3"/>
      <c r="P2" s="3"/>
      <c r="Q2" s="3"/>
      <c r="R2" s="3"/>
      <c r="S2" s="3"/>
      <c r="T2" s="3"/>
      <c r="U2" s="3"/>
      <c r="V2" s="3"/>
      <c r="W2" s="3"/>
      <c r="X2" s="3"/>
      <c r="Y2" s="3"/>
      <c r="Z2" s="3"/>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row>
    <row r="3">
      <c r="A3" s="7" t="s">
        <v>114</v>
      </c>
      <c r="C3" s="5"/>
      <c r="D3" s="6"/>
      <c r="E3" s="6"/>
      <c r="F3" s="6"/>
      <c r="G3" s="8"/>
      <c r="H3" s="8"/>
      <c r="I3" s="8"/>
      <c r="J3" s="8"/>
      <c r="K3" s="8"/>
      <c r="L3" s="8"/>
      <c r="M3" s="8"/>
      <c r="N3" s="8"/>
      <c r="O3" s="8"/>
      <c r="P3" s="8"/>
      <c r="Q3" s="8"/>
      <c r="R3" s="8"/>
      <c r="S3" s="8"/>
      <c r="T3" s="8"/>
      <c r="U3" s="8"/>
      <c r="V3" s="8"/>
      <c r="W3" s="8"/>
      <c r="X3" s="8"/>
      <c r="Y3" s="8"/>
      <c r="Z3" s="8"/>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row>
    <row r="4">
      <c r="A4" s="7" t="s">
        <v>5</v>
      </c>
      <c r="C4" s="5"/>
      <c r="D4" s="6"/>
      <c r="E4" s="6"/>
      <c r="F4" s="6"/>
      <c r="G4" s="8"/>
      <c r="H4" s="8"/>
      <c r="I4" s="8"/>
      <c r="J4" s="8"/>
      <c r="K4" s="8"/>
      <c r="L4" s="8"/>
      <c r="M4" s="8"/>
      <c r="N4" s="8"/>
      <c r="O4" s="8"/>
      <c r="P4" s="8"/>
      <c r="Q4" s="8"/>
      <c r="R4" s="8"/>
      <c r="S4" s="8"/>
      <c r="T4" s="8"/>
      <c r="U4" s="8"/>
      <c r="V4" s="8"/>
      <c r="W4" s="8"/>
      <c r="X4" s="8"/>
      <c r="Y4" s="8"/>
      <c r="Z4" s="8"/>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row>
    <row r="5">
      <c r="A5" s="7"/>
      <c r="B5" s="4"/>
      <c r="C5" s="9"/>
      <c r="D5" s="8"/>
      <c r="E5" s="8"/>
      <c r="F5" s="8"/>
      <c r="G5" s="8"/>
      <c r="H5" s="8"/>
      <c r="I5" s="8"/>
      <c r="J5" s="8"/>
      <c r="K5" s="8"/>
      <c r="L5" s="8"/>
      <c r="M5" s="8"/>
      <c r="N5" s="8"/>
      <c r="O5" s="8"/>
      <c r="P5" s="8"/>
      <c r="Q5" s="8"/>
      <c r="R5" s="8"/>
      <c r="S5" s="8"/>
      <c r="T5" s="8"/>
      <c r="U5" s="8"/>
      <c r="V5" s="8"/>
      <c r="W5" s="8"/>
      <c r="X5" s="8"/>
      <c r="Y5" s="8"/>
      <c r="Z5" s="8"/>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row>
    <row r="6">
      <c r="A6" s="118" t="s">
        <v>115</v>
      </c>
      <c r="B6" s="67"/>
      <c r="C6" s="67"/>
      <c r="D6" s="67"/>
      <c r="E6" s="67"/>
      <c r="F6" s="67"/>
      <c r="G6" s="67"/>
      <c r="H6" s="68"/>
      <c r="I6" s="94"/>
      <c r="J6" s="94"/>
      <c r="K6" s="94"/>
      <c r="L6" s="94"/>
      <c r="M6" s="94"/>
      <c r="N6" s="94"/>
      <c r="O6" s="94"/>
      <c r="P6" s="94"/>
      <c r="Q6" s="94"/>
      <c r="R6" s="94"/>
      <c r="S6" s="94"/>
      <c r="T6" s="94"/>
      <c r="U6" s="94"/>
      <c r="V6" s="94"/>
      <c r="W6" s="94"/>
      <c r="X6" s="94"/>
      <c r="Y6" s="94"/>
      <c r="Z6" s="94"/>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c r="CV6" s="69"/>
      <c r="CW6" s="69"/>
    </row>
    <row r="7">
      <c r="A7" s="95" t="s">
        <v>6</v>
      </c>
      <c r="B7" s="96" t="s">
        <v>7</v>
      </c>
      <c r="C7" s="97" t="s">
        <v>8</v>
      </c>
      <c r="D7" s="96" t="s">
        <v>9</v>
      </c>
      <c r="E7" s="96" t="s">
        <v>10</v>
      </c>
      <c r="F7" s="96" t="s">
        <v>11</v>
      </c>
      <c r="G7" s="96" t="s">
        <v>12</v>
      </c>
      <c r="H7" s="96" t="s">
        <v>13</v>
      </c>
      <c r="I7" s="70">
        <v>44090.0</v>
      </c>
      <c r="J7" s="98">
        <v>44089.0</v>
      </c>
      <c r="K7" s="98">
        <v>44088.0</v>
      </c>
      <c r="L7" s="98">
        <v>44086.0</v>
      </c>
      <c r="M7" s="98">
        <v>44085.0</v>
      </c>
      <c r="N7" s="98">
        <v>44084.0</v>
      </c>
      <c r="O7" s="98">
        <v>44083.0</v>
      </c>
      <c r="P7" s="98">
        <v>44082.0</v>
      </c>
      <c r="Q7" s="98">
        <v>44081.0</v>
      </c>
      <c r="R7" s="98">
        <v>44079.0</v>
      </c>
      <c r="S7" s="98">
        <v>44078.0</v>
      </c>
      <c r="T7" s="98">
        <v>44077.0</v>
      </c>
      <c r="U7" s="98">
        <v>44076.0</v>
      </c>
      <c r="V7" s="98">
        <v>44071.0</v>
      </c>
      <c r="W7" s="98">
        <v>44070.0</v>
      </c>
      <c r="X7" s="98">
        <v>44069.0</v>
      </c>
      <c r="Y7" s="98">
        <v>44068.0</v>
      </c>
      <c r="Z7" s="98">
        <v>44067.0</v>
      </c>
      <c r="AA7" s="98">
        <v>44065.0</v>
      </c>
      <c r="AB7" s="98">
        <v>44064.0</v>
      </c>
      <c r="AC7" s="98">
        <v>44063.0</v>
      </c>
      <c r="AD7" s="98">
        <v>44062.0</v>
      </c>
      <c r="AE7" s="98">
        <v>44061.0</v>
      </c>
      <c r="AF7" s="98">
        <v>44060.0</v>
      </c>
      <c r="AG7" s="98">
        <v>44057.0</v>
      </c>
      <c r="AH7" s="98">
        <v>44056.0</v>
      </c>
      <c r="AI7" s="98">
        <v>44055.0</v>
      </c>
      <c r="AJ7" s="98">
        <v>44054.0</v>
      </c>
      <c r="AK7" s="98">
        <v>44053.0</v>
      </c>
      <c r="AL7" s="98">
        <v>44051.0</v>
      </c>
      <c r="AM7" s="98">
        <v>44050.0</v>
      </c>
      <c r="AN7" s="98">
        <v>44049.0</v>
      </c>
      <c r="AO7" s="98">
        <v>44048.0</v>
      </c>
      <c r="AP7" s="98">
        <v>44047.0</v>
      </c>
      <c r="AQ7" s="98">
        <v>44045.0</v>
      </c>
      <c r="AR7" s="98">
        <v>44046.0</v>
      </c>
      <c r="AS7" s="98">
        <v>44043.0</v>
      </c>
      <c r="AT7" s="98">
        <v>44042.0</v>
      </c>
      <c r="AU7" s="98">
        <v>44041.0</v>
      </c>
      <c r="AV7" s="98">
        <v>44040.0</v>
      </c>
      <c r="AW7" s="98">
        <v>44039.0</v>
      </c>
      <c r="AX7" s="98">
        <v>44037.0</v>
      </c>
      <c r="AY7" s="98">
        <v>44036.0</v>
      </c>
      <c r="AZ7" s="98">
        <v>44035.0</v>
      </c>
      <c r="BA7" s="98">
        <v>44034.0</v>
      </c>
      <c r="BB7" s="98">
        <v>44033.0</v>
      </c>
      <c r="BC7" s="98">
        <v>44032.0</v>
      </c>
      <c r="BD7" s="98">
        <v>44029.0</v>
      </c>
      <c r="BE7" s="98">
        <v>44028.0</v>
      </c>
      <c r="BF7" s="98">
        <v>44027.0</v>
      </c>
      <c r="BG7" s="98">
        <v>44026.0</v>
      </c>
      <c r="BH7" s="98">
        <v>44025.0</v>
      </c>
      <c r="BI7" s="98">
        <v>44023.0</v>
      </c>
      <c r="BJ7" s="98">
        <v>44022.0</v>
      </c>
      <c r="BK7" s="98">
        <v>44021.0</v>
      </c>
      <c r="BL7" s="98">
        <v>44020.0</v>
      </c>
      <c r="BM7" s="98">
        <v>44019.0</v>
      </c>
      <c r="BN7" s="98">
        <v>44018.0</v>
      </c>
      <c r="BO7" s="98">
        <v>44015.0</v>
      </c>
      <c r="BP7" s="98">
        <v>44014.0</v>
      </c>
      <c r="BQ7" s="98">
        <v>44013.0</v>
      </c>
      <c r="BR7" s="98">
        <v>44012.0</v>
      </c>
      <c r="BS7" s="98">
        <v>44011.0</v>
      </c>
      <c r="BT7" s="98">
        <v>44009.0</v>
      </c>
      <c r="BU7" s="98">
        <v>44008.0</v>
      </c>
      <c r="BV7" s="98">
        <v>44007.0</v>
      </c>
      <c r="BW7" s="98">
        <v>44006.0</v>
      </c>
      <c r="BX7" s="98">
        <v>44005.0</v>
      </c>
      <c r="BY7" s="98">
        <v>44004.0</v>
      </c>
      <c r="BZ7" s="98">
        <v>44001.0</v>
      </c>
      <c r="CA7" s="98">
        <v>44000.0</v>
      </c>
      <c r="CB7" s="98">
        <v>43999.0</v>
      </c>
      <c r="CC7" s="98">
        <v>43998.0</v>
      </c>
      <c r="CD7" s="3"/>
      <c r="CE7" s="3"/>
      <c r="CF7" s="3"/>
      <c r="CG7" s="3"/>
      <c r="CH7" s="3"/>
      <c r="CI7" s="3"/>
      <c r="CJ7" s="3"/>
      <c r="CK7" s="3"/>
      <c r="CL7" s="3"/>
      <c r="CM7" s="3"/>
      <c r="CN7" s="3"/>
      <c r="CO7" s="3"/>
      <c r="CP7" s="3"/>
      <c r="CQ7" s="3"/>
      <c r="CR7" s="3"/>
      <c r="CS7" s="3"/>
      <c r="CT7" s="3"/>
      <c r="CU7" s="3"/>
      <c r="CV7" s="3"/>
      <c r="CW7" s="3"/>
    </row>
    <row r="8">
      <c r="A8" s="99">
        <v>12.0</v>
      </c>
      <c r="B8" s="100" t="s">
        <v>116</v>
      </c>
      <c r="C8" s="101" t="s">
        <v>86</v>
      </c>
      <c r="D8" s="102" t="s">
        <v>42</v>
      </c>
      <c r="E8" s="102">
        <v>24.0</v>
      </c>
      <c r="F8" s="102">
        <v>24.0</v>
      </c>
      <c r="G8" s="6">
        <v>44023.0</v>
      </c>
      <c r="H8" s="6">
        <v>44007.0</v>
      </c>
      <c r="I8" s="103">
        <v>1.0</v>
      </c>
      <c r="J8" s="103">
        <v>1.0</v>
      </c>
      <c r="K8" s="103">
        <v>1.0</v>
      </c>
      <c r="L8" s="103">
        <v>1.0</v>
      </c>
      <c r="M8" s="103">
        <v>1.0</v>
      </c>
      <c r="N8" s="103">
        <v>1.0</v>
      </c>
      <c r="O8" s="103">
        <v>1.0</v>
      </c>
      <c r="P8" s="103">
        <v>1.0</v>
      </c>
      <c r="Q8" s="103">
        <v>1.0</v>
      </c>
      <c r="R8" s="103">
        <v>1.0</v>
      </c>
      <c r="S8" s="103">
        <v>1.0</v>
      </c>
      <c r="T8" s="103">
        <v>1.0</v>
      </c>
      <c r="U8" s="103">
        <v>1.0</v>
      </c>
      <c r="V8" s="103">
        <v>1.0</v>
      </c>
      <c r="W8" s="103">
        <v>1.0</v>
      </c>
      <c r="X8" s="103">
        <v>1.0</v>
      </c>
      <c r="Y8" s="103">
        <v>1.0</v>
      </c>
      <c r="Z8" s="103">
        <v>1.0</v>
      </c>
      <c r="AA8" s="103">
        <v>1.0</v>
      </c>
      <c r="AB8" s="103">
        <v>1.0</v>
      </c>
      <c r="AC8" s="103">
        <v>1.0</v>
      </c>
      <c r="AD8" s="103">
        <v>1.0</v>
      </c>
      <c r="AE8" s="103">
        <v>1.0</v>
      </c>
      <c r="AF8" s="103">
        <v>1.0</v>
      </c>
      <c r="AG8" s="103">
        <v>1.0</v>
      </c>
      <c r="AH8" s="103">
        <v>1.0</v>
      </c>
      <c r="AI8" s="103">
        <v>1.0</v>
      </c>
      <c r="AJ8" s="103">
        <v>1.0</v>
      </c>
      <c r="AK8" s="103">
        <v>1.0</v>
      </c>
      <c r="AL8" s="103">
        <v>1.0</v>
      </c>
      <c r="AM8" s="103">
        <v>1.0</v>
      </c>
      <c r="AN8" s="103">
        <v>1.0</v>
      </c>
      <c r="AO8" s="103">
        <v>1.0</v>
      </c>
      <c r="AP8" s="103">
        <v>1.0</v>
      </c>
      <c r="AQ8" s="103">
        <v>1.0</v>
      </c>
      <c r="AR8" s="103">
        <v>1.0</v>
      </c>
      <c r="AS8" s="103">
        <v>1.0</v>
      </c>
      <c r="AT8" s="103">
        <v>1.0</v>
      </c>
      <c r="AU8" s="103">
        <v>1.0</v>
      </c>
      <c r="AV8" s="103">
        <v>1.0</v>
      </c>
      <c r="AW8" s="103">
        <v>1.0</v>
      </c>
      <c r="AX8" s="103">
        <v>1.0</v>
      </c>
      <c r="AY8" s="103">
        <v>0.8</v>
      </c>
      <c r="AZ8" s="103">
        <v>0.7</v>
      </c>
      <c r="BA8" s="103">
        <v>0.5</v>
      </c>
      <c r="BB8" s="103">
        <v>0.5</v>
      </c>
      <c r="BC8" s="103">
        <v>0.5</v>
      </c>
      <c r="BD8" s="103">
        <v>0.5</v>
      </c>
      <c r="BE8" s="103">
        <v>0.5</v>
      </c>
      <c r="BF8" s="103">
        <v>0.5</v>
      </c>
      <c r="BG8" s="103">
        <v>0.5</v>
      </c>
      <c r="BH8" s="103">
        <v>0.5</v>
      </c>
      <c r="BI8" s="103">
        <v>0.5</v>
      </c>
      <c r="BJ8" s="103"/>
      <c r="BK8" s="103"/>
      <c r="BL8" s="103"/>
      <c r="BM8" s="103"/>
      <c r="BN8" s="103"/>
      <c r="BO8" s="103"/>
      <c r="BP8" s="103"/>
      <c r="BQ8" s="103"/>
      <c r="BR8" s="103"/>
      <c r="BS8" s="103"/>
      <c r="BT8" s="103"/>
      <c r="BU8" s="103"/>
      <c r="BV8" s="103"/>
      <c r="BW8" s="103"/>
      <c r="BX8" s="103"/>
      <c r="BY8" s="103"/>
      <c r="BZ8" s="103"/>
      <c r="CA8" s="103"/>
      <c r="CB8" s="103"/>
      <c r="CC8" s="103"/>
      <c r="CD8" s="3"/>
      <c r="CE8" s="3"/>
      <c r="CF8" s="3"/>
      <c r="CG8" s="3"/>
      <c r="CH8" s="3"/>
      <c r="CI8" s="3"/>
      <c r="CJ8" s="3"/>
      <c r="CK8" s="3"/>
      <c r="CL8" s="3"/>
      <c r="CM8" s="3"/>
      <c r="CN8" s="3"/>
      <c r="CO8" s="3"/>
      <c r="CP8" s="3"/>
      <c r="CQ8" s="3"/>
      <c r="CR8" s="3"/>
      <c r="CS8" s="3"/>
      <c r="CT8" s="3"/>
      <c r="CU8" s="3"/>
      <c r="CV8" s="3"/>
      <c r="CW8" s="3"/>
    </row>
    <row r="9">
      <c r="A9" s="99">
        <v>13.0</v>
      </c>
      <c r="B9" s="100" t="s">
        <v>117</v>
      </c>
      <c r="C9" s="101" t="s">
        <v>86</v>
      </c>
      <c r="D9" s="102" t="s">
        <v>55</v>
      </c>
      <c r="E9" s="102">
        <v>24.0</v>
      </c>
      <c r="F9" s="102">
        <v>35.0</v>
      </c>
      <c r="G9" s="6">
        <v>44007.0</v>
      </c>
      <c r="H9" s="6">
        <v>44011.0</v>
      </c>
      <c r="I9" s="103">
        <v>1.0</v>
      </c>
      <c r="J9" s="103">
        <v>1.0</v>
      </c>
      <c r="K9" s="103">
        <v>1.0</v>
      </c>
      <c r="L9" s="103">
        <v>1.0</v>
      </c>
      <c r="M9" s="103">
        <v>1.0</v>
      </c>
      <c r="N9" s="103">
        <v>1.0</v>
      </c>
      <c r="O9" s="103">
        <v>1.0</v>
      </c>
      <c r="P9" s="103">
        <v>1.0</v>
      </c>
      <c r="Q9" s="103">
        <v>1.0</v>
      </c>
      <c r="R9" s="103">
        <v>1.0</v>
      </c>
      <c r="S9" s="103">
        <v>1.0</v>
      </c>
      <c r="T9" s="103">
        <v>1.0</v>
      </c>
      <c r="U9" s="103">
        <v>1.0</v>
      </c>
      <c r="V9" s="103">
        <v>1.0</v>
      </c>
      <c r="W9" s="103">
        <v>1.0</v>
      </c>
      <c r="X9" s="103">
        <v>1.0</v>
      </c>
      <c r="Y9" s="103">
        <v>1.0</v>
      </c>
      <c r="Z9" s="103">
        <v>1.0</v>
      </c>
      <c r="AA9" s="103">
        <v>1.0</v>
      </c>
      <c r="AB9" s="103">
        <v>1.0</v>
      </c>
      <c r="AC9" s="103">
        <v>1.0</v>
      </c>
      <c r="AD9" s="103">
        <v>1.0</v>
      </c>
      <c r="AE9" s="103">
        <v>1.0</v>
      </c>
      <c r="AF9" s="103">
        <v>1.0</v>
      </c>
      <c r="AG9" s="103">
        <v>1.0</v>
      </c>
      <c r="AH9" s="103">
        <v>1.0</v>
      </c>
      <c r="AI9" s="103">
        <v>1.0</v>
      </c>
      <c r="AJ9" s="103">
        <v>1.0</v>
      </c>
      <c r="AK9" s="103">
        <v>1.0</v>
      </c>
      <c r="AL9" s="103">
        <v>1.0</v>
      </c>
      <c r="AM9" s="103">
        <v>1.0</v>
      </c>
      <c r="AN9" s="103">
        <v>1.0</v>
      </c>
      <c r="AO9" s="103">
        <v>1.0</v>
      </c>
      <c r="AP9" s="103">
        <v>1.0</v>
      </c>
      <c r="AQ9" s="103">
        <v>1.0</v>
      </c>
      <c r="AR9" s="103">
        <v>1.0</v>
      </c>
      <c r="AS9" s="103">
        <v>1.0</v>
      </c>
      <c r="AT9" s="103">
        <v>1.0</v>
      </c>
      <c r="AU9" s="103">
        <v>1.0</v>
      </c>
      <c r="AV9" s="103">
        <v>1.0</v>
      </c>
      <c r="AW9" s="103">
        <v>1.0</v>
      </c>
      <c r="AX9" s="103">
        <v>1.0</v>
      </c>
      <c r="AY9" s="103">
        <v>1.0</v>
      </c>
      <c r="AZ9" s="103">
        <v>1.0</v>
      </c>
      <c r="BA9" s="103">
        <v>1.0</v>
      </c>
      <c r="BB9" s="103">
        <v>1.0</v>
      </c>
      <c r="BC9" s="103">
        <v>1.0</v>
      </c>
      <c r="BD9" s="103">
        <v>1.0</v>
      </c>
      <c r="BE9" s="103">
        <v>1.0</v>
      </c>
      <c r="BF9" s="103">
        <v>1.0</v>
      </c>
      <c r="BG9" s="103">
        <v>1.0</v>
      </c>
      <c r="BH9" s="103">
        <v>1.0</v>
      </c>
      <c r="BI9" s="103">
        <v>1.0</v>
      </c>
      <c r="BJ9" s="103">
        <v>1.0</v>
      </c>
      <c r="BK9" s="103">
        <v>1.0</v>
      </c>
      <c r="BL9" s="103">
        <v>1.0</v>
      </c>
      <c r="BM9" s="103">
        <v>1.0</v>
      </c>
      <c r="BN9" s="103">
        <v>1.0</v>
      </c>
      <c r="BO9" s="103">
        <v>1.0</v>
      </c>
      <c r="BP9" s="103">
        <v>1.0</v>
      </c>
      <c r="BQ9" s="103">
        <v>1.0</v>
      </c>
      <c r="BR9" s="103">
        <v>1.0</v>
      </c>
      <c r="BS9" s="103">
        <v>1.0</v>
      </c>
      <c r="BT9" s="103">
        <v>0.8</v>
      </c>
      <c r="BU9" s="103">
        <v>0.6</v>
      </c>
      <c r="BV9" s="103">
        <v>0.3</v>
      </c>
      <c r="BW9" s="103"/>
      <c r="BX9" s="103"/>
      <c r="BY9" s="103"/>
      <c r="BZ9" s="103"/>
      <c r="CA9" s="103"/>
      <c r="CB9" s="103"/>
      <c r="CC9" s="103"/>
      <c r="CD9" s="3"/>
      <c r="CE9" s="3"/>
      <c r="CF9" s="3"/>
      <c r="CG9" s="3"/>
      <c r="CH9" s="3"/>
      <c r="CI9" s="3"/>
      <c r="CJ9" s="3"/>
      <c r="CK9" s="3"/>
      <c r="CL9" s="3"/>
      <c r="CM9" s="3"/>
      <c r="CN9" s="3"/>
      <c r="CO9" s="3"/>
      <c r="CP9" s="3"/>
      <c r="CQ9" s="3"/>
      <c r="CR9" s="3"/>
      <c r="CS9" s="3"/>
      <c r="CT9" s="3"/>
      <c r="CU9" s="3"/>
      <c r="CV9" s="3"/>
      <c r="CW9" s="3"/>
    </row>
    <row r="10">
      <c r="A10" s="99">
        <v>14.0</v>
      </c>
      <c r="B10" s="100" t="s">
        <v>118</v>
      </c>
      <c r="C10" s="101" t="s">
        <v>86</v>
      </c>
      <c r="D10" s="102" t="s">
        <v>42</v>
      </c>
      <c r="E10" s="102">
        <v>16.0</v>
      </c>
      <c r="F10" s="102">
        <v>8.0</v>
      </c>
      <c r="G10" s="6">
        <v>44025.0</v>
      </c>
      <c r="H10" s="6">
        <v>44025.0</v>
      </c>
      <c r="I10" s="103">
        <v>1.0</v>
      </c>
      <c r="J10" s="103">
        <v>1.0</v>
      </c>
      <c r="K10" s="103">
        <v>1.0</v>
      </c>
      <c r="L10" s="103">
        <v>1.0</v>
      </c>
      <c r="M10" s="103">
        <v>1.0</v>
      </c>
      <c r="N10" s="103">
        <v>1.0</v>
      </c>
      <c r="O10" s="103">
        <v>1.0</v>
      </c>
      <c r="P10" s="103">
        <v>1.0</v>
      </c>
      <c r="Q10" s="103">
        <v>1.0</v>
      </c>
      <c r="R10" s="103">
        <v>1.0</v>
      </c>
      <c r="S10" s="103">
        <v>1.0</v>
      </c>
      <c r="T10" s="103">
        <v>1.0</v>
      </c>
      <c r="U10" s="103">
        <v>1.0</v>
      </c>
      <c r="V10" s="103">
        <v>1.0</v>
      </c>
      <c r="W10" s="103">
        <v>1.0</v>
      </c>
      <c r="X10" s="103">
        <v>1.0</v>
      </c>
      <c r="Y10" s="103">
        <v>1.0</v>
      </c>
      <c r="Z10" s="103">
        <v>1.0</v>
      </c>
      <c r="AA10" s="103">
        <v>1.0</v>
      </c>
      <c r="AB10" s="103">
        <v>1.0</v>
      </c>
      <c r="AC10" s="103">
        <v>1.0</v>
      </c>
      <c r="AD10" s="103">
        <v>1.0</v>
      </c>
      <c r="AE10" s="103">
        <v>1.0</v>
      </c>
      <c r="AF10" s="103">
        <v>1.0</v>
      </c>
      <c r="AG10" s="103">
        <v>1.0</v>
      </c>
      <c r="AH10" s="103">
        <v>1.0</v>
      </c>
      <c r="AI10" s="103">
        <v>1.0</v>
      </c>
      <c r="AJ10" s="103">
        <v>1.0</v>
      </c>
      <c r="AK10" s="103">
        <v>1.0</v>
      </c>
      <c r="AL10" s="103">
        <v>1.0</v>
      </c>
      <c r="AM10" s="103">
        <v>1.0</v>
      </c>
      <c r="AN10" s="103">
        <v>1.0</v>
      </c>
      <c r="AO10" s="103">
        <v>1.0</v>
      </c>
      <c r="AP10" s="103">
        <v>1.0</v>
      </c>
      <c r="AQ10" s="103">
        <v>1.0</v>
      </c>
      <c r="AR10" s="103">
        <v>1.0</v>
      </c>
      <c r="AS10" s="103">
        <v>1.0</v>
      </c>
      <c r="AT10" s="103">
        <v>1.0</v>
      </c>
      <c r="AU10" s="103">
        <v>1.0</v>
      </c>
      <c r="AV10" s="103">
        <v>1.0</v>
      </c>
      <c r="AW10" s="103">
        <v>1.0</v>
      </c>
      <c r="AX10" s="103">
        <v>1.0</v>
      </c>
      <c r="AY10" s="103">
        <v>1.0</v>
      </c>
      <c r="AZ10" s="103">
        <v>1.0</v>
      </c>
      <c r="BA10" s="103">
        <v>1.0</v>
      </c>
      <c r="BB10" s="103">
        <v>1.0</v>
      </c>
      <c r="BC10" s="103">
        <v>1.0</v>
      </c>
      <c r="BD10" s="103">
        <v>1.0</v>
      </c>
      <c r="BE10" s="103">
        <v>1.0</v>
      </c>
      <c r="BF10" s="103">
        <v>1.0</v>
      </c>
      <c r="BG10" s="103">
        <v>1.0</v>
      </c>
      <c r="BH10" s="103">
        <v>1.0</v>
      </c>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3"/>
      <c r="CE10" s="3"/>
      <c r="CF10" s="3"/>
      <c r="CG10" s="3"/>
      <c r="CH10" s="3"/>
      <c r="CI10" s="3"/>
      <c r="CJ10" s="3"/>
      <c r="CK10" s="3"/>
      <c r="CL10" s="3"/>
      <c r="CM10" s="3"/>
      <c r="CN10" s="3"/>
      <c r="CO10" s="3"/>
      <c r="CP10" s="3"/>
      <c r="CQ10" s="3"/>
      <c r="CR10" s="3"/>
      <c r="CS10" s="3"/>
      <c r="CT10" s="3"/>
      <c r="CU10" s="3"/>
      <c r="CV10" s="3"/>
      <c r="CW10" s="3"/>
    </row>
    <row r="11">
      <c r="A11" s="99">
        <v>15.0</v>
      </c>
      <c r="B11" s="100" t="s">
        <v>119</v>
      </c>
      <c r="C11" s="101" t="s">
        <v>86</v>
      </c>
      <c r="D11" s="102" t="s">
        <v>55</v>
      </c>
      <c r="E11" s="102">
        <v>16.0</v>
      </c>
      <c r="F11" s="102">
        <v>16.0</v>
      </c>
      <c r="G11" s="6">
        <v>44023.0</v>
      </c>
      <c r="H11" s="6">
        <v>44025.0</v>
      </c>
      <c r="I11" s="103">
        <v>1.0</v>
      </c>
      <c r="J11" s="103">
        <v>1.0</v>
      </c>
      <c r="K11" s="103">
        <v>1.0</v>
      </c>
      <c r="L11" s="103">
        <v>1.0</v>
      </c>
      <c r="M11" s="103">
        <v>1.0</v>
      </c>
      <c r="N11" s="103">
        <v>1.0</v>
      </c>
      <c r="O11" s="103">
        <v>1.0</v>
      </c>
      <c r="P11" s="103">
        <v>1.0</v>
      </c>
      <c r="Q11" s="103">
        <v>1.0</v>
      </c>
      <c r="R11" s="103">
        <v>1.0</v>
      </c>
      <c r="S11" s="103">
        <v>1.0</v>
      </c>
      <c r="T11" s="103">
        <v>1.0</v>
      </c>
      <c r="U11" s="103">
        <v>1.0</v>
      </c>
      <c r="V11" s="103">
        <v>1.0</v>
      </c>
      <c r="W11" s="103">
        <v>1.0</v>
      </c>
      <c r="X11" s="103">
        <v>1.0</v>
      </c>
      <c r="Y11" s="103">
        <v>1.0</v>
      </c>
      <c r="Z11" s="103">
        <v>1.0</v>
      </c>
      <c r="AA11" s="103">
        <v>1.0</v>
      </c>
      <c r="AB11" s="103">
        <v>1.0</v>
      </c>
      <c r="AC11" s="103">
        <v>1.0</v>
      </c>
      <c r="AD11" s="103">
        <v>1.0</v>
      </c>
      <c r="AE11" s="103">
        <v>1.0</v>
      </c>
      <c r="AF11" s="103">
        <v>1.0</v>
      </c>
      <c r="AG11" s="103">
        <v>1.0</v>
      </c>
      <c r="AH11" s="103">
        <v>1.0</v>
      </c>
      <c r="AI11" s="103">
        <v>1.0</v>
      </c>
      <c r="AJ11" s="103">
        <v>1.0</v>
      </c>
      <c r="AK11" s="103">
        <v>1.0</v>
      </c>
      <c r="AL11" s="103">
        <v>1.0</v>
      </c>
      <c r="AM11" s="103">
        <v>1.0</v>
      </c>
      <c r="AN11" s="103">
        <v>1.0</v>
      </c>
      <c r="AO11" s="103">
        <v>1.0</v>
      </c>
      <c r="AP11" s="103">
        <v>1.0</v>
      </c>
      <c r="AQ11" s="103">
        <v>1.0</v>
      </c>
      <c r="AR11" s="103">
        <v>1.0</v>
      </c>
      <c r="AS11" s="103">
        <v>1.0</v>
      </c>
      <c r="AT11" s="103">
        <v>1.0</v>
      </c>
      <c r="AU11" s="103">
        <v>1.0</v>
      </c>
      <c r="AV11" s="103">
        <v>1.0</v>
      </c>
      <c r="AW11" s="103">
        <v>1.0</v>
      </c>
      <c r="AX11" s="103">
        <v>1.0</v>
      </c>
      <c r="AY11" s="103">
        <v>1.0</v>
      </c>
      <c r="AZ11" s="103">
        <v>1.0</v>
      </c>
      <c r="BA11" s="103">
        <v>1.0</v>
      </c>
      <c r="BB11" s="103">
        <v>1.0</v>
      </c>
      <c r="BC11" s="103">
        <v>1.0</v>
      </c>
      <c r="BD11" s="103">
        <v>1.0</v>
      </c>
      <c r="BE11" s="103">
        <v>1.0</v>
      </c>
      <c r="BF11" s="103">
        <v>1.0</v>
      </c>
      <c r="BG11" s="103">
        <v>1.0</v>
      </c>
      <c r="BH11" s="103">
        <v>1.0</v>
      </c>
      <c r="BI11" s="103">
        <v>0.5</v>
      </c>
      <c r="BJ11" s="103"/>
      <c r="BK11" s="103"/>
      <c r="BL11" s="103"/>
      <c r="BM11" s="103"/>
      <c r="BN11" s="103"/>
      <c r="BO11" s="103"/>
      <c r="BP11" s="103"/>
      <c r="BQ11" s="103"/>
      <c r="BR11" s="103"/>
      <c r="BS11" s="103"/>
      <c r="BT11" s="103"/>
      <c r="BU11" s="103"/>
      <c r="BV11" s="103"/>
      <c r="BW11" s="103"/>
      <c r="BX11" s="103"/>
      <c r="BY11" s="103"/>
      <c r="BZ11" s="103"/>
      <c r="CA11" s="103"/>
      <c r="CB11" s="103"/>
      <c r="CC11" s="103"/>
      <c r="CD11" s="3"/>
      <c r="CE11" s="3"/>
      <c r="CF11" s="3"/>
      <c r="CG11" s="3"/>
      <c r="CH11" s="3"/>
      <c r="CI11" s="3"/>
      <c r="CJ11" s="3"/>
      <c r="CK11" s="3"/>
      <c r="CL11" s="3"/>
      <c r="CM11" s="3"/>
      <c r="CN11" s="3"/>
      <c r="CO11" s="3"/>
      <c r="CP11" s="3"/>
      <c r="CQ11" s="3"/>
      <c r="CR11" s="3"/>
      <c r="CS11" s="3"/>
      <c r="CT11" s="3"/>
      <c r="CU11" s="3"/>
      <c r="CV11" s="3"/>
      <c r="CW11" s="3"/>
    </row>
    <row r="12">
      <c r="A12" s="99">
        <v>16.0</v>
      </c>
      <c r="B12" s="100" t="s">
        <v>120</v>
      </c>
      <c r="C12" s="101" t="s">
        <v>86</v>
      </c>
      <c r="D12" s="102" t="s">
        <v>42</v>
      </c>
      <c r="E12" s="102">
        <v>8.0</v>
      </c>
      <c r="F12" s="102">
        <v>8.0</v>
      </c>
      <c r="G12" s="6">
        <v>44026.0</v>
      </c>
      <c r="H12" s="6">
        <v>44026.0</v>
      </c>
      <c r="I12" s="103">
        <v>1.0</v>
      </c>
      <c r="J12" s="103">
        <v>1.0</v>
      </c>
      <c r="K12" s="103">
        <v>1.0</v>
      </c>
      <c r="L12" s="103">
        <v>1.0</v>
      </c>
      <c r="M12" s="103">
        <v>1.0</v>
      </c>
      <c r="N12" s="103">
        <v>1.0</v>
      </c>
      <c r="O12" s="103">
        <v>1.0</v>
      </c>
      <c r="P12" s="103">
        <v>1.0</v>
      </c>
      <c r="Q12" s="103">
        <v>1.0</v>
      </c>
      <c r="R12" s="103">
        <v>1.0</v>
      </c>
      <c r="S12" s="103">
        <v>1.0</v>
      </c>
      <c r="T12" s="103">
        <v>1.0</v>
      </c>
      <c r="U12" s="103">
        <v>1.0</v>
      </c>
      <c r="V12" s="103">
        <v>1.0</v>
      </c>
      <c r="W12" s="103">
        <v>1.0</v>
      </c>
      <c r="X12" s="103">
        <v>1.0</v>
      </c>
      <c r="Y12" s="103">
        <v>1.0</v>
      </c>
      <c r="Z12" s="103">
        <v>1.0</v>
      </c>
      <c r="AA12" s="103">
        <v>1.0</v>
      </c>
      <c r="AB12" s="103">
        <v>1.0</v>
      </c>
      <c r="AC12" s="103">
        <v>1.0</v>
      </c>
      <c r="AD12" s="103">
        <v>1.0</v>
      </c>
      <c r="AE12" s="103">
        <v>1.0</v>
      </c>
      <c r="AF12" s="103">
        <v>1.0</v>
      </c>
      <c r="AG12" s="103">
        <v>1.0</v>
      </c>
      <c r="AH12" s="103">
        <v>1.0</v>
      </c>
      <c r="AI12" s="103">
        <v>1.0</v>
      </c>
      <c r="AJ12" s="103">
        <v>1.0</v>
      </c>
      <c r="AK12" s="103">
        <v>1.0</v>
      </c>
      <c r="AL12" s="103">
        <v>1.0</v>
      </c>
      <c r="AM12" s="103">
        <v>1.0</v>
      </c>
      <c r="AN12" s="103">
        <v>1.0</v>
      </c>
      <c r="AO12" s="103">
        <v>1.0</v>
      </c>
      <c r="AP12" s="103">
        <v>1.0</v>
      </c>
      <c r="AQ12" s="103">
        <v>1.0</v>
      </c>
      <c r="AR12" s="103">
        <v>1.0</v>
      </c>
      <c r="AS12" s="103">
        <v>1.0</v>
      </c>
      <c r="AT12" s="103">
        <v>1.0</v>
      </c>
      <c r="AU12" s="103">
        <v>1.0</v>
      </c>
      <c r="AV12" s="103">
        <v>1.0</v>
      </c>
      <c r="AW12" s="103">
        <v>1.0</v>
      </c>
      <c r="AX12" s="103">
        <v>1.0</v>
      </c>
      <c r="AY12" s="103">
        <v>1.0</v>
      </c>
      <c r="AZ12" s="103">
        <v>1.0</v>
      </c>
      <c r="BA12" s="103">
        <v>1.0</v>
      </c>
      <c r="BB12" s="103">
        <v>1.0</v>
      </c>
      <c r="BC12" s="103">
        <v>1.0</v>
      </c>
      <c r="BD12" s="103">
        <v>1.0</v>
      </c>
      <c r="BE12" s="103">
        <v>1.0</v>
      </c>
      <c r="BF12" s="103">
        <v>1.0</v>
      </c>
      <c r="BG12" s="103">
        <v>1.0</v>
      </c>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3"/>
      <c r="CE12" s="3"/>
      <c r="CF12" s="3"/>
      <c r="CG12" s="3"/>
      <c r="CH12" s="3"/>
      <c r="CI12" s="3"/>
      <c r="CJ12" s="3"/>
      <c r="CK12" s="3"/>
      <c r="CL12" s="3"/>
      <c r="CM12" s="3"/>
      <c r="CN12" s="3"/>
      <c r="CO12" s="3"/>
      <c r="CP12" s="3"/>
      <c r="CQ12" s="3"/>
      <c r="CR12" s="3"/>
      <c r="CS12" s="3"/>
      <c r="CT12" s="3"/>
      <c r="CU12" s="3"/>
      <c r="CV12" s="3"/>
      <c r="CW12" s="3"/>
    </row>
    <row r="13">
      <c r="A13" s="99">
        <v>17.0</v>
      </c>
      <c r="B13" s="100" t="s">
        <v>121</v>
      </c>
      <c r="C13" s="101" t="s">
        <v>86</v>
      </c>
      <c r="D13" s="102" t="s">
        <v>55</v>
      </c>
      <c r="E13" s="102">
        <v>8.0</v>
      </c>
      <c r="F13" s="102">
        <v>8.0</v>
      </c>
      <c r="G13" s="6">
        <v>44026.0</v>
      </c>
      <c r="H13" s="6">
        <v>44026.0</v>
      </c>
      <c r="I13" s="103">
        <v>1.0</v>
      </c>
      <c r="J13" s="103">
        <v>1.0</v>
      </c>
      <c r="K13" s="103">
        <v>1.0</v>
      </c>
      <c r="L13" s="103">
        <v>1.0</v>
      </c>
      <c r="M13" s="103">
        <v>1.0</v>
      </c>
      <c r="N13" s="103">
        <v>1.0</v>
      </c>
      <c r="O13" s="103">
        <v>1.0</v>
      </c>
      <c r="P13" s="103">
        <v>1.0</v>
      </c>
      <c r="Q13" s="103">
        <v>1.0</v>
      </c>
      <c r="R13" s="103">
        <v>1.0</v>
      </c>
      <c r="S13" s="103">
        <v>1.0</v>
      </c>
      <c r="T13" s="103">
        <v>1.0</v>
      </c>
      <c r="U13" s="103">
        <v>1.0</v>
      </c>
      <c r="V13" s="103">
        <v>1.0</v>
      </c>
      <c r="W13" s="103">
        <v>1.0</v>
      </c>
      <c r="X13" s="103">
        <v>1.0</v>
      </c>
      <c r="Y13" s="103">
        <v>1.0</v>
      </c>
      <c r="Z13" s="103">
        <v>1.0</v>
      </c>
      <c r="AA13" s="103">
        <v>1.0</v>
      </c>
      <c r="AB13" s="103">
        <v>1.0</v>
      </c>
      <c r="AC13" s="103">
        <v>1.0</v>
      </c>
      <c r="AD13" s="103">
        <v>1.0</v>
      </c>
      <c r="AE13" s="103">
        <v>1.0</v>
      </c>
      <c r="AF13" s="103">
        <v>1.0</v>
      </c>
      <c r="AG13" s="103">
        <v>1.0</v>
      </c>
      <c r="AH13" s="103">
        <v>1.0</v>
      </c>
      <c r="AI13" s="103">
        <v>1.0</v>
      </c>
      <c r="AJ13" s="103">
        <v>1.0</v>
      </c>
      <c r="AK13" s="103">
        <v>1.0</v>
      </c>
      <c r="AL13" s="103">
        <v>1.0</v>
      </c>
      <c r="AM13" s="103">
        <v>1.0</v>
      </c>
      <c r="AN13" s="103">
        <v>1.0</v>
      </c>
      <c r="AO13" s="103">
        <v>1.0</v>
      </c>
      <c r="AP13" s="103">
        <v>1.0</v>
      </c>
      <c r="AQ13" s="103">
        <v>1.0</v>
      </c>
      <c r="AR13" s="103">
        <v>1.0</v>
      </c>
      <c r="AS13" s="103">
        <v>1.0</v>
      </c>
      <c r="AT13" s="103">
        <v>1.0</v>
      </c>
      <c r="AU13" s="103">
        <v>1.0</v>
      </c>
      <c r="AV13" s="103">
        <v>1.0</v>
      </c>
      <c r="AW13" s="103">
        <v>1.0</v>
      </c>
      <c r="AX13" s="103">
        <v>1.0</v>
      </c>
      <c r="AY13" s="103">
        <v>1.0</v>
      </c>
      <c r="AZ13" s="103">
        <v>1.0</v>
      </c>
      <c r="BA13" s="103">
        <v>1.0</v>
      </c>
      <c r="BB13" s="103">
        <v>1.0</v>
      </c>
      <c r="BC13" s="103">
        <v>1.0</v>
      </c>
      <c r="BD13" s="103">
        <v>1.0</v>
      </c>
      <c r="BE13" s="103">
        <v>1.0</v>
      </c>
      <c r="BF13" s="103">
        <v>1.0</v>
      </c>
      <c r="BG13" s="103">
        <v>1.0</v>
      </c>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3"/>
      <c r="CE13" s="3"/>
      <c r="CF13" s="3"/>
      <c r="CG13" s="3"/>
      <c r="CH13" s="3"/>
      <c r="CI13" s="3"/>
      <c r="CJ13" s="3"/>
      <c r="CK13" s="3"/>
      <c r="CL13" s="3"/>
      <c r="CM13" s="3"/>
      <c r="CN13" s="3"/>
      <c r="CO13" s="3"/>
      <c r="CP13" s="3"/>
      <c r="CQ13" s="3"/>
      <c r="CR13" s="3"/>
      <c r="CS13" s="3"/>
      <c r="CT13" s="3"/>
      <c r="CU13" s="3"/>
      <c r="CV13" s="3"/>
      <c r="CW13" s="3"/>
    </row>
    <row r="14">
      <c r="A14" s="99">
        <v>18.0</v>
      </c>
      <c r="B14" s="100" t="s">
        <v>122</v>
      </c>
      <c r="C14" s="101" t="s">
        <v>86</v>
      </c>
      <c r="D14" s="102" t="s">
        <v>42</v>
      </c>
      <c r="E14" s="102">
        <v>8.0</v>
      </c>
      <c r="F14" s="102">
        <v>4.0</v>
      </c>
      <c r="G14" s="6">
        <v>44027.0</v>
      </c>
      <c r="H14" s="6">
        <v>44027.0</v>
      </c>
      <c r="I14" s="103">
        <v>1.0</v>
      </c>
      <c r="J14" s="103">
        <v>1.0</v>
      </c>
      <c r="K14" s="103">
        <v>1.0</v>
      </c>
      <c r="L14" s="103">
        <v>1.0</v>
      </c>
      <c r="M14" s="103">
        <v>1.0</v>
      </c>
      <c r="N14" s="103">
        <v>1.0</v>
      </c>
      <c r="O14" s="103">
        <v>1.0</v>
      </c>
      <c r="P14" s="103">
        <v>1.0</v>
      </c>
      <c r="Q14" s="103">
        <v>1.0</v>
      </c>
      <c r="R14" s="103">
        <v>1.0</v>
      </c>
      <c r="S14" s="103">
        <v>1.0</v>
      </c>
      <c r="T14" s="103">
        <v>1.0</v>
      </c>
      <c r="U14" s="103">
        <v>1.0</v>
      </c>
      <c r="V14" s="103">
        <v>1.0</v>
      </c>
      <c r="W14" s="103">
        <v>1.0</v>
      </c>
      <c r="X14" s="103">
        <v>1.0</v>
      </c>
      <c r="Y14" s="103">
        <v>1.0</v>
      </c>
      <c r="Z14" s="103">
        <v>1.0</v>
      </c>
      <c r="AA14" s="103">
        <v>1.0</v>
      </c>
      <c r="AB14" s="103">
        <v>1.0</v>
      </c>
      <c r="AC14" s="103">
        <v>1.0</v>
      </c>
      <c r="AD14" s="103">
        <v>1.0</v>
      </c>
      <c r="AE14" s="103">
        <v>1.0</v>
      </c>
      <c r="AF14" s="103">
        <v>1.0</v>
      </c>
      <c r="AG14" s="103">
        <v>1.0</v>
      </c>
      <c r="AH14" s="103">
        <v>1.0</v>
      </c>
      <c r="AI14" s="103">
        <v>1.0</v>
      </c>
      <c r="AJ14" s="103">
        <v>1.0</v>
      </c>
      <c r="AK14" s="103">
        <v>1.0</v>
      </c>
      <c r="AL14" s="103">
        <v>1.0</v>
      </c>
      <c r="AM14" s="103">
        <v>1.0</v>
      </c>
      <c r="AN14" s="103">
        <v>1.0</v>
      </c>
      <c r="AO14" s="103">
        <v>1.0</v>
      </c>
      <c r="AP14" s="103">
        <v>1.0</v>
      </c>
      <c r="AQ14" s="103">
        <v>1.0</v>
      </c>
      <c r="AR14" s="103">
        <v>1.0</v>
      </c>
      <c r="AS14" s="103">
        <v>1.0</v>
      </c>
      <c r="AT14" s="103">
        <v>1.0</v>
      </c>
      <c r="AU14" s="103">
        <v>1.0</v>
      </c>
      <c r="AV14" s="103">
        <v>1.0</v>
      </c>
      <c r="AW14" s="103">
        <v>1.0</v>
      </c>
      <c r="AX14" s="103">
        <v>1.0</v>
      </c>
      <c r="AY14" s="103">
        <v>1.0</v>
      </c>
      <c r="AZ14" s="103">
        <v>1.0</v>
      </c>
      <c r="BA14" s="103">
        <v>1.0</v>
      </c>
      <c r="BB14" s="103">
        <v>1.0</v>
      </c>
      <c r="BC14" s="103">
        <v>1.0</v>
      </c>
      <c r="BD14" s="103">
        <v>1.0</v>
      </c>
      <c r="BE14" s="103">
        <v>1.0</v>
      </c>
      <c r="BF14" s="103">
        <v>1.0</v>
      </c>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3"/>
      <c r="CE14" s="3"/>
      <c r="CF14" s="3"/>
      <c r="CG14" s="3"/>
      <c r="CH14" s="3"/>
      <c r="CI14" s="3"/>
      <c r="CJ14" s="3"/>
      <c r="CK14" s="3"/>
      <c r="CL14" s="3"/>
      <c r="CM14" s="3"/>
      <c r="CN14" s="3"/>
      <c r="CO14" s="3"/>
      <c r="CP14" s="3"/>
      <c r="CQ14" s="3"/>
      <c r="CR14" s="3"/>
      <c r="CS14" s="3"/>
      <c r="CT14" s="3"/>
      <c r="CU14" s="3"/>
      <c r="CV14" s="3"/>
      <c r="CW14" s="3"/>
    </row>
    <row r="15" ht="15.0" customHeight="1">
      <c r="A15" s="99">
        <v>19.0</v>
      </c>
      <c r="B15" s="106" t="s">
        <v>123</v>
      </c>
      <c r="C15" s="101" t="s">
        <v>86</v>
      </c>
      <c r="D15" s="102" t="s">
        <v>55</v>
      </c>
      <c r="E15" s="102">
        <v>8.0</v>
      </c>
      <c r="F15" s="102">
        <v>8.0</v>
      </c>
      <c r="G15" s="6">
        <v>44027.0</v>
      </c>
      <c r="H15" s="6">
        <v>44027.0</v>
      </c>
      <c r="I15" s="103">
        <v>1.0</v>
      </c>
      <c r="J15" s="103">
        <v>1.0</v>
      </c>
      <c r="K15" s="103">
        <v>1.0</v>
      </c>
      <c r="L15" s="103">
        <v>1.0</v>
      </c>
      <c r="M15" s="103">
        <v>1.0</v>
      </c>
      <c r="N15" s="103">
        <v>1.0</v>
      </c>
      <c r="O15" s="103">
        <v>1.0</v>
      </c>
      <c r="P15" s="103">
        <v>1.0</v>
      </c>
      <c r="Q15" s="103">
        <v>1.0</v>
      </c>
      <c r="R15" s="103">
        <v>1.0</v>
      </c>
      <c r="S15" s="103">
        <v>1.0</v>
      </c>
      <c r="T15" s="103">
        <v>1.0</v>
      </c>
      <c r="U15" s="103">
        <v>1.0</v>
      </c>
      <c r="V15" s="103">
        <v>1.0</v>
      </c>
      <c r="W15" s="103">
        <v>1.0</v>
      </c>
      <c r="X15" s="103">
        <v>1.0</v>
      </c>
      <c r="Y15" s="103">
        <v>1.0</v>
      </c>
      <c r="Z15" s="103">
        <v>1.0</v>
      </c>
      <c r="AA15" s="103">
        <v>1.0</v>
      </c>
      <c r="AB15" s="103">
        <v>1.0</v>
      </c>
      <c r="AC15" s="103">
        <v>1.0</v>
      </c>
      <c r="AD15" s="103">
        <v>1.0</v>
      </c>
      <c r="AE15" s="103">
        <v>1.0</v>
      </c>
      <c r="AF15" s="103">
        <v>1.0</v>
      </c>
      <c r="AG15" s="103">
        <v>1.0</v>
      </c>
      <c r="AH15" s="103">
        <v>1.0</v>
      </c>
      <c r="AI15" s="103">
        <v>1.0</v>
      </c>
      <c r="AJ15" s="103">
        <v>1.0</v>
      </c>
      <c r="AK15" s="103">
        <v>1.0</v>
      </c>
      <c r="AL15" s="103">
        <v>1.0</v>
      </c>
      <c r="AM15" s="103">
        <v>1.0</v>
      </c>
      <c r="AN15" s="103">
        <v>1.0</v>
      </c>
      <c r="AO15" s="103">
        <v>1.0</v>
      </c>
      <c r="AP15" s="103">
        <v>1.0</v>
      </c>
      <c r="AQ15" s="103">
        <v>1.0</v>
      </c>
      <c r="AR15" s="103">
        <v>1.0</v>
      </c>
      <c r="AS15" s="103">
        <v>1.0</v>
      </c>
      <c r="AT15" s="103">
        <v>1.0</v>
      </c>
      <c r="AU15" s="103">
        <v>1.0</v>
      </c>
      <c r="AV15" s="103">
        <v>1.0</v>
      </c>
      <c r="AW15" s="103">
        <v>1.0</v>
      </c>
      <c r="AX15" s="103">
        <v>1.0</v>
      </c>
      <c r="AY15" s="103">
        <v>1.0</v>
      </c>
      <c r="AZ15" s="103">
        <v>1.0</v>
      </c>
      <c r="BA15" s="103">
        <v>1.0</v>
      </c>
      <c r="BB15" s="103">
        <v>1.0</v>
      </c>
      <c r="BC15" s="103">
        <v>1.0</v>
      </c>
      <c r="BD15" s="103">
        <v>1.0</v>
      </c>
      <c r="BE15" s="103">
        <v>1.0</v>
      </c>
      <c r="BF15" s="103">
        <v>1.0</v>
      </c>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3"/>
      <c r="CE15" s="3"/>
      <c r="CF15" s="3"/>
      <c r="CG15" s="3"/>
      <c r="CH15" s="3"/>
      <c r="CI15" s="3"/>
      <c r="CJ15" s="3"/>
      <c r="CK15" s="3"/>
      <c r="CL15" s="3"/>
      <c r="CM15" s="3"/>
      <c r="CN15" s="3"/>
      <c r="CO15" s="3"/>
      <c r="CP15" s="3"/>
      <c r="CQ15" s="3"/>
      <c r="CR15" s="3"/>
      <c r="CS15" s="3"/>
      <c r="CT15" s="3"/>
      <c r="CU15" s="3"/>
      <c r="CV15" s="3"/>
      <c r="CW15" s="3"/>
    </row>
    <row r="16">
      <c r="A16" s="99">
        <v>20.0</v>
      </c>
      <c r="B16" s="100" t="s">
        <v>124</v>
      </c>
      <c r="C16" s="101" t="s">
        <v>86</v>
      </c>
      <c r="D16" s="102" t="s">
        <v>42</v>
      </c>
      <c r="E16" s="102">
        <v>12.0</v>
      </c>
      <c r="F16" s="102">
        <v>12.0</v>
      </c>
      <c r="G16" s="6">
        <v>44027.0</v>
      </c>
      <c r="H16" s="6">
        <v>44028.0</v>
      </c>
      <c r="I16" s="103">
        <v>1.0</v>
      </c>
      <c r="J16" s="103">
        <v>1.0</v>
      </c>
      <c r="K16" s="103">
        <v>1.0</v>
      </c>
      <c r="L16" s="103">
        <v>1.0</v>
      </c>
      <c r="M16" s="103">
        <v>1.0</v>
      </c>
      <c r="N16" s="103">
        <v>1.0</v>
      </c>
      <c r="O16" s="103">
        <v>1.0</v>
      </c>
      <c r="P16" s="103">
        <v>1.0</v>
      </c>
      <c r="Q16" s="103">
        <v>1.0</v>
      </c>
      <c r="R16" s="103">
        <v>1.0</v>
      </c>
      <c r="S16" s="103">
        <v>1.0</v>
      </c>
      <c r="T16" s="103">
        <v>1.0</v>
      </c>
      <c r="U16" s="103">
        <v>1.0</v>
      </c>
      <c r="V16" s="103">
        <v>1.0</v>
      </c>
      <c r="W16" s="103">
        <v>1.0</v>
      </c>
      <c r="X16" s="103">
        <v>1.0</v>
      </c>
      <c r="Y16" s="103">
        <v>1.0</v>
      </c>
      <c r="Z16" s="103">
        <v>1.0</v>
      </c>
      <c r="AA16" s="103">
        <v>1.0</v>
      </c>
      <c r="AB16" s="103">
        <v>1.0</v>
      </c>
      <c r="AC16" s="103">
        <v>1.0</v>
      </c>
      <c r="AD16" s="103">
        <v>1.0</v>
      </c>
      <c r="AE16" s="103">
        <v>1.0</v>
      </c>
      <c r="AF16" s="103">
        <v>1.0</v>
      </c>
      <c r="AG16" s="103">
        <v>1.0</v>
      </c>
      <c r="AH16" s="103">
        <v>1.0</v>
      </c>
      <c r="AI16" s="103">
        <v>1.0</v>
      </c>
      <c r="AJ16" s="103">
        <v>1.0</v>
      </c>
      <c r="AK16" s="103">
        <v>1.0</v>
      </c>
      <c r="AL16" s="103">
        <v>1.0</v>
      </c>
      <c r="AM16" s="103">
        <v>1.0</v>
      </c>
      <c r="AN16" s="103">
        <v>1.0</v>
      </c>
      <c r="AO16" s="103">
        <v>1.0</v>
      </c>
      <c r="AP16" s="103">
        <v>1.0</v>
      </c>
      <c r="AQ16" s="103">
        <v>1.0</v>
      </c>
      <c r="AR16" s="103">
        <v>1.0</v>
      </c>
      <c r="AS16" s="103">
        <v>1.0</v>
      </c>
      <c r="AT16" s="103">
        <v>1.0</v>
      </c>
      <c r="AU16" s="103">
        <v>1.0</v>
      </c>
      <c r="AV16" s="103">
        <v>1.0</v>
      </c>
      <c r="AW16" s="103">
        <v>1.0</v>
      </c>
      <c r="AX16" s="103">
        <v>1.0</v>
      </c>
      <c r="AY16" s="103">
        <v>1.0</v>
      </c>
      <c r="AZ16" s="103">
        <v>1.0</v>
      </c>
      <c r="BA16" s="103">
        <v>1.0</v>
      </c>
      <c r="BB16" s="103">
        <v>1.0</v>
      </c>
      <c r="BC16" s="103">
        <v>1.0</v>
      </c>
      <c r="BD16" s="103">
        <v>1.0</v>
      </c>
      <c r="BE16" s="103">
        <v>1.0</v>
      </c>
      <c r="BF16" s="103">
        <v>0.3</v>
      </c>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3"/>
      <c r="CE16" s="3"/>
      <c r="CF16" s="3"/>
      <c r="CG16" s="3"/>
      <c r="CH16" s="3"/>
      <c r="CI16" s="3"/>
      <c r="CJ16" s="3"/>
      <c r="CK16" s="3"/>
      <c r="CL16" s="3"/>
      <c r="CM16" s="3"/>
      <c r="CN16" s="3"/>
      <c r="CO16" s="3"/>
      <c r="CP16" s="3"/>
      <c r="CQ16" s="3"/>
      <c r="CR16" s="3"/>
      <c r="CS16" s="3"/>
      <c r="CT16" s="3"/>
      <c r="CU16" s="3"/>
      <c r="CV16" s="3"/>
      <c r="CW16" s="3"/>
    </row>
    <row r="17">
      <c r="A17" s="99">
        <v>21.0</v>
      </c>
      <c r="B17" s="100" t="s">
        <v>125</v>
      </c>
      <c r="C17" s="101" t="s">
        <v>86</v>
      </c>
      <c r="D17" s="102" t="s">
        <v>55</v>
      </c>
      <c r="E17" s="102">
        <v>12.0</v>
      </c>
      <c r="F17" s="102">
        <v>12.0</v>
      </c>
      <c r="G17" s="6">
        <v>44027.0</v>
      </c>
      <c r="H17" s="6">
        <v>44028.0</v>
      </c>
      <c r="I17" s="103">
        <v>1.0</v>
      </c>
      <c r="J17" s="103">
        <v>1.0</v>
      </c>
      <c r="K17" s="103">
        <v>1.0</v>
      </c>
      <c r="L17" s="103">
        <v>1.0</v>
      </c>
      <c r="M17" s="103">
        <v>1.0</v>
      </c>
      <c r="N17" s="103">
        <v>1.0</v>
      </c>
      <c r="O17" s="103">
        <v>1.0</v>
      </c>
      <c r="P17" s="103">
        <v>1.0</v>
      </c>
      <c r="Q17" s="103">
        <v>1.0</v>
      </c>
      <c r="R17" s="103">
        <v>1.0</v>
      </c>
      <c r="S17" s="103">
        <v>1.0</v>
      </c>
      <c r="T17" s="103">
        <v>1.0</v>
      </c>
      <c r="U17" s="103">
        <v>1.0</v>
      </c>
      <c r="V17" s="103">
        <v>1.0</v>
      </c>
      <c r="W17" s="103">
        <v>1.0</v>
      </c>
      <c r="X17" s="103">
        <v>1.0</v>
      </c>
      <c r="Y17" s="103">
        <v>1.0</v>
      </c>
      <c r="Z17" s="103">
        <v>1.0</v>
      </c>
      <c r="AA17" s="103">
        <v>1.0</v>
      </c>
      <c r="AB17" s="103">
        <v>1.0</v>
      </c>
      <c r="AC17" s="103">
        <v>1.0</v>
      </c>
      <c r="AD17" s="103">
        <v>1.0</v>
      </c>
      <c r="AE17" s="103">
        <v>1.0</v>
      </c>
      <c r="AF17" s="103">
        <v>1.0</v>
      </c>
      <c r="AG17" s="103">
        <v>1.0</v>
      </c>
      <c r="AH17" s="103">
        <v>1.0</v>
      </c>
      <c r="AI17" s="103">
        <v>1.0</v>
      </c>
      <c r="AJ17" s="103">
        <v>1.0</v>
      </c>
      <c r="AK17" s="103">
        <v>1.0</v>
      </c>
      <c r="AL17" s="103">
        <v>1.0</v>
      </c>
      <c r="AM17" s="103">
        <v>1.0</v>
      </c>
      <c r="AN17" s="103">
        <v>1.0</v>
      </c>
      <c r="AO17" s="103">
        <v>1.0</v>
      </c>
      <c r="AP17" s="103">
        <v>1.0</v>
      </c>
      <c r="AQ17" s="103">
        <v>1.0</v>
      </c>
      <c r="AR17" s="103">
        <v>1.0</v>
      </c>
      <c r="AS17" s="103">
        <v>1.0</v>
      </c>
      <c r="AT17" s="103">
        <v>1.0</v>
      </c>
      <c r="AU17" s="103">
        <v>1.0</v>
      </c>
      <c r="AV17" s="103">
        <v>1.0</v>
      </c>
      <c r="AW17" s="103">
        <v>1.0</v>
      </c>
      <c r="AX17" s="103">
        <v>1.0</v>
      </c>
      <c r="AY17" s="103">
        <v>1.0</v>
      </c>
      <c r="AZ17" s="103">
        <v>1.0</v>
      </c>
      <c r="BA17" s="103">
        <v>1.0</v>
      </c>
      <c r="BB17" s="103">
        <v>1.0</v>
      </c>
      <c r="BC17" s="103">
        <v>1.0</v>
      </c>
      <c r="BD17" s="103">
        <v>1.0</v>
      </c>
      <c r="BE17" s="103">
        <v>1.0</v>
      </c>
      <c r="BF17" s="103">
        <v>0.3</v>
      </c>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3"/>
      <c r="CE17" s="3"/>
      <c r="CF17" s="3"/>
      <c r="CG17" s="3"/>
      <c r="CH17" s="3"/>
      <c r="CI17" s="3"/>
      <c r="CJ17" s="3"/>
      <c r="CK17" s="3"/>
      <c r="CL17" s="3"/>
      <c r="CM17" s="3"/>
      <c r="CN17" s="3"/>
      <c r="CO17" s="3"/>
      <c r="CP17" s="3"/>
      <c r="CQ17" s="3"/>
      <c r="CR17" s="3"/>
      <c r="CS17" s="3"/>
      <c r="CT17" s="3"/>
      <c r="CU17" s="3"/>
      <c r="CV17" s="3"/>
      <c r="CW17" s="3"/>
    </row>
    <row r="18">
      <c r="A18" s="99">
        <v>22.0</v>
      </c>
      <c r="B18" s="100" t="s">
        <v>126</v>
      </c>
      <c r="C18" s="101" t="s">
        <v>86</v>
      </c>
      <c r="D18" s="102" t="s">
        <v>42</v>
      </c>
      <c r="E18" s="102">
        <v>24.0</v>
      </c>
      <c r="F18" s="102">
        <v>24.0</v>
      </c>
      <c r="G18" s="6">
        <v>44009.0</v>
      </c>
      <c r="H18" s="6">
        <v>44069.0</v>
      </c>
      <c r="I18" s="103">
        <v>1.0</v>
      </c>
      <c r="J18" s="103">
        <v>1.0</v>
      </c>
      <c r="K18" s="103">
        <v>1.0</v>
      </c>
      <c r="L18" s="103">
        <v>1.0</v>
      </c>
      <c r="M18" s="103">
        <v>1.0</v>
      </c>
      <c r="N18" s="103">
        <v>1.0</v>
      </c>
      <c r="O18" s="103">
        <v>1.0</v>
      </c>
      <c r="P18" s="103">
        <v>1.0</v>
      </c>
      <c r="Q18" s="103">
        <v>1.0</v>
      </c>
      <c r="R18" s="103">
        <v>1.0</v>
      </c>
      <c r="S18" s="103">
        <v>1.0</v>
      </c>
      <c r="T18" s="103">
        <v>1.0</v>
      </c>
      <c r="U18" s="103">
        <v>1.0</v>
      </c>
      <c r="V18" s="103">
        <v>1.0</v>
      </c>
      <c r="W18" s="103">
        <v>1.0</v>
      </c>
      <c r="X18" s="103">
        <v>1.0</v>
      </c>
      <c r="Y18" s="103">
        <v>0.9</v>
      </c>
      <c r="Z18" s="103">
        <v>0.9</v>
      </c>
      <c r="AA18" s="103">
        <v>0.9</v>
      </c>
      <c r="AB18" s="103">
        <v>0.9</v>
      </c>
      <c r="AC18" s="103">
        <v>0.9</v>
      </c>
      <c r="AD18" s="103">
        <v>0.9</v>
      </c>
      <c r="AE18" s="103">
        <v>0.9</v>
      </c>
      <c r="AF18" s="103">
        <v>0.9</v>
      </c>
      <c r="AG18" s="103">
        <v>0.9</v>
      </c>
      <c r="AH18" s="103">
        <v>0.9</v>
      </c>
      <c r="AI18" s="103">
        <v>0.9</v>
      </c>
      <c r="AJ18" s="103">
        <v>0.9</v>
      </c>
      <c r="AK18" s="103">
        <v>0.9</v>
      </c>
      <c r="AL18" s="103">
        <v>0.9</v>
      </c>
      <c r="AM18" s="103">
        <v>0.9</v>
      </c>
      <c r="AN18" s="103">
        <v>0.9</v>
      </c>
      <c r="AO18" s="103">
        <v>0.9</v>
      </c>
      <c r="AP18" s="103">
        <v>0.9</v>
      </c>
      <c r="AQ18" s="103">
        <v>0.9</v>
      </c>
      <c r="AR18" s="103">
        <v>0.9</v>
      </c>
      <c r="AS18" s="103">
        <v>0.9</v>
      </c>
      <c r="AT18" s="103">
        <v>0.9</v>
      </c>
      <c r="AU18" s="103">
        <v>0.9</v>
      </c>
      <c r="AV18" s="103">
        <v>0.75</v>
      </c>
      <c r="AW18" s="103">
        <v>0.4</v>
      </c>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3"/>
      <c r="CE18" s="3"/>
      <c r="CF18" s="3"/>
      <c r="CG18" s="3"/>
      <c r="CH18" s="3"/>
      <c r="CI18" s="3"/>
      <c r="CJ18" s="3"/>
      <c r="CK18" s="3"/>
      <c r="CL18" s="3"/>
      <c r="CM18" s="3"/>
      <c r="CN18" s="3"/>
      <c r="CO18" s="3"/>
      <c r="CP18" s="3"/>
      <c r="CQ18" s="3"/>
      <c r="CR18" s="3"/>
      <c r="CS18" s="3"/>
      <c r="CT18" s="3"/>
      <c r="CU18" s="3"/>
      <c r="CV18" s="3"/>
      <c r="CW18" s="3"/>
    </row>
    <row r="19">
      <c r="A19" s="99">
        <v>23.0</v>
      </c>
      <c r="B19" s="100" t="s">
        <v>127</v>
      </c>
      <c r="C19" s="101" t="s">
        <v>86</v>
      </c>
      <c r="D19" s="102" t="s">
        <v>55</v>
      </c>
      <c r="E19" s="102">
        <v>24.0</v>
      </c>
      <c r="F19" s="102">
        <v>24.0</v>
      </c>
      <c r="G19" s="6">
        <v>44005.0</v>
      </c>
      <c r="H19" s="6">
        <v>44069.0</v>
      </c>
      <c r="I19" s="103">
        <v>1.0</v>
      </c>
      <c r="J19" s="103">
        <v>1.0</v>
      </c>
      <c r="K19" s="103">
        <v>1.0</v>
      </c>
      <c r="L19" s="103">
        <v>1.0</v>
      </c>
      <c r="M19" s="103">
        <v>1.0</v>
      </c>
      <c r="N19" s="103">
        <v>1.0</v>
      </c>
      <c r="O19" s="103">
        <v>1.0</v>
      </c>
      <c r="P19" s="103">
        <v>1.0</v>
      </c>
      <c r="Q19" s="103">
        <v>1.0</v>
      </c>
      <c r="R19" s="103">
        <v>1.0</v>
      </c>
      <c r="S19" s="103">
        <v>1.0</v>
      </c>
      <c r="T19" s="103">
        <v>1.0</v>
      </c>
      <c r="U19" s="103">
        <v>1.0</v>
      </c>
      <c r="V19" s="103">
        <v>1.0</v>
      </c>
      <c r="W19" s="103">
        <v>1.0</v>
      </c>
      <c r="X19" s="103">
        <v>1.0</v>
      </c>
      <c r="Y19" s="103">
        <v>0.9</v>
      </c>
      <c r="Z19" s="103">
        <v>0.9</v>
      </c>
      <c r="AA19" s="103">
        <v>0.9</v>
      </c>
      <c r="AB19" s="103">
        <v>0.9</v>
      </c>
      <c r="AC19" s="103">
        <v>0.9</v>
      </c>
      <c r="AD19" s="103">
        <v>0.9</v>
      </c>
      <c r="AE19" s="103">
        <v>0.9</v>
      </c>
      <c r="AF19" s="103">
        <v>0.9</v>
      </c>
      <c r="AG19" s="103">
        <v>0.9</v>
      </c>
      <c r="AH19" s="103">
        <v>0.9</v>
      </c>
      <c r="AI19" s="103">
        <v>0.9</v>
      </c>
      <c r="AJ19" s="103">
        <v>0.9</v>
      </c>
      <c r="AK19" s="103">
        <v>0.9</v>
      </c>
      <c r="AL19" s="103">
        <v>0.9</v>
      </c>
      <c r="AM19" s="103">
        <v>0.9</v>
      </c>
      <c r="AN19" s="103">
        <v>0.9</v>
      </c>
      <c r="AO19" s="103">
        <v>0.9</v>
      </c>
      <c r="AP19" s="103">
        <v>0.9</v>
      </c>
      <c r="AQ19" s="103">
        <v>0.9</v>
      </c>
      <c r="AR19" s="103">
        <v>0.9</v>
      </c>
      <c r="AS19" s="103">
        <v>0.9</v>
      </c>
      <c r="AT19" s="103">
        <v>0.9</v>
      </c>
      <c r="AU19" s="103">
        <v>0.9</v>
      </c>
      <c r="AV19" s="103">
        <v>0.9</v>
      </c>
      <c r="AW19" s="103">
        <v>0.9</v>
      </c>
      <c r="AX19" s="103">
        <v>0.9</v>
      </c>
      <c r="AY19" s="103">
        <v>0.75</v>
      </c>
      <c r="AZ19" s="103">
        <v>0.4</v>
      </c>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3"/>
      <c r="CE19" s="3"/>
      <c r="CF19" s="3"/>
      <c r="CG19" s="3"/>
      <c r="CH19" s="3"/>
      <c r="CI19" s="3"/>
      <c r="CJ19" s="3"/>
      <c r="CK19" s="3"/>
      <c r="CL19" s="3"/>
      <c r="CM19" s="3"/>
      <c r="CN19" s="3"/>
      <c r="CO19" s="3"/>
      <c r="CP19" s="3"/>
      <c r="CQ19" s="3"/>
      <c r="CR19" s="3"/>
      <c r="CS19" s="3"/>
      <c r="CT19" s="3"/>
      <c r="CU19" s="3"/>
      <c r="CV19" s="3"/>
      <c r="CW19" s="3"/>
    </row>
    <row r="20">
      <c r="A20" s="99">
        <v>24.0</v>
      </c>
      <c r="B20" s="100" t="s">
        <v>128</v>
      </c>
      <c r="C20" s="101" t="s">
        <v>86</v>
      </c>
      <c r="D20" s="102" t="s">
        <v>42</v>
      </c>
      <c r="E20" s="102">
        <v>8.0</v>
      </c>
      <c r="F20" s="102">
        <v>8.0</v>
      </c>
      <c r="G20" s="6">
        <v>44010.0</v>
      </c>
      <c r="H20" s="6">
        <v>44010.0</v>
      </c>
      <c r="I20" s="103">
        <v>1.0</v>
      </c>
      <c r="J20" s="103">
        <v>1.0</v>
      </c>
      <c r="K20" s="103">
        <v>1.0</v>
      </c>
      <c r="L20" s="103">
        <v>1.0</v>
      </c>
      <c r="M20" s="103">
        <v>1.0</v>
      </c>
      <c r="N20" s="103">
        <v>1.0</v>
      </c>
      <c r="O20" s="103">
        <v>1.0</v>
      </c>
      <c r="P20" s="103">
        <v>1.0</v>
      </c>
      <c r="Q20" s="103">
        <v>1.0</v>
      </c>
      <c r="R20" s="103">
        <v>1.0</v>
      </c>
      <c r="S20" s="103">
        <v>1.0</v>
      </c>
      <c r="T20" s="103">
        <v>1.0</v>
      </c>
      <c r="U20" s="103">
        <v>1.0</v>
      </c>
      <c r="V20" s="103">
        <v>1.0</v>
      </c>
      <c r="W20" s="103">
        <v>1.0</v>
      </c>
      <c r="X20" s="103">
        <v>1.0</v>
      </c>
      <c r="Y20" s="103">
        <v>1.0</v>
      </c>
      <c r="Z20" s="103">
        <v>1.0</v>
      </c>
      <c r="AA20" s="103">
        <v>1.0</v>
      </c>
      <c r="AB20" s="103">
        <v>1.0</v>
      </c>
      <c r="AC20" s="103">
        <v>1.0</v>
      </c>
      <c r="AD20" s="103">
        <v>1.0</v>
      </c>
      <c r="AE20" s="103">
        <v>1.0</v>
      </c>
      <c r="AF20" s="103">
        <v>1.0</v>
      </c>
      <c r="AG20" s="103">
        <v>1.0</v>
      </c>
      <c r="AH20" s="103">
        <v>1.0</v>
      </c>
      <c r="AI20" s="103">
        <v>1.0</v>
      </c>
      <c r="AJ20" s="103">
        <v>1.0</v>
      </c>
      <c r="AK20" s="103">
        <v>1.0</v>
      </c>
      <c r="AL20" s="103">
        <v>1.0</v>
      </c>
      <c r="AM20" s="103">
        <v>1.0</v>
      </c>
      <c r="AN20" s="103">
        <v>1.0</v>
      </c>
      <c r="AO20" s="103">
        <v>1.0</v>
      </c>
      <c r="AP20" s="103">
        <v>1.0</v>
      </c>
      <c r="AQ20" s="103">
        <v>1.0</v>
      </c>
      <c r="AR20" s="103">
        <v>1.0</v>
      </c>
      <c r="AS20" s="103">
        <v>1.0</v>
      </c>
      <c r="AT20" s="103">
        <v>1.0</v>
      </c>
      <c r="AU20" s="103">
        <v>1.0</v>
      </c>
      <c r="AV20" s="103">
        <v>1.0</v>
      </c>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7"/>
      <c r="CE20" s="107"/>
      <c r="CF20" s="107"/>
      <c r="CG20" s="107"/>
      <c r="CH20" s="107"/>
      <c r="CI20" s="107"/>
      <c r="CJ20" s="107"/>
      <c r="CK20" s="107"/>
      <c r="CL20" s="107"/>
      <c r="CM20" s="107"/>
      <c r="CN20" s="107"/>
      <c r="CO20" s="107"/>
      <c r="CP20" s="107"/>
      <c r="CQ20" s="107"/>
      <c r="CR20" s="107"/>
      <c r="CS20" s="107"/>
      <c r="CT20" s="107"/>
      <c r="CU20" s="107"/>
      <c r="CV20" s="107"/>
      <c r="CW20" s="107"/>
    </row>
    <row r="21" ht="15.75" customHeight="1">
      <c r="A21" s="99">
        <v>25.0</v>
      </c>
      <c r="B21" s="100" t="s">
        <v>129</v>
      </c>
      <c r="C21" s="101" t="s">
        <v>86</v>
      </c>
      <c r="D21" s="102" t="s">
        <v>55</v>
      </c>
      <c r="E21" s="102">
        <v>8.0</v>
      </c>
      <c r="F21" s="102">
        <v>8.0</v>
      </c>
      <c r="G21" s="6">
        <v>44009.0</v>
      </c>
      <c r="H21" s="6">
        <v>44009.0</v>
      </c>
      <c r="I21" s="103">
        <v>1.0</v>
      </c>
      <c r="J21" s="103">
        <v>1.0</v>
      </c>
      <c r="K21" s="103">
        <v>1.0</v>
      </c>
      <c r="L21" s="103">
        <v>1.0</v>
      </c>
      <c r="M21" s="103">
        <v>1.0</v>
      </c>
      <c r="N21" s="103">
        <v>1.0</v>
      </c>
      <c r="O21" s="103">
        <v>1.0</v>
      </c>
      <c r="P21" s="103">
        <v>1.0</v>
      </c>
      <c r="Q21" s="103">
        <v>1.0</v>
      </c>
      <c r="R21" s="103">
        <v>1.0</v>
      </c>
      <c r="S21" s="103">
        <v>1.0</v>
      </c>
      <c r="T21" s="103">
        <v>1.0</v>
      </c>
      <c r="U21" s="103">
        <v>1.0</v>
      </c>
      <c r="V21" s="103">
        <v>1.0</v>
      </c>
      <c r="W21" s="103">
        <v>1.0</v>
      </c>
      <c r="X21" s="103">
        <v>1.0</v>
      </c>
      <c r="Y21" s="103">
        <v>1.0</v>
      </c>
      <c r="Z21" s="103">
        <v>1.0</v>
      </c>
      <c r="AA21" s="103">
        <v>1.0</v>
      </c>
      <c r="AB21" s="103">
        <v>1.0</v>
      </c>
      <c r="AC21" s="103">
        <v>1.0</v>
      </c>
      <c r="AD21" s="103">
        <v>1.0</v>
      </c>
      <c r="AE21" s="103">
        <v>1.0</v>
      </c>
      <c r="AF21" s="103">
        <v>1.0</v>
      </c>
      <c r="AG21" s="103">
        <v>1.0</v>
      </c>
      <c r="AH21" s="103">
        <v>1.0</v>
      </c>
      <c r="AI21" s="103">
        <v>1.0</v>
      </c>
      <c r="AJ21" s="103">
        <v>1.0</v>
      </c>
      <c r="AK21" s="103">
        <v>1.0</v>
      </c>
      <c r="AL21" s="103">
        <v>1.0</v>
      </c>
      <c r="AM21" s="103">
        <v>1.0</v>
      </c>
      <c r="AN21" s="103">
        <v>1.0</v>
      </c>
      <c r="AO21" s="103">
        <v>1.0</v>
      </c>
      <c r="AP21" s="103">
        <v>1.0</v>
      </c>
      <c r="AQ21" s="103">
        <v>1.0</v>
      </c>
      <c r="AR21" s="103">
        <v>1.0</v>
      </c>
      <c r="AS21" s="103">
        <v>1.0</v>
      </c>
      <c r="AT21" s="103">
        <v>1.0</v>
      </c>
      <c r="AU21" s="103">
        <v>1.0</v>
      </c>
      <c r="AV21" s="103">
        <v>1.0</v>
      </c>
      <c r="AW21" s="103">
        <v>1.0</v>
      </c>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3"/>
      <c r="CE21" s="3"/>
      <c r="CF21" s="3"/>
      <c r="CG21" s="3"/>
      <c r="CH21" s="3"/>
      <c r="CI21" s="3"/>
      <c r="CJ21" s="3"/>
      <c r="CK21" s="3"/>
      <c r="CL21" s="3"/>
      <c r="CM21" s="3"/>
      <c r="CN21" s="3"/>
      <c r="CO21" s="3"/>
      <c r="CP21" s="3"/>
      <c r="CQ21" s="3"/>
      <c r="CR21" s="3"/>
      <c r="CS21" s="3"/>
      <c r="CT21" s="3"/>
      <c r="CU21" s="3"/>
      <c r="CV21" s="3"/>
      <c r="CW21" s="3"/>
    </row>
    <row r="22" ht="15.75" customHeight="1">
      <c r="A22" s="99">
        <v>26.0</v>
      </c>
      <c r="B22" s="100" t="s">
        <v>130</v>
      </c>
      <c r="C22" s="101" t="s">
        <v>86</v>
      </c>
      <c r="D22" s="102" t="s">
        <v>42</v>
      </c>
      <c r="E22" s="102">
        <v>8.0</v>
      </c>
      <c r="F22" s="102">
        <v>8.0</v>
      </c>
      <c r="G22" s="6">
        <v>44011.0</v>
      </c>
      <c r="H22" s="6">
        <v>44011.0</v>
      </c>
      <c r="I22" s="103">
        <v>1.0</v>
      </c>
      <c r="J22" s="103">
        <v>1.0</v>
      </c>
      <c r="K22" s="103">
        <v>1.0</v>
      </c>
      <c r="L22" s="103">
        <v>1.0</v>
      </c>
      <c r="M22" s="103">
        <v>1.0</v>
      </c>
      <c r="N22" s="103">
        <v>1.0</v>
      </c>
      <c r="O22" s="103">
        <v>1.0</v>
      </c>
      <c r="P22" s="103">
        <v>1.0</v>
      </c>
      <c r="Q22" s="103">
        <v>1.0</v>
      </c>
      <c r="R22" s="103">
        <v>1.0</v>
      </c>
      <c r="S22" s="103">
        <v>1.0</v>
      </c>
      <c r="T22" s="103">
        <v>1.0</v>
      </c>
      <c r="U22" s="103">
        <v>1.0</v>
      </c>
      <c r="V22" s="103">
        <v>1.0</v>
      </c>
      <c r="W22" s="103">
        <v>1.0</v>
      </c>
      <c r="X22" s="103">
        <v>1.0</v>
      </c>
      <c r="Y22" s="103">
        <v>1.0</v>
      </c>
      <c r="Z22" s="103">
        <v>1.0</v>
      </c>
      <c r="AA22" s="103">
        <v>1.0</v>
      </c>
      <c r="AB22" s="103">
        <v>1.0</v>
      </c>
      <c r="AC22" s="103">
        <v>1.0</v>
      </c>
      <c r="AD22" s="103">
        <v>1.0</v>
      </c>
      <c r="AE22" s="103">
        <v>1.0</v>
      </c>
      <c r="AF22" s="103">
        <v>1.0</v>
      </c>
      <c r="AG22" s="103">
        <v>1.0</v>
      </c>
      <c r="AH22" s="103">
        <v>1.0</v>
      </c>
      <c r="AI22" s="103">
        <v>1.0</v>
      </c>
      <c r="AJ22" s="103">
        <v>1.0</v>
      </c>
      <c r="AK22" s="103">
        <v>1.0</v>
      </c>
      <c r="AL22" s="103">
        <v>1.0</v>
      </c>
      <c r="AM22" s="103">
        <v>1.0</v>
      </c>
      <c r="AN22" s="103">
        <v>1.0</v>
      </c>
      <c r="AO22" s="103">
        <v>1.0</v>
      </c>
      <c r="AP22" s="103">
        <v>1.0</v>
      </c>
      <c r="AQ22" s="103">
        <v>1.0</v>
      </c>
      <c r="AR22" s="103">
        <v>1.0</v>
      </c>
      <c r="AS22" s="103">
        <v>1.0</v>
      </c>
      <c r="AT22" s="103">
        <v>1.0</v>
      </c>
      <c r="AU22" s="103">
        <v>1.0</v>
      </c>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3"/>
      <c r="CE22" s="3"/>
      <c r="CF22" s="3"/>
      <c r="CG22" s="3"/>
      <c r="CH22" s="3"/>
      <c r="CI22" s="3"/>
      <c r="CJ22" s="3"/>
      <c r="CK22" s="3"/>
      <c r="CL22" s="3"/>
      <c r="CM22" s="3"/>
      <c r="CN22" s="3"/>
      <c r="CO22" s="3"/>
      <c r="CP22" s="3"/>
      <c r="CQ22" s="3"/>
      <c r="CR22" s="3"/>
      <c r="CS22" s="3"/>
      <c r="CT22" s="3"/>
      <c r="CU22" s="3"/>
      <c r="CV22" s="3"/>
      <c r="CW22" s="3"/>
    </row>
    <row r="23" ht="15.75" customHeight="1">
      <c r="A23" s="99">
        <v>27.0</v>
      </c>
      <c r="B23" s="100" t="s">
        <v>131</v>
      </c>
      <c r="C23" s="101" t="s">
        <v>86</v>
      </c>
      <c r="D23" s="102" t="s">
        <v>55</v>
      </c>
      <c r="E23" s="102">
        <v>8.0</v>
      </c>
      <c r="F23" s="102">
        <v>8.0</v>
      </c>
      <c r="G23" s="6">
        <v>44010.0</v>
      </c>
      <c r="H23" s="6">
        <v>44010.0</v>
      </c>
      <c r="I23" s="103">
        <v>1.0</v>
      </c>
      <c r="J23" s="103">
        <v>1.0</v>
      </c>
      <c r="K23" s="103">
        <v>1.0</v>
      </c>
      <c r="L23" s="103">
        <v>1.0</v>
      </c>
      <c r="M23" s="103">
        <v>1.0</v>
      </c>
      <c r="N23" s="103">
        <v>1.0</v>
      </c>
      <c r="O23" s="103">
        <v>1.0</v>
      </c>
      <c r="P23" s="103">
        <v>1.0</v>
      </c>
      <c r="Q23" s="103">
        <v>1.0</v>
      </c>
      <c r="R23" s="103">
        <v>1.0</v>
      </c>
      <c r="S23" s="103">
        <v>1.0</v>
      </c>
      <c r="T23" s="103">
        <v>1.0</v>
      </c>
      <c r="U23" s="103">
        <v>1.0</v>
      </c>
      <c r="V23" s="103">
        <v>1.0</v>
      </c>
      <c r="W23" s="103">
        <v>1.0</v>
      </c>
      <c r="X23" s="103">
        <v>1.0</v>
      </c>
      <c r="Y23" s="103">
        <v>1.0</v>
      </c>
      <c r="Z23" s="103">
        <v>1.0</v>
      </c>
      <c r="AA23" s="103">
        <v>1.0</v>
      </c>
      <c r="AB23" s="103">
        <v>1.0</v>
      </c>
      <c r="AC23" s="103">
        <v>1.0</v>
      </c>
      <c r="AD23" s="103">
        <v>1.0</v>
      </c>
      <c r="AE23" s="103">
        <v>1.0</v>
      </c>
      <c r="AF23" s="103">
        <v>1.0</v>
      </c>
      <c r="AG23" s="103">
        <v>1.0</v>
      </c>
      <c r="AH23" s="103">
        <v>1.0</v>
      </c>
      <c r="AI23" s="103">
        <v>1.0</v>
      </c>
      <c r="AJ23" s="103">
        <v>1.0</v>
      </c>
      <c r="AK23" s="103">
        <v>1.0</v>
      </c>
      <c r="AL23" s="103">
        <v>1.0</v>
      </c>
      <c r="AM23" s="103">
        <v>1.0</v>
      </c>
      <c r="AN23" s="103">
        <v>1.0</v>
      </c>
      <c r="AO23" s="103">
        <v>1.0</v>
      </c>
      <c r="AP23" s="103">
        <v>1.0</v>
      </c>
      <c r="AQ23" s="103">
        <v>1.0</v>
      </c>
      <c r="AR23" s="103">
        <v>1.0</v>
      </c>
      <c r="AS23" s="103">
        <v>1.0</v>
      </c>
      <c r="AT23" s="103">
        <v>1.0</v>
      </c>
      <c r="AU23" s="103">
        <v>1.0</v>
      </c>
      <c r="AV23" s="103">
        <v>1.0</v>
      </c>
      <c r="AW23" s="103"/>
      <c r="AX23" s="103"/>
      <c r="AY23" s="103"/>
      <c r="AZ23" s="103"/>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3"/>
      <c r="CE23" s="3"/>
      <c r="CF23" s="3"/>
      <c r="CG23" s="3"/>
      <c r="CH23" s="3"/>
      <c r="CI23" s="3"/>
      <c r="CJ23" s="3"/>
      <c r="CK23" s="3"/>
      <c r="CL23" s="3"/>
      <c r="CM23" s="3"/>
      <c r="CN23" s="3"/>
      <c r="CO23" s="3"/>
      <c r="CP23" s="3"/>
      <c r="CQ23" s="3"/>
      <c r="CR23" s="3"/>
      <c r="CS23" s="3"/>
      <c r="CT23" s="3"/>
      <c r="CU23" s="3"/>
      <c r="CV23" s="3"/>
      <c r="CW23" s="3"/>
    </row>
    <row r="24" ht="15.75" customHeight="1">
      <c r="A24" s="99">
        <v>28.0</v>
      </c>
      <c r="B24" s="100" t="s">
        <v>132</v>
      </c>
      <c r="C24" s="101" t="s">
        <v>86</v>
      </c>
      <c r="D24" s="102" t="s">
        <v>42</v>
      </c>
      <c r="E24" s="102">
        <v>8.0</v>
      </c>
      <c r="F24" s="102">
        <v>8.0</v>
      </c>
      <c r="G24" s="6">
        <v>44032.0</v>
      </c>
      <c r="H24" s="6">
        <v>44032.0</v>
      </c>
      <c r="I24" s="103">
        <v>1.0</v>
      </c>
      <c r="J24" s="103">
        <v>1.0</v>
      </c>
      <c r="K24" s="103">
        <v>1.0</v>
      </c>
      <c r="L24" s="103">
        <v>1.0</v>
      </c>
      <c r="M24" s="103">
        <v>1.0</v>
      </c>
      <c r="N24" s="103">
        <v>1.0</v>
      </c>
      <c r="O24" s="103">
        <v>1.0</v>
      </c>
      <c r="P24" s="103">
        <v>1.0</v>
      </c>
      <c r="Q24" s="103">
        <v>1.0</v>
      </c>
      <c r="R24" s="103">
        <v>1.0</v>
      </c>
      <c r="S24" s="103">
        <v>1.0</v>
      </c>
      <c r="T24" s="103">
        <v>1.0</v>
      </c>
      <c r="U24" s="103">
        <v>1.0</v>
      </c>
      <c r="V24" s="103">
        <v>1.0</v>
      </c>
      <c r="W24" s="103">
        <v>1.0</v>
      </c>
      <c r="X24" s="103">
        <v>1.0</v>
      </c>
      <c r="Y24" s="103">
        <v>1.0</v>
      </c>
      <c r="Z24" s="103">
        <v>1.0</v>
      </c>
      <c r="AA24" s="103">
        <v>1.0</v>
      </c>
      <c r="AB24" s="103">
        <v>1.0</v>
      </c>
      <c r="AC24" s="103">
        <v>1.0</v>
      </c>
      <c r="AD24" s="103">
        <v>1.0</v>
      </c>
      <c r="AE24" s="103">
        <v>1.0</v>
      </c>
      <c r="AF24" s="103">
        <v>1.0</v>
      </c>
      <c r="AG24" s="103">
        <v>1.0</v>
      </c>
      <c r="AH24" s="103">
        <v>1.0</v>
      </c>
      <c r="AI24" s="103">
        <v>1.0</v>
      </c>
      <c r="AJ24" s="103">
        <v>1.0</v>
      </c>
      <c r="AK24" s="103">
        <v>1.0</v>
      </c>
      <c r="AL24" s="103">
        <v>1.0</v>
      </c>
      <c r="AM24" s="103">
        <v>1.0</v>
      </c>
      <c r="AN24" s="103">
        <v>1.0</v>
      </c>
      <c r="AO24" s="103">
        <v>1.0</v>
      </c>
      <c r="AP24" s="103">
        <v>1.0</v>
      </c>
      <c r="AQ24" s="103">
        <v>1.0</v>
      </c>
      <c r="AR24" s="103">
        <v>1.0</v>
      </c>
      <c r="AS24" s="103">
        <v>1.0</v>
      </c>
      <c r="AT24" s="103">
        <v>1.0</v>
      </c>
      <c r="AU24" s="103">
        <v>1.0</v>
      </c>
      <c r="AV24" s="103">
        <v>1.0</v>
      </c>
      <c r="AW24" s="103">
        <v>1.0</v>
      </c>
      <c r="AX24" s="103">
        <v>1.0</v>
      </c>
      <c r="AY24" s="103">
        <v>1.0</v>
      </c>
      <c r="AZ24" s="103">
        <v>1.0</v>
      </c>
      <c r="BA24" s="103">
        <v>1.0</v>
      </c>
      <c r="BB24" s="103">
        <v>1.0</v>
      </c>
      <c r="BC24" s="103">
        <v>1.0</v>
      </c>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3"/>
      <c r="CE24" s="3"/>
      <c r="CF24" s="3"/>
      <c r="CG24" s="3"/>
      <c r="CH24" s="3"/>
      <c r="CI24" s="3"/>
      <c r="CJ24" s="3"/>
      <c r="CK24" s="3"/>
      <c r="CL24" s="3"/>
      <c r="CM24" s="3"/>
      <c r="CN24" s="3"/>
      <c r="CO24" s="3"/>
      <c r="CP24" s="3"/>
      <c r="CQ24" s="3"/>
      <c r="CR24" s="3"/>
      <c r="CS24" s="3"/>
      <c r="CT24" s="3"/>
      <c r="CU24" s="3"/>
      <c r="CV24" s="3"/>
      <c r="CW24" s="3"/>
    </row>
    <row r="25" ht="15.75" customHeight="1">
      <c r="A25" s="99">
        <v>29.0</v>
      </c>
      <c r="B25" s="100" t="s">
        <v>133</v>
      </c>
      <c r="C25" s="101" t="s">
        <v>86</v>
      </c>
      <c r="D25" s="102" t="s">
        <v>55</v>
      </c>
      <c r="E25" s="102">
        <v>8.0</v>
      </c>
      <c r="F25" s="102">
        <v>8.0</v>
      </c>
      <c r="G25" s="6">
        <v>44032.0</v>
      </c>
      <c r="H25" s="6">
        <v>44032.0</v>
      </c>
      <c r="I25" s="103">
        <v>1.0</v>
      </c>
      <c r="J25" s="103">
        <v>1.0</v>
      </c>
      <c r="K25" s="103">
        <v>1.0</v>
      </c>
      <c r="L25" s="103">
        <v>1.0</v>
      </c>
      <c r="M25" s="103">
        <v>1.0</v>
      </c>
      <c r="N25" s="103">
        <v>1.0</v>
      </c>
      <c r="O25" s="103">
        <v>1.0</v>
      </c>
      <c r="P25" s="103">
        <v>1.0</v>
      </c>
      <c r="Q25" s="103">
        <v>1.0</v>
      </c>
      <c r="R25" s="103">
        <v>1.0</v>
      </c>
      <c r="S25" s="103">
        <v>1.0</v>
      </c>
      <c r="T25" s="103">
        <v>1.0</v>
      </c>
      <c r="U25" s="103">
        <v>1.0</v>
      </c>
      <c r="V25" s="103">
        <v>1.0</v>
      </c>
      <c r="W25" s="103">
        <v>1.0</v>
      </c>
      <c r="X25" s="103">
        <v>1.0</v>
      </c>
      <c r="Y25" s="103">
        <v>1.0</v>
      </c>
      <c r="Z25" s="103">
        <v>1.0</v>
      </c>
      <c r="AA25" s="103">
        <v>1.0</v>
      </c>
      <c r="AB25" s="103">
        <v>1.0</v>
      </c>
      <c r="AC25" s="103">
        <v>1.0</v>
      </c>
      <c r="AD25" s="103">
        <v>1.0</v>
      </c>
      <c r="AE25" s="103">
        <v>1.0</v>
      </c>
      <c r="AF25" s="103">
        <v>1.0</v>
      </c>
      <c r="AG25" s="103">
        <v>1.0</v>
      </c>
      <c r="AH25" s="103">
        <v>1.0</v>
      </c>
      <c r="AI25" s="103">
        <v>1.0</v>
      </c>
      <c r="AJ25" s="103">
        <v>1.0</v>
      </c>
      <c r="AK25" s="103">
        <v>1.0</v>
      </c>
      <c r="AL25" s="103">
        <v>1.0</v>
      </c>
      <c r="AM25" s="103">
        <v>1.0</v>
      </c>
      <c r="AN25" s="103">
        <v>1.0</v>
      </c>
      <c r="AO25" s="103">
        <v>1.0</v>
      </c>
      <c r="AP25" s="103">
        <v>1.0</v>
      </c>
      <c r="AQ25" s="103">
        <v>1.0</v>
      </c>
      <c r="AR25" s="103">
        <v>1.0</v>
      </c>
      <c r="AS25" s="103">
        <v>1.0</v>
      </c>
      <c r="AT25" s="103">
        <v>1.0</v>
      </c>
      <c r="AU25" s="103">
        <v>1.0</v>
      </c>
      <c r="AV25" s="103">
        <v>1.0</v>
      </c>
      <c r="AW25" s="103">
        <v>1.0</v>
      </c>
      <c r="AX25" s="103">
        <v>1.0</v>
      </c>
      <c r="AY25" s="103">
        <v>1.0</v>
      </c>
      <c r="AZ25" s="103">
        <v>1.0</v>
      </c>
      <c r="BA25" s="103">
        <v>1.0</v>
      </c>
      <c r="BB25" s="103">
        <v>1.0</v>
      </c>
      <c r="BC25" s="103">
        <v>1.0</v>
      </c>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3"/>
      <c r="CE25" s="3"/>
      <c r="CF25" s="3"/>
      <c r="CG25" s="3"/>
      <c r="CH25" s="3"/>
      <c r="CI25" s="3"/>
      <c r="CJ25" s="3"/>
      <c r="CK25" s="3"/>
      <c r="CL25" s="3"/>
      <c r="CM25" s="3"/>
      <c r="CN25" s="3"/>
      <c r="CO25" s="3"/>
      <c r="CP25" s="3"/>
      <c r="CQ25" s="3"/>
      <c r="CR25" s="3"/>
      <c r="CS25" s="3"/>
      <c r="CT25" s="3"/>
      <c r="CU25" s="3"/>
      <c r="CV25" s="3"/>
      <c r="CW25" s="3"/>
    </row>
    <row r="26" ht="15.75" customHeight="1">
      <c r="A26" s="99">
        <v>30.0</v>
      </c>
      <c r="B26" s="100" t="s">
        <v>134</v>
      </c>
      <c r="C26" s="101" t="s">
        <v>86</v>
      </c>
      <c r="D26" s="102" t="s">
        <v>42</v>
      </c>
      <c r="E26" s="102">
        <v>4.0</v>
      </c>
      <c r="F26" s="102">
        <v>4.0</v>
      </c>
      <c r="G26" s="6">
        <v>44070.0</v>
      </c>
      <c r="H26" s="6">
        <v>44070.0</v>
      </c>
      <c r="I26" s="103">
        <v>1.0</v>
      </c>
      <c r="J26" s="103">
        <v>1.0</v>
      </c>
      <c r="K26" s="103">
        <v>1.0</v>
      </c>
      <c r="L26" s="103">
        <v>1.0</v>
      </c>
      <c r="M26" s="103">
        <v>1.0</v>
      </c>
      <c r="N26" s="103">
        <v>1.0</v>
      </c>
      <c r="O26" s="103">
        <v>1.0</v>
      </c>
      <c r="P26" s="103">
        <v>1.0</v>
      </c>
      <c r="Q26" s="103">
        <v>1.0</v>
      </c>
      <c r="R26" s="103">
        <v>1.0</v>
      </c>
      <c r="S26" s="103">
        <v>1.0</v>
      </c>
      <c r="T26" s="103">
        <v>1.0</v>
      </c>
      <c r="U26" s="103">
        <v>1.0</v>
      </c>
      <c r="V26" s="103">
        <v>1.0</v>
      </c>
      <c r="W26" s="103">
        <v>1.0</v>
      </c>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3"/>
      <c r="CE26" s="3"/>
      <c r="CF26" s="3"/>
      <c r="CG26" s="3"/>
      <c r="CH26" s="3"/>
      <c r="CI26" s="3"/>
      <c r="CJ26" s="3"/>
      <c r="CK26" s="3"/>
      <c r="CL26" s="3"/>
      <c r="CM26" s="3"/>
      <c r="CN26" s="3"/>
      <c r="CO26" s="3"/>
      <c r="CP26" s="3"/>
      <c r="CQ26" s="3"/>
      <c r="CR26" s="3"/>
      <c r="CS26" s="3"/>
      <c r="CT26" s="3"/>
      <c r="CU26" s="3"/>
      <c r="CV26" s="3"/>
      <c r="CW26" s="3"/>
    </row>
    <row r="27" ht="15.75" customHeight="1">
      <c r="A27" s="99">
        <v>31.0</v>
      </c>
      <c r="B27" s="100" t="s">
        <v>135</v>
      </c>
      <c r="C27" s="101" t="s">
        <v>86</v>
      </c>
      <c r="D27" s="102" t="s">
        <v>55</v>
      </c>
      <c r="E27" s="102">
        <v>4.0</v>
      </c>
      <c r="F27" s="102">
        <v>4.0</v>
      </c>
      <c r="G27" s="6">
        <v>44010.0</v>
      </c>
      <c r="H27" s="6">
        <v>44011.0</v>
      </c>
      <c r="I27" s="103">
        <v>1.0</v>
      </c>
      <c r="J27" s="103">
        <v>1.0</v>
      </c>
      <c r="K27" s="103">
        <v>1.0</v>
      </c>
      <c r="L27" s="103">
        <v>1.0</v>
      </c>
      <c r="M27" s="103">
        <v>1.0</v>
      </c>
      <c r="N27" s="103">
        <v>1.0</v>
      </c>
      <c r="O27" s="103">
        <v>1.0</v>
      </c>
      <c r="P27" s="103">
        <v>1.0</v>
      </c>
      <c r="Q27" s="103">
        <v>1.0</v>
      </c>
      <c r="R27" s="103">
        <v>1.0</v>
      </c>
      <c r="S27" s="103">
        <v>1.0</v>
      </c>
      <c r="T27" s="103">
        <v>1.0</v>
      </c>
      <c r="U27" s="103">
        <v>1.0</v>
      </c>
      <c r="V27" s="103">
        <v>1.0</v>
      </c>
      <c r="W27" s="103">
        <v>1.0</v>
      </c>
      <c r="X27" s="103">
        <v>1.0</v>
      </c>
      <c r="Y27" s="103">
        <v>1.0</v>
      </c>
      <c r="Z27" s="103">
        <v>1.0</v>
      </c>
      <c r="AA27" s="103">
        <v>1.0</v>
      </c>
      <c r="AB27" s="103">
        <v>1.0</v>
      </c>
      <c r="AC27" s="103">
        <v>1.0</v>
      </c>
      <c r="AD27" s="103">
        <v>1.0</v>
      </c>
      <c r="AE27" s="103">
        <v>1.0</v>
      </c>
      <c r="AF27" s="103">
        <v>1.0</v>
      </c>
      <c r="AG27" s="103">
        <v>1.0</v>
      </c>
      <c r="AH27" s="103">
        <v>1.0</v>
      </c>
      <c r="AI27" s="103">
        <v>1.0</v>
      </c>
      <c r="AJ27" s="103">
        <v>1.0</v>
      </c>
      <c r="AK27" s="103">
        <v>1.0</v>
      </c>
      <c r="AL27" s="103">
        <v>1.0</v>
      </c>
      <c r="AM27" s="103">
        <v>1.0</v>
      </c>
      <c r="AN27" s="103">
        <v>1.0</v>
      </c>
      <c r="AO27" s="103">
        <v>1.0</v>
      </c>
      <c r="AP27" s="103">
        <v>1.0</v>
      </c>
      <c r="AQ27" s="103">
        <v>1.0</v>
      </c>
      <c r="AR27" s="103">
        <v>1.0</v>
      </c>
      <c r="AS27" s="103">
        <v>1.0</v>
      </c>
      <c r="AT27" s="103">
        <v>1.0</v>
      </c>
      <c r="AU27" s="103">
        <v>1.0</v>
      </c>
      <c r="AV27" s="103">
        <v>1.0</v>
      </c>
      <c r="AW27" s="103"/>
      <c r="AX27" s="103"/>
      <c r="AY27" s="103"/>
      <c r="AZ27" s="103"/>
      <c r="BA27" s="103"/>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c r="CA27" s="103"/>
      <c r="CB27" s="103"/>
      <c r="CC27" s="103"/>
      <c r="CD27" s="3"/>
      <c r="CE27" s="3"/>
      <c r="CF27" s="3"/>
      <c r="CG27" s="3"/>
      <c r="CH27" s="3"/>
      <c r="CI27" s="3"/>
      <c r="CJ27" s="3"/>
      <c r="CK27" s="3"/>
      <c r="CL27" s="3"/>
      <c r="CM27" s="3"/>
      <c r="CN27" s="3"/>
      <c r="CO27" s="3"/>
      <c r="CP27" s="3"/>
      <c r="CQ27" s="3"/>
      <c r="CR27" s="3"/>
      <c r="CS27" s="3"/>
      <c r="CT27" s="3"/>
      <c r="CU27" s="3"/>
      <c r="CV27" s="3"/>
      <c r="CW27" s="3"/>
    </row>
    <row r="28" ht="15.75" customHeight="1">
      <c r="A28" s="99">
        <v>32.0</v>
      </c>
      <c r="B28" s="100" t="s">
        <v>136</v>
      </c>
      <c r="C28" s="101" t="s">
        <v>86</v>
      </c>
      <c r="D28" s="102" t="s">
        <v>42</v>
      </c>
      <c r="E28" s="102">
        <v>8.0</v>
      </c>
      <c r="F28" s="102">
        <v>8.0</v>
      </c>
      <c r="G28" s="6">
        <v>44051.0</v>
      </c>
      <c r="H28" s="6">
        <v>44051.0</v>
      </c>
      <c r="I28" s="103">
        <v>1.0</v>
      </c>
      <c r="J28" s="103">
        <v>1.0</v>
      </c>
      <c r="K28" s="103">
        <v>1.0</v>
      </c>
      <c r="L28" s="103">
        <v>1.0</v>
      </c>
      <c r="M28" s="103">
        <v>1.0</v>
      </c>
      <c r="N28" s="103">
        <v>1.0</v>
      </c>
      <c r="O28" s="103">
        <v>1.0</v>
      </c>
      <c r="P28" s="103">
        <v>1.0</v>
      </c>
      <c r="Q28" s="103">
        <v>1.0</v>
      </c>
      <c r="R28" s="103">
        <v>1.0</v>
      </c>
      <c r="S28" s="103">
        <v>1.0</v>
      </c>
      <c r="T28" s="103">
        <v>1.0</v>
      </c>
      <c r="U28" s="103">
        <v>1.0</v>
      </c>
      <c r="V28" s="103">
        <v>1.0</v>
      </c>
      <c r="W28" s="103">
        <v>1.0</v>
      </c>
      <c r="X28" s="103">
        <v>1.0</v>
      </c>
      <c r="Y28" s="103">
        <v>1.0</v>
      </c>
      <c r="Z28" s="103">
        <v>1.0</v>
      </c>
      <c r="AA28" s="103">
        <v>1.0</v>
      </c>
      <c r="AB28" s="103">
        <v>1.0</v>
      </c>
      <c r="AC28" s="103">
        <v>1.0</v>
      </c>
      <c r="AD28" s="103">
        <v>1.0</v>
      </c>
      <c r="AE28" s="103">
        <v>1.0</v>
      </c>
      <c r="AF28" s="103">
        <v>1.0</v>
      </c>
      <c r="AG28" s="103">
        <v>1.0</v>
      </c>
      <c r="AH28" s="103">
        <v>1.0</v>
      </c>
      <c r="AI28" s="103">
        <v>1.0</v>
      </c>
      <c r="AJ28" s="103">
        <v>1.0</v>
      </c>
      <c r="AK28" s="103">
        <v>1.0</v>
      </c>
      <c r="AL28" s="103">
        <v>1.0</v>
      </c>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7"/>
      <c r="CE28" s="107"/>
      <c r="CF28" s="107"/>
      <c r="CG28" s="107"/>
      <c r="CH28" s="107"/>
      <c r="CI28" s="107"/>
      <c r="CJ28" s="107"/>
      <c r="CK28" s="107"/>
      <c r="CL28" s="107"/>
      <c r="CM28" s="107"/>
      <c r="CN28" s="107"/>
      <c r="CO28" s="107"/>
      <c r="CP28" s="107"/>
      <c r="CQ28" s="107"/>
      <c r="CR28" s="107"/>
      <c r="CS28" s="107"/>
      <c r="CT28" s="107"/>
      <c r="CU28" s="107"/>
      <c r="CV28" s="107"/>
      <c r="CW28" s="107"/>
    </row>
    <row r="29" ht="15.75" customHeight="1">
      <c r="A29" s="99">
        <v>33.0</v>
      </c>
      <c r="B29" s="100" t="s">
        <v>137</v>
      </c>
      <c r="C29" s="101" t="s">
        <v>86</v>
      </c>
      <c r="D29" s="102" t="s">
        <v>55</v>
      </c>
      <c r="E29" s="102">
        <v>8.0</v>
      </c>
      <c r="F29" s="102">
        <v>10.0</v>
      </c>
      <c r="G29" s="6">
        <v>44010.0</v>
      </c>
      <c r="H29" s="6">
        <v>44011.0</v>
      </c>
      <c r="I29" s="103">
        <v>1.0</v>
      </c>
      <c r="J29" s="103">
        <v>1.0</v>
      </c>
      <c r="K29" s="103">
        <v>1.0</v>
      </c>
      <c r="L29" s="103">
        <v>1.0</v>
      </c>
      <c r="M29" s="103">
        <v>1.0</v>
      </c>
      <c r="N29" s="103">
        <v>1.0</v>
      </c>
      <c r="O29" s="103">
        <v>1.0</v>
      </c>
      <c r="P29" s="103">
        <v>1.0</v>
      </c>
      <c r="Q29" s="103">
        <v>1.0</v>
      </c>
      <c r="R29" s="103">
        <v>1.0</v>
      </c>
      <c r="S29" s="103">
        <v>1.0</v>
      </c>
      <c r="T29" s="103">
        <v>1.0</v>
      </c>
      <c r="U29" s="103">
        <v>1.0</v>
      </c>
      <c r="V29" s="103">
        <v>1.0</v>
      </c>
      <c r="W29" s="103">
        <v>1.0</v>
      </c>
      <c r="X29" s="103">
        <v>1.0</v>
      </c>
      <c r="Y29" s="103">
        <v>1.0</v>
      </c>
      <c r="Z29" s="103">
        <v>1.0</v>
      </c>
      <c r="AA29" s="103">
        <v>1.0</v>
      </c>
      <c r="AB29" s="103">
        <v>1.0</v>
      </c>
      <c r="AC29" s="103">
        <v>1.0</v>
      </c>
      <c r="AD29" s="103">
        <v>1.0</v>
      </c>
      <c r="AE29" s="103">
        <v>1.0</v>
      </c>
      <c r="AF29" s="103">
        <v>1.0</v>
      </c>
      <c r="AG29" s="103">
        <v>1.0</v>
      </c>
      <c r="AH29" s="103">
        <v>1.0</v>
      </c>
      <c r="AI29" s="103">
        <v>1.0</v>
      </c>
      <c r="AJ29" s="103">
        <v>1.0</v>
      </c>
      <c r="AK29" s="103">
        <v>1.0</v>
      </c>
      <c r="AL29" s="103">
        <v>1.0</v>
      </c>
      <c r="AM29" s="103">
        <v>1.0</v>
      </c>
      <c r="AN29" s="103">
        <v>1.0</v>
      </c>
      <c r="AO29" s="103">
        <v>1.0</v>
      </c>
      <c r="AP29" s="103">
        <v>1.0</v>
      </c>
      <c r="AQ29" s="103">
        <v>1.0</v>
      </c>
      <c r="AR29" s="103">
        <v>1.0</v>
      </c>
      <c r="AS29" s="103">
        <v>1.0</v>
      </c>
      <c r="AT29" s="103">
        <v>1.0</v>
      </c>
      <c r="AU29" s="103">
        <v>1.0</v>
      </c>
      <c r="AV29" s="103">
        <v>0.5</v>
      </c>
      <c r="AW29" s="103"/>
      <c r="AX29" s="103"/>
      <c r="AY29" s="103"/>
      <c r="AZ29" s="103"/>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c r="CA29" s="103"/>
      <c r="CB29" s="103"/>
      <c r="CC29" s="103"/>
      <c r="CD29" s="3"/>
      <c r="CE29" s="3"/>
      <c r="CF29" s="3"/>
      <c r="CG29" s="3"/>
      <c r="CH29" s="3"/>
      <c r="CI29" s="3"/>
      <c r="CJ29" s="3"/>
      <c r="CK29" s="3"/>
      <c r="CL29" s="3"/>
      <c r="CM29" s="3"/>
      <c r="CN29" s="3"/>
      <c r="CO29" s="3"/>
      <c r="CP29" s="3"/>
      <c r="CQ29" s="3"/>
      <c r="CR29" s="3"/>
      <c r="CS29" s="3"/>
      <c r="CT29" s="3"/>
      <c r="CU29" s="3"/>
      <c r="CV29" s="3"/>
      <c r="CW29" s="3"/>
    </row>
    <row r="30" ht="15.75" customHeight="1">
      <c r="A30" s="99">
        <v>34.0</v>
      </c>
      <c r="B30" s="100" t="s">
        <v>138</v>
      </c>
      <c r="C30" s="101" t="s">
        <v>86</v>
      </c>
      <c r="D30" s="102" t="s">
        <v>42</v>
      </c>
      <c r="E30" s="102">
        <v>4.0</v>
      </c>
      <c r="F30" s="102">
        <v>4.0</v>
      </c>
      <c r="G30" s="6">
        <v>44055.0</v>
      </c>
      <c r="H30" s="6">
        <v>44055.0</v>
      </c>
      <c r="I30" s="103">
        <v>1.0</v>
      </c>
      <c r="J30" s="103">
        <v>1.0</v>
      </c>
      <c r="K30" s="103">
        <v>1.0</v>
      </c>
      <c r="L30" s="103">
        <v>1.0</v>
      </c>
      <c r="M30" s="103">
        <v>1.0</v>
      </c>
      <c r="N30" s="103">
        <v>1.0</v>
      </c>
      <c r="O30" s="103">
        <v>1.0</v>
      </c>
      <c r="P30" s="103">
        <v>1.0</v>
      </c>
      <c r="Q30" s="103">
        <v>1.0</v>
      </c>
      <c r="R30" s="103">
        <v>1.0</v>
      </c>
      <c r="S30" s="103">
        <v>1.0</v>
      </c>
      <c r="T30" s="103">
        <v>1.0</v>
      </c>
      <c r="U30" s="103">
        <v>1.0</v>
      </c>
      <c r="V30" s="103">
        <v>1.0</v>
      </c>
      <c r="W30" s="103">
        <v>1.0</v>
      </c>
      <c r="X30" s="103">
        <v>1.0</v>
      </c>
      <c r="Y30" s="103">
        <v>1.0</v>
      </c>
      <c r="Z30" s="103">
        <v>1.0</v>
      </c>
      <c r="AA30" s="103">
        <v>1.0</v>
      </c>
      <c r="AB30" s="103">
        <v>1.0</v>
      </c>
      <c r="AC30" s="103">
        <v>1.0</v>
      </c>
      <c r="AD30" s="103">
        <v>1.0</v>
      </c>
      <c r="AE30" s="103">
        <v>1.0</v>
      </c>
      <c r="AF30" s="103">
        <v>1.0</v>
      </c>
      <c r="AG30" s="103">
        <v>1.0</v>
      </c>
      <c r="AH30" s="103">
        <v>1.0</v>
      </c>
      <c r="AI30" s="103">
        <v>1.0</v>
      </c>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3"/>
      <c r="CE30" s="3"/>
      <c r="CF30" s="3"/>
      <c r="CG30" s="3"/>
      <c r="CH30" s="3"/>
      <c r="CI30" s="3"/>
      <c r="CJ30" s="3"/>
      <c r="CK30" s="3"/>
      <c r="CL30" s="3"/>
      <c r="CM30" s="3"/>
      <c r="CN30" s="3"/>
      <c r="CO30" s="3"/>
      <c r="CP30" s="3"/>
      <c r="CQ30" s="3"/>
      <c r="CR30" s="3"/>
      <c r="CS30" s="3"/>
      <c r="CT30" s="3"/>
      <c r="CU30" s="3"/>
      <c r="CV30" s="3"/>
      <c r="CW30" s="3"/>
    </row>
    <row r="31" ht="15.75" customHeight="1">
      <c r="A31" s="99">
        <v>35.0</v>
      </c>
      <c r="B31" s="100" t="s">
        <v>139</v>
      </c>
      <c r="C31" s="101" t="s">
        <v>86</v>
      </c>
      <c r="D31" s="102" t="s">
        <v>55</v>
      </c>
      <c r="E31" s="102">
        <v>4.0</v>
      </c>
      <c r="F31" s="102">
        <v>4.0</v>
      </c>
      <c r="G31" s="6">
        <v>44010.0</v>
      </c>
      <c r="H31" s="6">
        <v>44011.0</v>
      </c>
      <c r="I31" s="103">
        <v>1.0</v>
      </c>
      <c r="J31" s="103">
        <v>1.0</v>
      </c>
      <c r="K31" s="103">
        <v>1.0</v>
      </c>
      <c r="L31" s="103">
        <v>1.0</v>
      </c>
      <c r="M31" s="103">
        <v>1.0</v>
      </c>
      <c r="N31" s="103">
        <v>1.0</v>
      </c>
      <c r="O31" s="103">
        <v>1.0</v>
      </c>
      <c r="P31" s="103">
        <v>1.0</v>
      </c>
      <c r="Q31" s="103">
        <v>1.0</v>
      </c>
      <c r="R31" s="103">
        <v>1.0</v>
      </c>
      <c r="S31" s="103">
        <v>1.0</v>
      </c>
      <c r="T31" s="103">
        <v>1.0</v>
      </c>
      <c r="U31" s="103">
        <v>1.0</v>
      </c>
      <c r="V31" s="103">
        <v>1.0</v>
      </c>
      <c r="W31" s="103">
        <v>1.0</v>
      </c>
      <c r="X31" s="103">
        <v>1.0</v>
      </c>
      <c r="Y31" s="103">
        <v>1.0</v>
      </c>
      <c r="Z31" s="103">
        <v>1.0</v>
      </c>
      <c r="AA31" s="103">
        <v>1.0</v>
      </c>
      <c r="AB31" s="103">
        <v>1.0</v>
      </c>
      <c r="AC31" s="103">
        <v>1.0</v>
      </c>
      <c r="AD31" s="103">
        <v>1.0</v>
      </c>
      <c r="AE31" s="103">
        <v>1.0</v>
      </c>
      <c r="AF31" s="103">
        <v>1.0</v>
      </c>
      <c r="AG31" s="103">
        <v>1.0</v>
      </c>
      <c r="AH31" s="103">
        <v>1.0</v>
      </c>
      <c r="AI31" s="103">
        <v>1.0</v>
      </c>
      <c r="AJ31" s="103">
        <v>1.0</v>
      </c>
      <c r="AK31" s="103">
        <v>1.0</v>
      </c>
      <c r="AL31" s="103">
        <v>1.0</v>
      </c>
      <c r="AM31" s="103">
        <v>1.0</v>
      </c>
      <c r="AN31" s="103">
        <v>1.0</v>
      </c>
      <c r="AO31" s="103">
        <v>1.0</v>
      </c>
      <c r="AP31" s="103">
        <v>1.0</v>
      </c>
      <c r="AQ31" s="103">
        <v>1.0</v>
      </c>
      <c r="AR31" s="103">
        <v>1.0</v>
      </c>
      <c r="AS31" s="103">
        <v>1.0</v>
      </c>
      <c r="AT31" s="103">
        <v>1.0</v>
      </c>
      <c r="AU31" s="103">
        <v>1.0</v>
      </c>
      <c r="AV31" s="103">
        <v>0.5</v>
      </c>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3"/>
      <c r="CE31" s="3"/>
      <c r="CF31" s="3"/>
      <c r="CG31" s="3"/>
      <c r="CH31" s="3"/>
      <c r="CI31" s="3"/>
      <c r="CJ31" s="3"/>
      <c r="CK31" s="3"/>
      <c r="CL31" s="3"/>
      <c r="CM31" s="3"/>
      <c r="CN31" s="3"/>
      <c r="CO31" s="3"/>
      <c r="CP31" s="3"/>
      <c r="CQ31" s="3"/>
      <c r="CR31" s="3"/>
      <c r="CS31" s="3"/>
      <c r="CT31" s="3"/>
      <c r="CU31" s="3"/>
      <c r="CV31" s="3"/>
      <c r="CW31" s="3"/>
    </row>
    <row r="32" ht="15.75" customHeight="1">
      <c r="A32" s="99">
        <v>36.0</v>
      </c>
      <c r="B32" s="100" t="s">
        <v>140</v>
      </c>
      <c r="C32" s="101" t="s">
        <v>86</v>
      </c>
      <c r="D32" s="102" t="s">
        <v>42</v>
      </c>
      <c r="E32" s="102">
        <v>12.0</v>
      </c>
      <c r="F32" s="102">
        <v>12.0</v>
      </c>
      <c r="G32" s="6">
        <v>44033.0</v>
      </c>
      <c r="H32" s="6">
        <v>44033.0</v>
      </c>
      <c r="I32" s="103">
        <v>1.0</v>
      </c>
      <c r="J32" s="103">
        <v>1.0</v>
      </c>
      <c r="K32" s="103">
        <v>1.0</v>
      </c>
      <c r="L32" s="103">
        <v>1.0</v>
      </c>
      <c r="M32" s="103">
        <v>1.0</v>
      </c>
      <c r="N32" s="103">
        <v>1.0</v>
      </c>
      <c r="O32" s="103">
        <v>1.0</v>
      </c>
      <c r="P32" s="103">
        <v>1.0</v>
      </c>
      <c r="Q32" s="103">
        <v>1.0</v>
      </c>
      <c r="R32" s="103">
        <v>1.0</v>
      </c>
      <c r="S32" s="103">
        <v>1.0</v>
      </c>
      <c r="T32" s="103">
        <v>1.0</v>
      </c>
      <c r="U32" s="103">
        <v>1.0</v>
      </c>
      <c r="V32" s="103">
        <v>1.0</v>
      </c>
      <c r="W32" s="103">
        <v>1.0</v>
      </c>
      <c r="X32" s="103">
        <v>1.0</v>
      </c>
      <c r="Y32" s="103">
        <v>1.0</v>
      </c>
      <c r="Z32" s="103">
        <v>1.0</v>
      </c>
      <c r="AA32" s="103">
        <v>1.0</v>
      </c>
      <c r="AB32" s="103">
        <v>1.0</v>
      </c>
      <c r="AC32" s="103">
        <v>1.0</v>
      </c>
      <c r="AD32" s="103">
        <v>1.0</v>
      </c>
      <c r="AE32" s="103">
        <v>1.0</v>
      </c>
      <c r="AF32" s="103">
        <v>1.0</v>
      </c>
      <c r="AG32" s="103">
        <v>1.0</v>
      </c>
      <c r="AH32" s="103">
        <v>1.0</v>
      </c>
      <c r="AI32" s="103">
        <v>1.0</v>
      </c>
      <c r="AJ32" s="103">
        <v>1.0</v>
      </c>
      <c r="AK32" s="103">
        <v>1.0</v>
      </c>
      <c r="AL32" s="103">
        <v>1.0</v>
      </c>
      <c r="AM32" s="103">
        <v>1.0</v>
      </c>
      <c r="AN32" s="103">
        <v>1.0</v>
      </c>
      <c r="AO32" s="103">
        <v>1.0</v>
      </c>
      <c r="AP32" s="103">
        <v>1.0</v>
      </c>
      <c r="AQ32" s="103">
        <v>1.0</v>
      </c>
      <c r="AR32" s="103">
        <v>1.0</v>
      </c>
      <c r="AS32" s="103">
        <v>1.0</v>
      </c>
      <c r="AT32" s="103">
        <v>1.0</v>
      </c>
      <c r="AU32" s="103">
        <v>1.0</v>
      </c>
      <c r="AV32" s="103">
        <v>1.0</v>
      </c>
      <c r="AW32" s="103">
        <v>1.0</v>
      </c>
      <c r="AX32" s="103">
        <v>1.0</v>
      </c>
      <c r="AY32" s="103">
        <v>1.0</v>
      </c>
      <c r="AZ32" s="103">
        <v>1.0</v>
      </c>
      <c r="BA32" s="103">
        <v>1.0</v>
      </c>
      <c r="BB32" s="103">
        <v>1.0</v>
      </c>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3"/>
      <c r="CE32" s="3"/>
      <c r="CF32" s="3"/>
      <c r="CG32" s="3"/>
      <c r="CH32" s="3"/>
      <c r="CI32" s="3"/>
      <c r="CJ32" s="3"/>
      <c r="CK32" s="3"/>
      <c r="CL32" s="3"/>
      <c r="CM32" s="3"/>
      <c r="CN32" s="3"/>
      <c r="CO32" s="3"/>
      <c r="CP32" s="3"/>
      <c r="CQ32" s="3"/>
      <c r="CR32" s="3"/>
      <c r="CS32" s="3"/>
      <c r="CT32" s="3"/>
      <c r="CU32" s="3"/>
      <c r="CV32" s="3"/>
      <c r="CW32" s="3"/>
    </row>
    <row r="33" ht="15.75" customHeight="1">
      <c r="A33" s="99">
        <v>37.0</v>
      </c>
      <c r="B33" s="100" t="s">
        <v>141</v>
      </c>
      <c r="C33" s="101" t="s">
        <v>86</v>
      </c>
      <c r="D33" s="102" t="s">
        <v>55</v>
      </c>
      <c r="E33" s="102">
        <v>12.0</v>
      </c>
      <c r="F33" s="102">
        <v>12.0</v>
      </c>
      <c r="G33" s="6">
        <v>44033.0</v>
      </c>
      <c r="H33" s="6">
        <v>44033.0</v>
      </c>
      <c r="I33" s="103">
        <v>1.0</v>
      </c>
      <c r="J33" s="103">
        <v>1.0</v>
      </c>
      <c r="K33" s="103">
        <v>1.0</v>
      </c>
      <c r="L33" s="103">
        <v>1.0</v>
      </c>
      <c r="M33" s="103">
        <v>1.0</v>
      </c>
      <c r="N33" s="103">
        <v>1.0</v>
      </c>
      <c r="O33" s="103">
        <v>1.0</v>
      </c>
      <c r="P33" s="103">
        <v>1.0</v>
      </c>
      <c r="Q33" s="103">
        <v>1.0</v>
      </c>
      <c r="R33" s="103">
        <v>1.0</v>
      </c>
      <c r="S33" s="103">
        <v>1.0</v>
      </c>
      <c r="T33" s="103">
        <v>1.0</v>
      </c>
      <c r="U33" s="103">
        <v>1.0</v>
      </c>
      <c r="V33" s="103">
        <v>1.0</v>
      </c>
      <c r="W33" s="103">
        <v>1.0</v>
      </c>
      <c r="X33" s="103">
        <v>1.0</v>
      </c>
      <c r="Y33" s="103">
        <v>1.0</v>
      </c>
      <c r="Z33" s="103">
        <v>1.0</v>
      </c>
      <c r="AA33" s="103">
        <v>1.0</v>
      </c>
      <c r="AB33" s="103">
        <v>1.0</v>
      </c>
      <c r="AC33" s="103">
        <v>1.0</v>
      </c>
      <c r="AD33" s="103">
        <v>1.0</v>
      </c>
      <c r="AE33" s="103">
        <v>1.0</v>
      </c>
      <c r="AF33" s="103">
        <v>1.0</v>
      </c>
      <c r="AG33" s="103">
        <v>1.0</v>
      </c>
      <c r="AH33" s="103">
        <v>1.0</v>
      </c>
      <c r="AI33" s="103">
        <v>1.0</v>
      </c>
      <c r="AJ33" s="103">
        <v>1.0</v>
      </c>
      <c r="AK33" s="103">
        <v>1.0</v>
      </c>
      <c r="AL33" s="103">
        <v>1.0</v>
      </c>
      <c r="AM33" s="103">
        <v>1.0</v>
      </c>
      <c r="AN33" s="103">
        <v>1.0</v>
      </c>
      <c r="AO33" s="103">
        <v>1.0</v>
      </c>
      <c r="AP33" s="103">
        <v>1.0</v>
      </c>
      <c r="AQ33" s="103">
        <v>1.0</v>
      </c>
      <c r="AR33" s="103">
        <v>1.0</v>
      </c>
      <c r="AS33" s="103">
        <v>1.0</v>
      </c>
      <c r="AT33" s="103">
        <v>1.0</v>
      </c>
      <c r="AU33" s="103">
        <v>1.0</v>
      </c>
      <c r="AV33" s="103">
        <v>1.0</v>
      </c>
      <c r="AW33" s="103">
        <v>1.0</v>
      </c>
      <c r="AX33" s="103">
        <v>1.0</v>
      </c>
      <c r="AY33" s="103">
        <v>1.0</v>
      </c>
      <c r="AZ33" s="103">
        <v>1.0</v>
      </c>
      <c r="BA33" s="103">
        <v>1.0</v>
      </c>
      <c r="BB33" s="103">
        <v>1.0</v>
      </c>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3"/>
      <c r="CE33" s="3"/>
      <c r="CF33" s="3"/>
      <c r="CG33" s="3"/>
      <c r="CH33" s="3"/>
      <c r="CI33" s="3"/>
      <c r="CJ33" s="3"/>
      <c r="CK33" s="3"/>
      <c r="CL33" s="3"/>
      <c r="CM33" s="3"/>
      <c r="CN33" s="3"/>
      <c r="CO33" s="3"/>
      <c r="CP33" s="3"/>
      <c r="CQ33" s="3"/>
      <c r="CR33" s="3"/>
      <c r="CS33" s="3"/>
      <c r="CT33" s="3"/>
      <c r="CU33" s="3"/>
      <c r="CV33" s="3"/>
      <c r="CW33" s="3"/>
    </row>
    <row r="34" ht="15.75" customHeight="1">
      <c r="A34" s="99">
        <v>38.0</v>
      </c>
      <c r="B34" s="100" t="s">
        <v>142</v>
      </c>
      <c r="C34" s="101" t="s">
        <v>86</v>
      </c>
      <c r="D34" s="102" t="s">
        <v>42</v>
      </c>
      <c r="E34" s="102">
        <v>4.0</v>
      </c>
      <c r="F34" s="102">
        <v>4.0</v>
      </c>
      <c r="G34" s="6">
        <v>44034.0</v>
      </c>
      <c r="H34" s="6">
        <v>44034.0</v>
      </c>
      <c r="I34" s="103">
        <v>1.0</v>
      </c>
      <c r="J34" s="103">
        <v>1.0</v>
      </c>
      <c r="K34" s="103">
        <v>1.0</v>
      </c>
      <c r="L34" s="103">
        <v>1.0</v>
      </c>
      <c r="M34" s="103">
        <v>1.0</v>
      </c>
      <c r="N34" s="103">
        <v>1.0</v>
      </c>
      <c r="O34" s="103">
        <v>1.0</v>
      </c>
      <c r="P34" s="103">
        <v>1.0</v>
      </c>
      <c r="Q34" s="103">
        <v>1.0</v>
      </c>
      <c r="R34" s="103">
        <v>1.0</v>
      </c>
      <c r="S34" s="103">
        <v>1.0</v>
      </c>
      <c r="T34" s="103">
        <v>1.0</v>
      </c>
      <c r="U34" s="103">
        <v>1.0</v>
      </c>
      <c r="V34" s="103">
        <v>1.0</v>
      </c>
      <c r="W34" s="103">
        <v>1.0</v>
      </c>
      <c r="X34" s="103">
        <v>1.0</v>
      </c>
      <c r="Y34" s="103">
        <v>1.0</v>
      </c>
      <c r="Z34" s="103">
        <v>1.0</v>
      </c>
      <c r="AA34" s="103">
        <v>1.0</v>
      </c>
      <c r="AB34" s="103">
        <v>1.0</v>
      </c>
      <c r="AC34" s="103">
        <v>1.0</v>
      </c>
      <c r="AD34" s="103">
        <v>1.0</v>
      </c>
      <c r="AE34" s="103">
        <v>1.0</v>
      </c>
      <c r="AF34" s="103">
        <v>1.0</v>
      </c>
      <c r="AG34" s="103">
        <v>1.0</v>
      </c>
      <c r="AH34" s="103">
        <v>1.0</v>
      </c>
      <c r="AI34" s="103">
        <v>1.0</v>
      </c>
      <c r="AJ34" s="103">
        <v>1.0</v>
      </c>
      <c r="AK34" s="103">
        <v>1.0</v>
      </c>
      <c r="AL34" s="103">
        <v>1.0</v>
      </c>
      <c r="AM34" s="103">
        <v>1.0</v>
      </c>
      <c r="AN34" s="103">
        <v>1.0</v>
      </c>
      <c r="AO34" s="103">
        <v>1.0</v>
      </c>
      <c r="AP34" s="103">
        <v>1.0</v>
      </c>
      <c r="AQ34" s="103">
        <v>1.0</v>
      </c>
      <c r="AR34" s="103">
        <v>1.0</v>
      </c>
      <c r="AS34" s="103">
        <v>1.0</v>
      </c>
      <c r="AT34" s="103">
        <v>1.0</v>
      </c>
      <c r="AU34" s="103">
        <v>1.0</v>
      </c>
      <c r="AV34" s="103">
        <v>1.0</v>
      </c>
      <c r="AW34" s="103">
        <v>1.0</v>
      </c>
      <c r="AX34" s="103">
        <v>1.0</v>
      </c>
      <c r="AY34" s="103">
        <v>1.0</v>
      </c>
      <c r="AZ34" s="103">
        <v>1.0</v>
      </c>
      <c r="BA34" s="103">
        <v>1.0</v>
      </c>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3"/>
      <c r="CE34" s="3"/>
      <c r="CF34" s="3"/>
      <c r="CG34" s="3"/>
      <c r="CH34" s="3"/>
      <c r="CI34" s="3"/>
      <c r="CJ34" s="3"/>
      <c r="CK34" s="3"/>
      <c r="CL34" s="3"/>
      <c r="CM34" s="3"/>
      <c r="CN34" s="3"/>
      <c r="CO34" s="3"/>
      <c r="CP34" s="3"/>
      <c r="CQ34" s="3"/>
      <c r="CR34" s="3"/>
      <c r="CS34" s="3"/>
      <c r="CT34" s="3"/>
      <c r="CU34" s="3"/>
      <c r="CV34" s="3"/>
      <c r="CW34" s="3"/>
    </row>
    <row r="35" ht="15.75" customHeight="1">
      <c r="A35" s="99">
        <v>39.0</v>
      </c>
      <c r="B35" s="100" t="s">
        <v>143</v>
      </c>
      <c r="C35" s="101" t="s">
        <v>86</v>
      </c>
      <c r="D35" s="102" t="s">
        <v>55</v>
      </c>
      <c r="E35" s="102">
        <v>4.0</v>
      </c>
      <c r="F35" s="102">
        <v>4.0</v>
      </c>
      <c r="G35" s="6">
        <v>44034.0</v>
      </c>
      <c r="H35" s="6">
        <v>44034.0</v>
      </c>
      <c r="I35" s="103">
        <v>1.0</v>
      </c>
      <c r="J35" s="103">
        <v>1.0</v>
      </c>
      <c r="K35" s="103">
        <v>1.0</v>
      </c>
      <c r="L35" s="103">
        <v>1.0</v>
      </c>
      <c r="M35" s="103">
        <v>1.0</v>
      </c>
      <c r="N35" s="103">
        <v>1.0</v>
      </c>
      <c r="O35" s="103">
        <v>1.0</v>
      </c>
      <c r="P35" s="103">
        <v>1.0</v>
      </c>
      <c r="Q35" s="103">
        <v>1.0</v>
      </c>
      <c r="R35" s="103">
        <v>1.0</v>
      </c>
      <c r="S35" s="103">
        <v>1.0</v>
      </c>
      <c r="T35" s="103">
        <v>1.0</v>
      </c>
      <c r="U35" s="103">
        <v>1.0</v>
      </c>
      <c r="V35" s="103">
        <v>1.0</v>
      </c>
      <c r="W35" s="103">
        <v>1.0</v>
      </c>
      <c r="X35" s="103">
        <v>1.0</v>
      </c>
      <c r="Y35" s="103">
        <v>1.0</v>
      </c>
      <c r="Z35" s="103">
        <v>1.0</v>
      </c>
      <c r="AA35" s="103">
        <v>1.0</v>
      </c>
      <c r="AB35" s="103">
        <v>1.0</v>
      </c>
      <c r="AC35" s="103">
        <v>1.0</v>
      </c>
      <c r="AD35" s="103">
        <v>1.0</v>
      </c>
      <c r="AE35" s="103">
        <v>1.0</v>
      </c>
      <c r="AF35" s="103">
        <v>1.0</v>
      </c>
      <c r="AG35" s="103">
        <v>1.0</v>
      </c>
      <c r="AH35" s="103">
        <v>1.0</v>
      </c>
      <c r="AI35" s="103">
        <v>1.0</v>
      </c>
      <c r="AJ35" s="103">
        <v>1.0</v>
      </c>
      <c r="AK35" s="103">
        <v>1.0</v>
      </c>
      <c r="AL35" s="103">
        <v>1.0</v>
      </c>
      <c r="AM35" s="103">
        <v>1.0</v>
      </c>
      <c r="AN35" s="103">
        <v>1.0</v>
      </c>
      <c r="AO35" s="103">
        <v>1.0</v>
      </c>
      <c r="AP35" s="103">
        <v>1.0</v>
      </c>
      <c r="AQ35" s="103">
        <v>1.0</v>
      </c>
      <c r="AR35" s="103">
        <v>1.0</v>
      </c>
      <c r="AS35" s="103">
        <v>1.0</v>
      </c>
      <c r="AT35" s="103">
        <v>1.0</v>
      </c>
      <c r="AU35" s="103">
        <v>1.0</v>
      </c>
      <c r="AV35" s="103">
        <v>1.0</v>
      </c>
      <c r="AW35" s="103">
        <v>1.0</v>
      </c>
      <c r="AX35" s="103">
        <v>1.0</v>
      </c>
      <c r="AY35" s="103">
        <v>1.0</v>
      </c>
      <c r="AZ35" s="103">
        <v>1.0</v>
      </c>
      <c r="BA35" s="103">
        <v>1.0</v>
      </c>
      <c r="BB35" s="103"/>
      <c r="BC35" s="103"/>
      <c r="BD35" s="103"/>
      <c r="BE35" s="103"/>
      <c r="BF35" s="103"/>
      <c r="BG35" s="103"/>
      <c r="BH35" s="103"/>
      <c r="BI35" s="103"/>
      <c r="BJ35" s="103"/>
      <c r="BK35" s="103"/>
      <c r="BL35" s="103"/>
      <c r="BM35" s="103"/>
      <c r="BN35" s="103"/>
      <c r="BO35" s="103"/>
      <c r="BP35" s="103"/>
      <c r="BQ35" s="103"/>
      <c r="BR35" s="103"/>
      <c r="BS35" s="103"/>
      <c r="BT35" s="103"/>
      <c r="BU35" s="103"/>
      <c r="BV35" s="103"/>
      <c r="BW35" s="103"/>
      <c r="BX35" s="103"/>
      <c r="BY35" s="103"/>
      <c r="BZ35" s="103"/>
      <c r="CA35" s="103"/>
      <c r="CB35" s="103"/>
      <c r="CC35" s="103"/>
      <c r="CD35" s="3"/>
      <c r="CE35" s="3"/>
      <c r="CF35" s="3"/>
      <c r="CG35" s="3"/>
      <c r="CH35" s="3"/>
      <c r="CI35" s="3"/>
      <c r="CJ35" s="3"/>
      <c r="CK35" s="3"/>
      <c r="CL35" s="3"/>
      <c r="CM35" s="3"/>
      <c r="CN35" s="3"/>
      <c r="CO35" s="3"/>
      <c r="CP35" s="3"/>
      <c r="CQ35" s="3"/>
      <c r="CR35" s="3"/>
      <c r="CS35" s="3"/>
      <c r="CT35" s="3"/>
      <c r="CU35" s="3"/>
      <c r="CV35" s="3"/>
      <c r="CW35" s="3"/>
    </row>
    <row r="36" ht="15.75" customHeight="1">
      <c r="A36" s="99">
        <v>40.0</v>
      </c>
      <c r="B36" s="100" t="s">
        <v>144</v>
      </c>
      <c r="C36" s="101" t="s">
        <v>86</v>
      </c>
      <c r="D36" s="102" t="s">
        <v>42</v>
      </c>
      <c r="E36" s="102">
        <v>8.0</v>
      </c>
      <c r="F36" s="102">
        <v>8.0</v>
      </c>
      <c r="G36" s="6">
        <v>44076.0</v>
      </c>
      <c r="H36" s="6">
        <v>44076.0</v>
      </c>
      <c r="I36" s="103">
        <v>1.0</v>
      </c>
      <c r="J36" s="103">
        <v>1.0</v>
      </c>
      <c r="K36" s="103">
        <v>1.0</v>
      </c>
      <c r="L36" s="103">
        <v>1.0</v>
      </c>
      <c r="M36" s="103">
        <v>1.0</v>
      </c>
      <c r="N36" s="103">
        <v>1.0</v>
      </c>
      <c r="O36" s="103">
        <v>1.0</v>
      </c>
      <c r="P36" s="103">
        <v>1.0</v>
      </c>
      <c r="Q36" s="103">
        <v>1.0</v>
      </c>
      <c r="R36" s="103">
        <v>1.0</v>
      </c>
      <c r="S36" s="103">
        <v>1.0</v>
      </c>
      <c r="T36" s="103">
        <v>1.0</v>
      </c>
      <c r="U36" s="103">
        <v>1.0</v>
      </c>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c r="BM36" s="103"/>
      <c r="BN36" s="103"/>
      <c r="BO36" s="103"/>
      <c r="BP36" s="103"/>
      <c r="BQ36" s="103"/>
      <c r="BR36" s="103"/>
      <c r="BS36" s="103"/>
      <c r="BT36" s="103"/>
      <c r="BU36" s="103"/>
      <c r="BV36" s="103"/>
      <c r="BW36" s="103"/>
      <c r="BX36" s="103"/>
      <c r="BY36" s="103"/>
      <c r="BZ36" s="103"/>
      <c r="CA36" s="103"/>
      <c r="CB36" s="103"/>
      <c r="CC36" s="103"/>
      <c r="CD36" s="3"/>
      <c r="CE36" s="3"/>
      <c r="CF36" s="3"/>
      <c r="CG36" s="3"/>
      <c r="CH36" s="3"/>
      <c r="CI36" s="3"/>
      <c r="CJ36" s="3"/>
      <c r="CK36" s="3"/>
      <c r="CL36" s="3"/>
      <c r="CM36" s="3"/>
      <c r="CN36" s="3"/>
      <c r="CO36" s="3"/>
      <c r="CP36" s="3"/>
      <c r="CQ36" s="3"/>
      <c r="CR36" s="3"/>
      <c r="CS36" s="3"/>
      <c r="CT36" s="3"/>
      <c r="CU36" s="3"/>
      <c r="CV36" s="3"/>
      <c r="CW36" s="3"/>
    </row>
    <row r="37" ht="15.75" customHeight="1">
      <c r="A37" s="99">
        <v>41.0</v>
      </c>
      <c r="B37" s="100" t="s">
        <v>145</v>
      </c>
      <c r="C37" s="101" t="s">
        <v>86</v>
      </c>
      <c r="D37" s="102" t="s">
        <v>55</v>
      </c>
      <c r="E37" s="102">
        <v>8.0</v>
      </c>
      <c r="F37" s="102">
        <v>8.0</v>
      </c>
      <c r="G37" s="6">
        <v>44054.0</v>
      </c>
      <c r="H37" s="6">
        <v>44054.0</v>
      </c>
      <c r="I37" s="103">
        <v>1.0</v>
      </c>
      <c r="J37" s="103">
        <v>1.0</v>
      </c>
      <c r="K37" s="103">
        <v>1.0</v>
      </c>
      <c r="L37" s="103">
        <v>1.0</v>
      </c>
      <c r="M37" s="103">
        <v>1.0</v>
      </c>
      <c r="N37" s="103">
        <v>1.0</v>
      </c>
      <c r="O37" s="103">
        <v>1.0</v>
      </c>
      <c r="P37" s="103">
        <v>1.0</v>
      </c>
      <c r="Q37" s="103">
        <v>1.0</v>
      </c>
      <c r="R37" s="103">
        <v>1.0</v>
      </c>
      <c r="S37" s="103">
        <v>1.0</v>
      </c>
      <c r="T37" s="103">
        <v>1.0</v>
      </c>
      <c r="U37" s="103">
        <v>1.0</v>
      </c>
      <c r="V37" s="103">
        <v>1.0</v>
      </c>
      <c r="W37" s="103">
        <v>1.0</v>
      </c>
      <c r="X37" s="103">
        <v>1.0</v>
      </c>
      <c r="Y37" s="103">
        <v>1.0</v>
      </c>
      <c r="Z37" s="103">
        <v>1.0</v>
      </c>
      <c r="AA37" s="103">
        <v>1.0</v>
      </c>
      <c r="AB37" s="103">
        <v>1.0</v>
      </c>
      <c r="AC37" s="103">
        <v>1.0</v>
      </c>
      <c r="AD37" s="103">
        <v>1.0</v>
      </c>
      <c r="AE37" s="103">
        <v>1.0</v>
      </c>
      <c r="AF37" s="103">
        <v>1.0</v>
      </c>
      <c r="AG37" s="103">
        <v>1.0</v>
      </c>
      <c r="AH37" s="103">
        <v>1.0</v>
      </c>
      <c r="AI37" s="103">
        <v>1.0</v>
      </c>
      <c r="AJ37" s="103">
        <v>1.0</v>
      </c>
      <c r="AK37" s="103"/>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3"/>
      <c r="CE37" s="3"/>
      <c r="CF37" s="3"/>
      <c r="CG37" s="3"/>
      <c r="CH37" s="3"/>
      <c r="CI37" s="3"/>
      <c r="CJ37" s="3"/>
      <c r="CK37" s="3"/>
      <c r="CL37" s="3"/>
      <c r="CM37" s="3"/>
      <c r="CN37" s="3"/>
      <c r="CO37" s="3"/>
      <c r="CP37" s="3"/>
      <c r="CQ37" s="3"/>
      <c r="CR37" s="3"/>
      <c r="CS37" s="3"/>
      <c r="CT37" s="3"/>
      <c r="CU37" s="3"/>
      <c r="CV37" s="3"/>
      <c r="CW37" s="3"/>
    </row>
    <row r="38" ht="15.75" customHeight="1">
      <c r="A38" s="99">
        <v>42.0</v>
      </c>
      <c r="B38" s="100" t="s">
        <v>146</v>
      </c>
      <c r="C38" s="101" t="s">
        <v>86</v>
      </c>
      <c r="D38" s="102" t="s">
        <v>42</v>
      </c>
      <c r="E38" s="102">
        <v>4.0</v>
      </c>
      <c r="F38" s="102">
        <v>4.0</v>
      </c>
      <c r="G38" s="6">
        <v>44050.0</v>
      </c>
      <c r="H38" s="6">
        <v>44050.0</v>
      </c>
      <c r="I38" s="103">
        <v>1.0</v>
      </c>
      <c r="J38" s="103">
        <v>1.0</v>
      </c>
      <c r="K38" s="103">
        <v>1.0</v>
      </c>
      <c r="L38" s="103">
        <v>1.0</v>
      </c>
      <c r="M38" s="103">
        <v>1.0</v>
      </c>
      <c r="N38" s="103">
        <v>1.0</v>
      </c>
      <c r="O38" s="103">
        <v>1.0</v>
      </c>
      <c r="P38" s="103">
        <v>1.0</v>
      </c>
      <c r="Q38" s="103">
        <v>1.0</v>
      </c>
      <c r="R38" s="103">
        <v>1.0</v>
      </c>
      <c r="S38" s="103">
        <v>1.0</v>
      </c>
      <c r="T38" s="103">
        <v>1.0</v>
      </c>
      <c r="U38" s="103">
        <v>1.0</v>
      </c>
      <c r="V38" s="103">
        <v>1.0</v>
      </c>
      <c r="W38" s="103">
        <v>1.0</v>
      </c>
      <c r="X38" s="103">
        <v>1.0</v>
      </c>
      <c r="Y38" s="103">
        <v>1.0</v>
      </c>
      <c r="Z38" s="103">
        <v>1.0</v>
      </c>
      <c r="AA38" s="103">
        <v>1.0</v>
      </c>
      <c r="AB38" s="103">
        <v>1.0</v>
      </c>
      <c r="AC38" s="103">
        <v>1.0</v>
      </c>
      <c r="AD38" s="103">
        <v>1.0</v>
      </c>
      <c r="AE38" s="103">
        <v>1.0</v>
      </c>
      <c r="AF38" s="103">
        <v>1.0</v>
      </c>
      <c r="AG38" s="103">
        <v>1.0</v>
      </c>
      <c r="AH38" s="103">
        <v>1.0</v>
      </c>
      <c r="AI38" s="103">
        <v>1.0</v>
      </c>
      <c r="AJ38" s="103">
        <v>1.0</v>
      </c>
      <c r="AK38" s="103">
        <v>1.0</v>
      </c>
      <c r="AL38" s="103">
        <v>1.0</v>
      </c>
      <c r="AM38" s="103">
        <v>1.0</v>
      </c>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3"/>
      <c r="CE38" s="3"/>
      <c r="CF38" s="3"/>
      <c r="CG38" s="3"/>
      <c r="CH38" s="3"/>
      <c r="CI38" s="3"/>
      <c r="CJ38" s="3"/>
      <c r="CK38" s="3"/>
      <c r="CL38" s="3"/>
      <c r="CM38" s="3"/>
      <c r="CN38" s="3"/>
      <c r="CO38" s="3"/>
      <c r="CP38" s="3"/>
      <c r="CQ38" s="3"/>
      <c r="CR38" s="3"/>
      <c r="CS38" s="3"/>
      <c r="CT38" s="3"/>
      <c r="CU38" s="3"/>
      <c r="CV38" s="3"/>
      <c r="CW38" s="3"/>
    </row>
    <row r="39" ht="15.75" customHeight="1">
      <c r="A39" s="99">
        <v>43.0</v>
      </c>
      <c r="B39" s="100" t="s">
        <v>147</v>
      </c>
      <c r="C39" s="101" t="s">
        <v>86</v>
      </c>
      <c r="D39" s="102" t="s">
        <v>55</v>
      </c>
      <c r="E39" s="102">
        <v>4.0</v>
      </c>
      <c r="F39" s="102">
        <v>4.0</v>
      </c>
      <c r="G39" s="6">
        <v>44055.0</v>
      </c>
      <c r="H39" s="6">
        <v>44055.0</v>
      </c>
      <c r="I39" s="103">
        <v>1.0</v>
      </c>
      <c r="J39" s="103">
        <v>1.0</v>
      </c>
      <c r="K39" s="103">
        <v>1.0</v>
      </c>
      <c r="L39" s="103">
        <v>1.0</v>
      </c>
      <c r="M39" s="103">
        <v>1.0</v>
      </c>
      <c r="N39" s="103">
        <v>1.0</v>
      </c>
      <c r="O39" s="103">
        <v>1.0</v>
      </c>
      <c r="P39" s="103">
        <v>1.0</v>
      </c>
      <c r="Q39" s="103">
        <v>1.0</v>
      </c>
      <c r="R39" s="103">
        <v>1.0</v>
      </c>
      <c r="S39" s="103">
        <v>1.0</v>
      </c>
      <c r="T39" s="103">
        <v>1.0</v>
      </c>
      <c r="U39" s="103">
        <v>1.0</v>
      </c>
      <c r="V39" s="103">
        <v>1.0</v>
      </c>
      <c r="W39" s="103">
        <v>1.0</v>
      </c>
      <c r="X39" s="103">
        <v>1.0</v>
      </c>
      <c r="Y39" s="103">
        <v>1.0</v>
      </c>
      <c r="Z39" s="103">
        <v>1.0</v>
      </c>
      <c r="AA39" s="103">
        <v>1.0</v>
      </c>
      <c r="AB39" s="103">
        <v>1.0</v>
      </c>
      <c r="AC39" s="103">
        <v>1.0</v>
      </c>
      <c r="AD39" s="103">
        <v>1.0</v>
      </c>
      <c r="AE39" s="103">
        <v>1.0</v>
      </c>
      <c r="AF39" s="103">
        <v>1.0</v>
      </c>
      <c r="AG39" s="103">
        <v>1.0</v>
      </c>
      <c r="AH39" s="103">
        <v>1.0</v>
      </c>
      <c r="AI39" s="103">
        <v>1.0</v>
      </c>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3"/>
      <c r="CE39" s="3"/>
      <c r="CF39" s="3"/>
      <c r="CG39" s="3"/>
      <c r="CH39" s="3"/>
      <c r="CI39" s="3"/>
      <c r="CJ39" s="3"/>
      <c r="CK39" s="3"/>
      <c r="CL39" s="3"/>
      <c r="CM39" s="3"/>
      <c r="CN39" s="3"/>
      <c r="CO39" s="3"/>
      <c r="CP39" s="3"/>
      <c r="CQ39" s="3"/>
      <c r="CR39" s="3"/>
      <c r="CS39" s="3"/>
      <c r="CT39" s="3"/>
      <c r="CU39" s="3"/>
      <c r="CV39" s="3"/>
      <c r="CW39" s="3"/>
    </row>
    <row r="40" ht="15.75" customHeight="1">
      <c r="A40" s="99">
        <v>44.0</v>
      </c>
      <c r="B40" s="100" t="s">
        <v>148</v>
      </c>
      <c r="C40" s="101" t="s">
        <v>86</v>
      </c>
      <c r="D40" s="102" t="s">
        <v>42</v>
      </c>
      <c r="E40" s="102">
        <v>16.0</v>
      </c>
      <c r="F40" s="102">
        <v>16.0</v>
      </c>
      <c r="G40" s="6">
        <v>44077.0</v>
      </c>
      <c r="H40" s="6">
        <v>44078.0</v>
      </c>
      <c r="I40" s="103">
        <v>1.0</v>
      </c>
      <c r="J40" s="103">
        <v>1.0</v>
      </c>
      <c r="K40" s="103">
        <v>1.0</v>
      </c>
      <c r="L40" s="103">
        <v>1.0</v>
      </c>
      <c r="M40" s="103">
        <v>1.0</v>
      </c>
      <c r="N40" s="103">
        <v>1.0</v>
      </c>
      <c r="O40" s="103">
        <v>1.0</v>
      </c>
      <c r="P40" s="103">
        <v>1.0</v>
      </c>
      <c r="Q40" s="103">
        <v>1.0</v>
      </c>
      <c r="R40" s="103">
        <v>1.0</v>
      </c>
      <c r="S40" s="103">
        <v>1.0</v>
      </c>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3"/>
      <c r="CE40" s="3"/>
      <c r="CF40" s="3"/>
      <c r="CG40" s="3"/>
      <c r="CH40" s="3"/>
      <c r="CI40" s="3"/>
      <c r="CJ40" s="3"/>
      <c r="CK40" s="3"/>
      <c r="CL40" s="3"/>
      <c r="CM40" s="3"/>
      <c r="CN40" s="3"/>
      <c r="CO40" s="3"/>
      <c r="CP40" s="3"/>
      <c r="CQ40" s="3"/>
      <c r="CR40" s="3"/>
      <c r="CS40" s="3"/>
      <c r="CT40" s="3"/>
      <c r="CU40" s="3"/>
      <c r="CV40" s="3"/>
      <c r="CW40" s="3"/>
    </row>
    <row r="41" ht="15.75" customHeight="1">
      <c r="A41" s="99">
        <v>45.0</v>
      </c>
      <c r="B41" s="100" t="s">
        <v>149</v>
      </c>
      <c r="C41" s="101" t="s">
        <v>86</v>
      </c>
      <c r="D41" s="102" t="s">
        <v>55</v>
      </c>
      <c r="E41" s="102">
        <v>16.0</v>
      </c>
      <c r="F41" s="102">
        <v>16.0</v>
      </c>
      <c r="G41" s="6">
        <v>44055.0</v>
      </c>
      <c r="H41" s="6">
        <v>44078.0</v>
      </c>
      <c r="I41" s="103">
        <v>1.0</v>
      </c>
      <c r="J41" s="103">
        <v>1.0</v>
      </c>
      <c r="K41" s="103">
        <v>1.0</v>
      </c>
      <c r="L41" s="103">
        <v>1.0</v>
      </c>
      <c r="M41" s="103">
        <v>1.0</v>
      </c>
      <c r="N41" s="103">
        <v>1.0</v>
      </c>
      <c r="O41" s="103">
        <v>1.0</v>
      </c>
      <c r="P41" s="103">
        <v>1.0</v>
      </c>
      <c r="Q41" s="103">
        <v>1.0</v>
      </c>
      <c r="R41" s="103">
        <v>1.0</v>
      </c>
      <c r="S41" s="103">
        <v>1.0</v>
      </c>
      <c r="T41" s="103">
        <v>0.2</v>
      </c>
      <c r="U41" s="103">
        <v>0.2</v>
      </c>
      <c r="V41" s="103">
        <v>0.2</v>
      </c>
      <c r="W41" s="103">
        <v>0.2</v>
      </c>
      <c r="X41" s="103">
        <v>0.2</v>
      </c>
      <c r="Y41" s="103">
        <v>0.2</v>
      </c>
      <c r="Z41" s="103">
        <v>0.2</v>
      </c>
      <c r="AA41" s="103">
        <v>0.2</v>
      </c>
      <c r="AB41" s="103">
        <v>0.2</v>
      </c>
      <c r="AC41" s="103">
        <v>0.2</v>
      </c>
      <c r="AD41" s="103">
        <v>0.2</v>
      </c>
      <c r="AE41" s="103">
        <v>0.2</v>
      </c>
      <c r="AF41" s="103">
        <v>0.2</v>
      </c>
      <c r="AG41" s="103">
        <v>0.2</v>
      </c>
      <c r="AH41" s="103">
        <v>0.2</v>
      </c>
      <c r="AI41" s="103">
        <v>0.2</v>
      </c>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3"/>
      <c r="CE41" s="3"/>
      <c r="CF41" s="3"/>
      <c r="CG41" s="3"/>
      <c r="CH41" s="3"/>
      <c r="CI41" s="3"/>
      <c r="CJ41" s="3"/>
      <c r="CK41" s="3"/>
      <c r="CL41" s="3"/>
      <c r="CM41" s="3"/>
      <c r="CN41" s="3"/>
      <c r="CO41" s="3"/>
      <c r="CP41" s="3"/>
      <c r="CQ41" s="3"/>
      <c r="CR41" s="3"/>
      <c r="CS41" s="3"/>
      <c r="CT41" s="3"/>
      <c r="CU41" s="3"/>
      <c r="CV41" s="3"/>
      <c r="CW41" s="3"/>
    </row>
    <row r="42" ht="15.75" customHeight="1">
      <c r="A42" s="99">
        <v>46.0</v>
      </c>
      <c r="B42" s="100" t="s">
        <v>150</v>
      </c>
      <c r="C42" s="101" t="s">
        <v>86</v>
      </c>
      <c r="D42" s="102" t="s">
        <v>42</v>
      </c>
      <c r="E42" s="102">
        <v>20.0</v>
      </c>
      <c r="F42" s="102">
        <v>24.0</v>
      </c>
      <c r="G42" s="6">
        <v>44083.0</v>
      </c>
      <c r="H42" s="6">
        <v>44085.0</v>
      </c>
      <c r="I42" s="103">
        <v>1.0</v>
      </c>
      <c r="J42" s="103">
        <v>1.0</v>
      </c>
      <c r="K42" s="103">
        <v>1.0</v>
      </c>
      <c r="L42" s="103">
        <v>1.0</v>
      </c>
      <c r="M42" s="103">
        <v>1.0</v>
      </c>
      <c r="N42" s="103">
        <v>0.6</v>
      </c>
      <c r="O42" s="103">
        <v>0.3</v>
      </c>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3"/>
      <c r="CE42" s="3"/>
      <c r="CF42" s="3"/>
      <c r="CG42" s="3"/>
      <c r="CH42" s="3"/>
      <c r="CI42" s="3"/>
      <c r="CJ42" s="3"/>
      <c r="CK42" s="3"/>
      <c r="CL42" s="3"/>
      <c r="CM42" s="3"/>
      <c r="CN42" s="3"/>
      <c r="CO42" s="3"/>
      <c r="CP42" s="3"/>
      <c r="CQ42" s="3"/>
      <c r="CR42" s="3"/>
      <c r="CS42" s="3"/>
      <c r="CT42" s="3"/>
      <c r="CU42" s="3"/>
      <c r="CV42" s="3"/>
      <c r="CW42" s="3"/>
    </row>
    <row r="43" ht="15.75" customHeight="1">
      <c r="A43" s="99">
        <v>47.0</v>
      </c>
      <c r="B43" s="100" t="s">
        <v>150</v>
      </c>
      <c r="C43" s="101" t="s">
        <v>86</v>
      </c>
      <c r="D43" s="102" t="s">
        <v>55</v>
      </c>
      <c r="E43" s="102">
        <v>20.0</v>
      </c>
      <c r="F43" s="102">
        <v>24.0</v>
      </c>
      <c r="G43" s="6">
        <v>44083.0</v>
      </c>
      <c r="H43" s="6">
        <v>44085.0</v>
      </c>
      <c r="I43" s="103">
        <v>1.0</v>
      </c>
      <c r="J43" s="103">
        <v>1.0</v>
      </c>
      <c r="K43" s="103">
        <v>1.0</v>
      </c>
      <c r="L43" s="103">
        <v>1.0</v>
      </c>
      <c r="M43" s="103">
        <v>1.0</v>
      </c>
      <c r="N43" s="103">
        <v>0.6</v>
      </c>
      <c r="O43" s="103">
        <v>0.3</v>
      </c>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3"/>
      <c r="CE43" s="3"/>
      <c r="CF43" s="3"/>
      <c r="CG43" s="3"/>
      <c r="CH43" s="3"/>
      <c r="CI43" s="3"/>
      <c r="CJ43" s="3"/>
      <c r="CK43" s="3"/>
      <c r="CL43" s="3"/>
      <c r="CM43" s="3"/>
      <c r="CN43" s="3"/>
      <c r="CO43" s="3"/>
      <c r="CP43" s="3"/>
      <c r="CQ43" s="3"/>
      <c r="CR43" s="3"/>
      <c r="CS43" s="3"/>
      <c r="CT43" s="3"/>
      <c r="CU43" s="3"/>
      <c r="CV43" s="3"/>
      <c r="CW43" s="3"/>
    </row>
    <row r="44" ht="15.75" customHeight="1">
      <c r="A44" s="119" t="s">
        <v>151</v>
      </c>
      <c r="B44" s="120"/>
      <c r="C44" s="121"/>
      <c r="D44" s="122"/>
      <c r="E44" s="122"/>
      <c r="F44" s="122"/>
      <c r="G44" s="6"/>
      <c r="H44" s="6"/>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3"/>
      <c r="CE44" s="3"/>
      <c r="CF44" s="3"/>
      <c r="CG44" s="3"/>
      <c r="CH44" s="3"/>
      <c r="CI44" s="3"/>
      <c r="CJ44" s="3"/>
      <c r="CK44" s="3"/>
      <c r="CL44" s="3"/>
      <c r="CM44" s="3"/>
      <c r="CN44" s="3"/>
      <c r="CO44" s="3"/>
      <c r="CP44" s="3"/>
      <c r="CQ44" s="3"/>
      <c r="CR44" s="3"/>
      <c r="CS44" s="3"/>
      <c r="CT44" s="3"/>
      <c r="CU44" s="3"/>
      <c r="CV44" s="3"/>
      <c r="CW44" s="3"/>
    </row>
    <row r="45" ht="15.75" customHeight="1">
      <c r="A45" s="99">
        <v>47.0</v>
      </c>
      <c r="B45" s="100" t="s">
        <v>152</v>
      </c>
      <c r="C45" s="101" t="s">
        <v>86</v>
      </c>
      <c r="D45" s="102" t="s">
        <v>51</v>
      </c>
      <c r="E45" s="102">
        <v>8.0</v>
      </c>
      <c r="F45" s="102">
        <v>9.0</v>
      </c>
      <c r="G45" s="6">
        <v>44004.0</v>
      </c>
      <c r="H45" s="6">
        <v>44004.0</v>
      </c>
      <c r="I45" s="103">
        <v>1.0</v>
      </c>
      <c r="J45" s="103">
        <v>1.0</v>
      </c>
      <c r="K45" s="103">
        <v>1.0</v>
      </c>
      <c r="L45" s="103">
        <v>1.0</v>
      </c>
      <c r="M45" s="103">
        <v>1.0</v>
      </c>
      <c r="N45" s="103">
        <v>1.0</v>
      </c>
      <c r="O45" s="103">
        <v>1.0</v>
      </c>
      <c r="P45" s="103">
        <v>1.0</v>
      </c>
      <c r="Q45" s="103">
        <v>1.0</v>
      </c>
      <c r="R45" s="103">
        <v>1.0</v>
      </c>
      <c r="S45" s="103">
        <v>1.0</v>
      </c>
      <c r="T45" s="103">
        <v>1.0</v>
      </c>
      <c r="U45" s="103">
        <v>1.0</v>
      </c>
      <c r="V45" s="103">
        <v>1.0</v>
      </c>
      <c r="W45" s="103">
        <v>1.0</v>
      </c>
      <c r="X45" s="103">
        <v>1.0</v>
      </c>
      <c r="Y45" s="103">
        <v>1.0</v>
      </c>
      <c r="Z45" s="103">
        <v>1.0</v>
      </c>
      <c r="AA45" s="103">
        <v>1.0</v>
      </c>
      <c r="AB45" s="103">
        <v>1.0</v>
      </c>
      <c r="AC45" s="103">
        <v>1.0</v>
      </c>
      <c r="AD45" s="103">
        <v>1.0</v>
      </c>
      <c r="AE45" s="103">
        <v>1.0</v>
      </c>
      <c r="AF45" s="103">
        <v>1.0</v>
      </c>
      <c r="AG45" s="103">
        <v>1.0</v>
      </c>
      <c r="AH45" s="103">
        <v>1.0</v>
      </c>
      <c r="AI45" s="103">
        <v>1.0</v>
      </c>
      <c r="AJ45" s="103">
        <v>1.0</v>
      </c>
      <c r="AK45" s="103">
        <v>1.0</v>
      </c>
      <c r="AL45" s="103">
        <v>1.0</v>
      </c>
      <c r="AM45" s="103">
        <v>1.0</v>
      </c>
      <c r="AN45" s="103">
        <v>1.0</v>
      </c>
      <c r="AO45" s="103">
        <v>1.0</v>
      </c>
      <c r="AP45" s="103">
        <v>1.0</v>
      </c>
      <c r="AQ45" s="103">
        <v>1.0</v>
      </c>
      <c r="AR45" s="103">
        <v>1.0</v>
      </c>
      <c r="AS45" s="103">
        <v>1.0</v>
      </c>
      <c r="AT45" s="103">
        <v>1.0</v>
      </c>
      <c r="AU45" s="103">
        <v>1.0</v>
      </c>
      <c r="AV45" s="103">
        <v>1.0</v>
      </c>
      <c r="AW45" s="103">
        <v>1.0</v>
      </c>
      <c r="AX45" s="103">
        <v>1.0</v>
      </c>
      <c r="AY45" s="103">
        <v>1.0</v>
      </c>
      <c r="AZ45" s="103">
        <v>1.0</v>
      </c>
      <c r="BA45" s="103">
        <v>1.0</v>
      </c>
      <c r="BB45" s="103">
        <v>1.0</v>
      </c>
      <c r="BC45" s="103">
        <v>1.0</v>
      </c>
      <c r="BD45" s="103">
        <v>1.0</v>
      </c>
      <c r="BE45" s="103">
        <v>1.0</v>
      </c>
      <c r="BF45" s="103">
        <v>1.0</v>
      </c>
      <c r="BG45" s="103">
        <v>1.0</v>
      </c>
      <c r="BH45" s="103">
        <v>1.0</v>
      </c>
      <c r="BI45" s="103">
        <v>1.0</v>
      </c>
      <c r="BJ45" s="103">
        <v>1.0</v>
      </c>
      <c r="BK45" s="103">
        <v>1.0</v>
      </c>
      <c r="BL45" s="103">
        <v>1.0</v>
      </c>
      <c r="BM45" s="103">
        <v>1.0</v>
      </c>
      <c r="BN45" s="103">
        <v>1.0</v>
      </c>
      <c r="BO45" s="103">
        <v>1.0</v>
      </c>
      <c r="BP45" s="103">
        <v>1.0</v>
      </c>
      <c r="BQ45" s="103">
        <v>1.0</v>
      </c>
      <c r="BR45" s="103">
        <v>1.0</v>
      </c>
      <c r="BS45" s="103">
        <v>1.0</v>
      </c>
      <c r="BT45" s="103">
        <v>1.0</v>
      </c>
      <c r="BU45" s="103">
        <v>1.0</v>
      </c>
      <c r="BV45" s="103">
        <v>1.0</v>
      </c>
      <c r="BW45" s="103">
        <v>1.0</v>
      </c>
      <c r="BX45" s="103">
        <v>1.0</v>
      </c>
      <c r="BY45" s="103">
        <v>1.0</v>
      </c>
      <c r="BZ45" s="103"/>
      <c r="CA45" s="103"/>
      <c r="CB45" s="103"/>
      <c r="CC45" s="103"/>
      <c r="CD45" s="3"/>
      <c r="CE45" s="3"/>
      <c r="CF45" s="3"/>
      <c r="CG45" s="3"/>
      <c r="CH45" s="3"/>
      <c r="CI45" s="3"/>
      <c r="CJ45" s="3"/>
      <c r="CK45" s="3"/>
      <c r="CL45" s="3"/>
      <c r="CM45" s="3"/>
      <c r="CN45" s="3"/>
      <c r="CO45" s="3"/>
      <c r="CP45" s="3"/>
      <c r="CQ45" s="3"/>
      <c r="CR45" s="3"/>
      <c r="CS45" s="3"/>
      <c r="CT45" s="3"/>
      <c r="CU45" s="3"/>
      <c r="CV45" s="3"/>
      <c r="CW45" s="3"/>
    </row>
    <row r="46" ht="15.75" customHeight="1">
      <c r="A46" s="99">
        <v>48.0</v>
      </c>
      <c r="B46" s="100" t="s">
        <v>153</v>
      </c>
      <c r="C46" s="101" t="s">
        <v>86</v>
      </c>
      <c r="D46" s="102" t="s">
        <v>51</v>
      </c>
      <c r="E46" s="102">
        <v>8.0</v>
      </c>
      <c r="F46" s="102">
        <v>9.0</v>
      </c>
      <c r="G46" s="6">
        <v>44006.0</v>
      </c>
      <c r="H46" s="6">
        <v>44006.0</v>
      </c>
      <c r="I46" s="103">
        <v>1.0</v>
      </c>
      <c r="J46" s="103">
        <v>1.0</v>
      </c>
      <c r="K46" s="103">
        <v>1.0</v>
      </c>
      <c r="L46" s="103">
        <v>1.0</v>
      </c>
      <c r="M46" s="103">
        <v>1.0</v>
      </c>
      <c r="N46" s="103">
        <v>1.0</v>
      </c>
      <c r="O46" s="103">
        <v>1.0</v>
      </c>
      <c r="P46" s="103">
        <v>1.0</v>
      </c>
      <c r="Q46" s="103">
        <v>1.0</v>
      </c>
      <c r="R46" s="103">
        <v>1.0</v>
      </c>
      <c r="S46" s="103">
        <v>1.0</v>
      </c>
      <c r="T46" s="103">
        <v>1.0</v>
      </c>
      <c r="U46" s="103">
        <v>1.0</v>
      </c>
      <c r="V46" s="103">
        <v>1.0</v>
      </c>
      <c r="W46" s="103">
        <v>1.0</v>
      </c>
      <c r="X46" s="103">
        <v>1.0</v>
      </c>
      <c r="Y46" s="103">
        <v>1.0</v>
      </c>
      <c r="Z46" s="103">
        <v>1.0</v>
      </c>
      <c r="AA46" s="103">
        <v>1.0</v>
      </c>
      <c r="AB46" s="103">
        <v>1.0</v>
      </c>
      <c r="AC46" s="103">
        <v>1.0</v>
      </c>
      <c r="AD46" s="103">
        <v>1.0</v>
      </c>
      <c r="AE46" s="103">
        <v>1.0</v>
      </c>
      <c r="AF46" s="103">
        <v>1.0</v>
      </c>
      <c r="AG46" s="103">
        <v>1.0</v>
      </c>
      <c r="AH46" s="103">
        <v>1.0</v>
      </c>
      <c r="AI46" s="103">
        <v>1.0</v>
      </c>
      <c r="AJ46" s="103">
        <v>1.0</v>
      </c>
      <c r="AK46" s="103">
        <v>1.0</v>
      </c>
      <c r="AL46" s="103">
        <v>1.0</v>
      </c>
      <c r="AM46" s="103">
        <v>1.0</v>
      </c>
      <c r="AN46" s="103">
        <v>1.0</v>
      </c>
      <c r="AO46" s="103">
        <v>1.0</v>
      </c>
      <c r="AP46" s="103">
        <v>1.0</v>
      </c>
      <c r="AQ46" s="103">
        <v>1.0</v>
      </c>
      <c r="AR46" s="103">
        <v>1.0</v>
      </c>
      <c r="AS46" s="103">
        <v>1.0</v>
      </c>
      <c r="AT46" s="103">
        <v>1.0</v>
      </c>
      <c r="AU46" s="103">
        <v>1.0</v>
      </c>
      <c r="AV46" s="103">
        <v>1.0</v>
      </c>
      <c r="AW46" s="103">
        <v>1.0</v>
      </c>
      <c r="AX46" s="103">
        <v>1.0</v>
      </c>
      <c r="AY46" s="103">
        <v>1.0</v>
      </c>
      <c r="AZ46" s="103">
        <v>1.0</v>
      </c>
      <c r="BA46" s="103">
        <v>1.0</v>
      </c>
      <c r="BB46" s="103">
        <v>1.0</v>
      </c>
      <c r="BC46" s="103">
        <v>1.0</v>
      </c>
      <c r="BD46" s="103">
        <v>1.0</v>
      </c>
      <c r="BE46" s="103">
        <v>1.0</v>
      </c>
      <c r="BF46" s="103">
        <v>1.0</v>
      </c>
      <c r="BG46" s="103">
        <v>1.0</v>
      </c>
      <c r="BH46" s="103">
        <v>1.0</v>
      </c>
      <c r="BI46" s="103">
        <v>1.0</v>
      </c>
      <c r="BJ46" s="103">
        <v>1.0</v>
      </c>
      <c r="BK46" s="103">
        <v>1.0</v>
      </c>
      <c r="BL46" s="103">
        <v>1.0</v>
      </c>
      <c r="BM46" s="103">
        <v>1.0</v>
      </c>
      <c r="BN46" s="103">
        <v>1.0</v>
      </c>
      <c r="BO46" s="103">
        <v>1.0</v>
      </c>
      <c r="BP46" s="103">
        <v>1.0</v>
      </c>
      <c r="BQ46" s="103">
        <v>1.0</v>
      </c>
      <c r="BR46" s="103">
        <v>1.0</v>
      </c>
      <c r="BS46" s="103">
        <v>1.0</v>
      </c>
      <c r="BT46" s="103">
        <v>1.0</v>
      </c>
      <c r="BU46" s="103">
        <v>1.0</v>
      </c>
      <c r="BV46" s="103">
        <v>1.0</v>
      </c>
      <c r="BW46" s="103">
        <v>1.0</v>
      </c>
      <c r="BX46" s="103"/>
      <c r="BY46" s="103"/>
      <c r="BZ46" s="103"/>
      <c r="CA46" s="103"/>
      <c r="CB46" s="103"/>
      <c r="CC46" s="103"/>
      <c r="CD46" s="3"/>
      <c r="CE46" s="3"/>
      <c r="CF46" s="3"/>
      <c r="CG46" s="3"/>
      <c r="CH46" s="3"/>
      <c r="CI46" s="3"/>
      <c r="CJ46" s="3"/>
      <c r="CK46" s="3"/>
      <c r="CL46" s="3"/>
      <c r="CM46" s="3"/>
      <c r="CN46" s="3"/>
      <c r="CO46" s="3"/>
      <c r="CP46" s="3"/>
      <c r="CQ46" s="3"/>
      <c r="CR46" s="3"/>
      <c r="CS46" s="3"/>
      <c r="CT46" s="3"/>
      <c r="CU46" s="3"/>
      <c r="CV46" s="3"/>
      <c r="CW46" s="3"/>
    </row>
    <row r="47" ht="15.75" customHeight="1">
      <c r="A47" s="99">
        <v>49.0</v>
      </c>
      <c r="B47" s="100" t="s">
        <v>154</v>
      </c>
      <c r="C47" s="101" t="s">
        <v>86</v>
      </c>
      <c r="D47" s="102" t="s">
        <v>51</v>
      </c>
      <c r="E47" s="102">
        <v>8.0</v>
      </c>
      <c r="F47" s="102">
        <v>9.0</v>
      </c>
      <c r="G47" s="6">
        <v>44007.0</v>
      </c>
      <c r="H47" s="6">
        <v>44007.0</v>
      </c>
      <c r="I47" s="103">
        <v>1.0</v>
      </c>
      <c r="J47" s="103">
        <v>1.0</v>
      </c>
      <c r="K47" s="103">
        <v>1.0</v>
      </c>
      <c r="L47" s="103">
        <v>1.0</v>
      </c>
      <c r="M47" s="103">
        <v>1.0</v>
      </c>
      <c r="N47" s="103">
        <v>1.0</v>
      </c>
      <c r="O47" s="103">
        <v>1.0</v>
      </c>
      <c r="P47" s="103">
        <v>1.0</v>
      </c>
      <c r="Q47" s="103">
        <v>1.0</v>
      </c>
      <c r="R47" s="103">
        <v>1.0</v>
      </c>
      <c r="S47" s="103">
        <v>1.0</v>
      </c>
      <c r="T47" s="103">
        <v>1.0</v>
      </c>
      <c r="U47" s="103">
        <v>1.0</v>
      </c>
      <c r="V47" s="103">
        <v>1.0</v>
      </c>
      <c r="W47" s="103">
        <v>1.0</v>
      </c>
      <c r="X47" s="103">
        <v>1.0</v>
      </c>
      <c r="Y47" s="103">
        <v>1.0</v>
      </c>
      <c r="Z47" s="103">
        <v>1.0</v>
      </c>
      <c r="AA47" s="103">
        <v>1.0</v>
      </c>
      <c r="AB47" s="103">
        <v>1.0</v>
      </c>
      <c r="AC47" s="103">
        <v>1.0</v>
      </c>
      <c r="AD47" s="103">
        <v>1.0</v>
      </c>
      <c r="AE47" s="103">
        <v>1.0</v>
      </c>
      <c r="AF47" s="103">
        <v>1.0</v>
      </c>
      <c r="AG47" s="103">
        <v>1.0</v>
      </c>
      <c r="AH47" s="103">
        <v>1.0</v>
      </c>
      <c r="AI47" s="103">
        <v>1.0</v>
      </c>
      <c r="AJ47" s="103">
        <v>1.0</v>
      </c>
      <c r="AK47" s="103">
        <v>1.0</v>
      </c>
      <c r="AL47" s="103">
        <v>1.0</v>
      </c>
      <c r="AM47" s="103">
        <v>1.0</v>
      </c>
      <c r="AN47" s="103">
        <v>1.0</v>
      </c>
      <c r="AO47" s="103">
        <v>1.0</v>
      </c>
      <c r="AP47" s="103">
        <v>1.0</v>
      </c>
      <c r="AQ47" s="103">
        <v>1.0</v>
      </c>
      <c r="AR47" s="103">
        <v>1.0</v>
      </c>
      <c r="AS47" s="103">
        <v>1.0</v>
      </c>
      <c r="AT47" s="103">
        <v>1.0</v>
      </c>
      <c r="AU47" s="103">
        <v>1.0</v>
      </c>
      <c r="AV47" s="103">
        <v>1.0</v>
      </c>
      <c r="AW47" s="103">
        <v>1.0</v>
      </c>
      <c r="AX47" s="103">
        <v>1.0</v>
      </c>
      <c r="AY47" s="103">
        <v>1.0</v>
      </c>
      <c r="AZ47" s="103">
        <v>1.0</v>
      </c>
      <c r="BA47" s="103">
        <v>1.0</v>
      </c>
      <c r="BB47" s="103">
        <v>1.0</v>
      </c>
      <c r="BC47" s="103">
        <v>1.0</v>
      </c>
      <c r="BD47" s="103">
        <v>1.0</v>
      </c>
      <c r="BE47" s="103">
        <v>1.0</v>
      </c>
      <c r="BF47" s="103">
        <v>1.0</v>
      </c>
      <c r="BG47" s="103">
        <v>1.0</v>
      </c>
      <c r="BH47" s="103">
        <v>1.0</v>
      </c>
      <c r="BI47" s="103">
        <v>1.0</v>
      </c>
      <c r="BJ47" s="103">
        <v>1.0</v>
      </c>
      <c r="BK47" s="103">
        <v>1.0</v>
      </c>
      <c r="BL47" s="103">
        <v>1.0</v>
      </c>
      <c r="BM47" s="103">
        <v>1.0</v>
      </c>
      <c r="BN47" s="103">
        <v>1.0</v>
      </c>
      <c r="BO47" s="103">
        <v>1.0</v>
      </c>
      <c r="BP47" s="103">
        <v>1.0</v>
      </c>
      <c r="BQ47" s="103">
        <v>1.0</v>
      </c>
      <c r="BR47" s="103">
        <v>1.0</v>
      </c>
      <c r="BS47" s="103">
        <v>1.0</v>
      </c>
      <c r="BT47" s="103">
        <v>1.0</v>
      </c>
      <c r="BU47" s="103">
        <v>1.0</v>
      </c>
      <c r="BV47" s="103">
        <v>1.0</v>
      </c>
      <c r="BW47" s="103"/>
      <c r="BX47" s="103"/>
      <c r="BY47" s="103"/>
      <c r="BZ47" s="103"/>
      <c r="CA47" s="103"/>
      <c r="CB47" s="103"/>
      <c r="CC47" s="103"/>
      <c r="CD47" s="3"/>
      <c r="CE47" s="3"/>
      <c r="CF47" s="3"/>
      <c r="CG47" s="3"/>
      <c r="CH47" s="3"/>
      <c r="CI47" s="3"/>
      <c r="CJ47" s="3"/>
      <c r="CK47" s="3"/>
      <c r="CL47" s="3"/>
      <c r="CM47" s="3"/>
      <c r="CN47" s="3"/>
      <c r="CO47" s="3"/>
      <c r="CP47" s="3"/>
      <c r="CQ47" s="3"/>
      <c r="CR47" s="3"/>
      <c r="CS47" s="3"/>
      <c r="CT47" s="3"/>
      <c r="CU47" s="3"/>
      <c r="CV47" s="3"/>
      <c r="CW47" s="3"/>
    </row>
    <row r="48" ht="15.75" customHeight="1">
      <c r="A48" s="99">
        <v>50.0</v>
      </c>
      <c r="B48" s="100" t="s">
        <v>155</v>
      </c>
      <c r="C48" s="101" t="s">
        <v>86</v>
      </c>
      <c r="D48" s="102" t="s">
        <v>51</v>
      </c>
      <c r="E48" s="102">
        <v>8.0</v>
      </c>
      <c r="F48" s="102">
        <v>9.0</v>
      </c>
      <c r="G48" s="6">
        <v>44008.0</v>
      </c>
      <c r="H48" s="6">
        <v>44008.0</v>
      </c>
      <c r="I48" s="103">
        <v>1.0</v>
      </c>
      <c r="J48" s="103">
        <v>1.0</v>
      </c>
      <c r="K48" s="103">
        <v>1.0</v>
      </c>
      <c r="L48" s="103">
        <v>1.0</v>
      </c>
      <c r="M48" s="103">
        <v>1.0</v>
      </c>
      <c r="N48" s="103">
        <v>1.0</v>
      </c>
      <c r="O48" s="103">
        <v>1.0</v>
      </c>
      <c r="P48" s="103">
        <v>1.0</v>
      </c>
      <c r="Q48" s="103">
        <v>1.0</v>
      </c>
      <c r="R48" s="103">
        <v>1.0</v>
      </c>
      <c r="S48" s="103">
        <v>1.0</v>
      </c>
      <c r="T48" s="103">
        <v>1.0</v>
      </c>
      <c r="U48" s="103">
        <v>1.0</v>
      </c>
      <c r="V48" s="103">
        <v>1.0</v>
      </c>
      <c r="W48" s="103">
        <v>1.0</v>
      </c>
      <c r="X48" s="103">
        <v>1.0</v>
      </c>
      <c r="Y48" s="103">
        <v>1.0</v>
      </c>
      <c r="Z48" s="103">
        <v>1.0</v>
      </c>
      <c r="AA48" s="103">
        <v>1.0</v>
      </c>
      <c r="AB48" s="103">
        <v>1.0</v>
      </c>
      <c r="AC48" s="103">
        <v>1.0</v>
      </c>
      <c r="AD48" s="103">
        <v>1.0</v>
      </c>
      <c r="AE48" s="103">
        <v>1.0</v>
      </c>
      <c r="AF48" s="103">
        <v>1.0</v>
      </c>
      <c r="AG48" s="103">
        <v>1.0</v>
      </c>
      <c r="AH48" s="103">
        <v>1.0</v>
      </c>
      <c r="AI48" s="103">
        <v>1.0</v>
      </c>
      <c r="AJ48" s="103">
        <v>1.0</v>
      </c>
      <c r="AK48" s="103">
        <v>1.0</v>
      </c>
      <c r="AL48" s="103">
        <v>1.0</v>
      </c>
      <c r="AM48" s="103">
        <v>1.0</v>
      </c>
      <c r="AN48" s="103">
        <v>1.0</v>
      </c>
      <c r="AO48" s="103">
        <v>1.0</v>
      </c>
      <c r="AP48" s="103">
        <v>1.0</v>
      </c>
      <c r="AQ48" s="103">
        <v>1.0</v>
      </c>
      <c r="AR48" s="103">
        <v>1.0</v>
      </c>
      <c r="AS48" s="103">
        <v>1.0</v>
      </c>
      <c r="AT48" s="103">
        <v>1.0</v>
      </c>
      <c r="AU48" s="103">
        <v>1.0</v>
      </c>
      <c r="AV48" s="103">
        <v>1.0</v>
      </c>
      <c r="AW48" s="103">
        <v>1.0</v>
      </c>
      <c r="AX48" s="103">
        <v>1.0</v>
      </c>
      <c r="AY48" s="103">
        <v>1.0</v>
      </c>
      <c r="AZ48" s="103">
        <v>1.0</v>
      </c>
      <c r="BA48" s="103">
        <v>1.0</v>
      </c>
      <c r="BB48" s="103">
        <v>1.0</v>
      </c>
      <c r="BC48" s="103">
        <v>1.0</v>
      </c>
      <c r="BD48" s="103">
        <v>1.0</v>
      </c>
      <c r="BE48" s="103">
        <v>1.0</v>
      </c>
      <c r="BF48" s="103">
        <v>1.0</v>
      </c>
      <c r="BG48" s="103">
        <v>1.0</v>
      </c>
      <c r="BH48" s="103">
        <v>1.0</v>
      </c>
      <c r="BI48" s="103">
        <v>1.0</v>
      </c>
      <c r="BJ48" s="103">
        <v>1.0</v>
      </c>
      <c r="BK48" s="103">
        <v>1.0</v>
      </c>
      <c r="BL48" s="103">
        <v>1.0</v>
      </c>
      <c r="BM48" s="103">
        <v>1.0</v>
      </c>
      <c r="BN48" s="103">
        <v>1.0</v>
      </c>
      <c r="BO48" s="103">
        <v>1.0</v>
      </c>
      <c r="BP48" s="103">
        <v>1.0</v>
      </c>
      <c r="BQ48" s="103">
        <v>1.0</v>
      </c>
      <c r="BR48" s="103">
        <v>1.0</v>
      </c>
      <c r="BS48" s="103">
        <v>1.0</v>
      </c>
      <c r="BT48" s="103">
        <v>1.0</v>
      </c>
      <c r="BU48" s="103">
        <v>1.0</v>
      </c>
      <c r="BV48" s="103"/>
      <c r="BW48" s="103"/>
      <c r="BX48" s="103"/>
      <c r="BY48" s="103"/>
      <c r="BZ48" s="103"/>
      <c r="CA48" s="103"/>
      <c r="CB48" s="103"/>
      <c r="CC48" s="103"/>
      <c r="CD48" s="3"/>
      <c r="CE48" s="3"/>
      <c r="CF48" s="3"/>
      <c r="CG48" s="3"/>
      <c r="CH48" s="3"/>
      <c r="CI48" s="3"/>
      <c r="CJ48" s="3"/>
      <c r="CK48" s="3"/>
      <c r="CL48" s="3"/>
      <c r="CM48" s="3"/>
      <c r="CN48" s="3"/>
      <c r="CO48" s="3"/>
      <c r="CP48" s="3"/>
      <c r="CQ48" s="3"/>
      <c r="CR48" s="3"/>
      <c r="CS48" s="3"/>
      <c r="CT48" s="3"/>
      <c r="CU48" s="3"/>
      <c r="CV48" s="3"/>
      <c r="CW48" s="3"/>
    </row>
    <row r="49" ht="15.75" customHeight="1">
      <c r="A49" s="99">
        <v>51.0</v>
      </c>
      <c r="B49" s="100" t="s">
        <v>156</v>
      </c>
      <c r="C49" s="101" t="s">
        <v>86</v>
      </c>
      <c r="D49" s="102" t="s">
        <v>51</v>
      </c>
      <c r="E49" s="102">
        <v>16.0</v>
      </c>
      <c r="F49" s="102">
        <v>18.0</v>
      </c>
      <c r="G49" s="6">
        <v>44009.0</v>
      </c>
      <c r="H49" s="6">
        <v>44011.0</v>
      </c>
      <c r="I49" s="103">
        <v>1.0</v>
      </c>
      <c r="J49" s="103">
        <v>1.0</v>
      </c>
      <c r="K49" s="103">
        <v>1.0</v>
      </c>
      <c r="L49" s="103">
        <v>1.0</v>
      </c>
      <c r="M49" s="103">
        <v>1.0</v>
      </c>
      <c r="N49" s="103">
        <v>1.0</v>
      </c>
      <c r="O49" s="103">
        <v>1.0</v>
      </c>
      <c r="P49" s="103">
        <v>1.0</v>
      </c>
      <c r="Q49" s="103">
        <v>1.0</v>
      </c>
      <c r="R49" s="103">
        <v>1.0</v>
      </c>
      <c r="S49" s="103">
        <v>1.0</v>
      </c>
      <c r="T49" s="103">
        <v>1.0</v>
      </c>
      <c r="U49" s="103">
        <v>1.0</v>
      </c>
      <c r="V49" s="103">
        <v>1.0</v>
      </c>
      <c r="W49" s="103">
        <v>1.0</v>
      </c>
      <c r="X49" s="103">
        <v>1.0</v>
      </c>
      <c r="Y49" s="103">
        <v>1.0</v>
      </c>
      <c r="Z49" s="103">
        <v>1.0</v>
      </c>
      <c r="AA49" s="103">
        <v>1.0</v>
      </c>
      <c r="AB49" s="103">
        <v>1.0</v>
      </c>
      <c r="AC49" s="103">
        <v>1.0</v>
      </c>
      <c r="AD49" s="103">
        <v>1.0</v>
      </c>
      <c r="AE49" s="103">
        <v>1.0</v>
      </c>
      <c r="AF49" s="103">
        <v>1.0</v>
      </c>
      <c r="AG49" s="103">
        <v>1.0</v>
      </c>
      <c r="AH49" s="103">
        <v>1.0</v>
      </c>
      <c r="AI49" s="103">
        <v>1.0</v>
      </c>
      <c r="AJ49" s="103">
        <v>1.0</v>
      </c>
      <c r="AK49" s="103">
        <v>1.0</v>
      </c>
      <c r="AL49" s="103">
        <v>1.0</v>
      </c>
      <c r="AM49" s="103">
        <v>1.0</v>
      </c>
      <c r="AN49" s="103">
        <v>1.0</v>
      </c>
      <c r="AO49" s="103">
        <v>1.0</v>
      </c>
      <c r="AP49" s="103">
        <v>1.0</v>
      </c>
      <c r="AQ49" s="103">
        <v>1.0</v>
      </c>
      <c r="AR49" s="103">
        <v>1.0</v>
      </c>
      <c r="AS49" s="103">
        <v>1.0</v>
      </c>
      <c r="AT49" s="103">
        <v>1.0</v>
      </c>
      <c r="AU49" s="103">
        <v>1.0</v>
      </c>
      <c r="AV49" s="103">
        <v>1.0</v>
      </c>
      <c r="AW49" s="103">
        <v>1.0</v>
      </c>
      <c r="AX49" s="103">
        <v>1.0</v>
      </c>
      <c r="AY49" s="103">
        <v>1.0</v>
      </c>
      <c r="AZ49" s="103">
        <v>1.0</v>
      </c>
      <c r="BA49" s="103">
        <v>1.0</v>
      </c>
      <c r="BB49" s="103">
        <v>1.0</v>
      </c>
      <c r="BC49" s="103">
        <v>1.0</v>
      </c>
      <c r="BD49" s="103">
        <v>1.0</v>
      </c>
      <c r="BE49" s="103">
        <v>1.0</v>
      </c>
      <c r="BF49" s="103">
        <v>1.0</v>
      </c>
      <c r="BG49" s="103">
        <v>1.0</v>
      </c>
      <c r="BH49" s="103">
        <v>1.0</v>
      </c>
      <c r="BI49" s="103">
        <v>1.0</v>
      </c>
      <c r="BJ49" s="103">
        <v>1.0</v>
      </c>
      <c r="BK49" s="103">
        <v>1.0</v>
      </c>
      <c r="BL49" s="103">
        <v>1.0</v>
      </c>
      <c r="BM49" s="103">
        <v>1.0</v>
      </c>
      <c r="BN49" s="103">
        <v>1.0</v>
      </c>
      <c r="BO49" s="103">
        <v>1.0</v>
      </c>
      <c r="BP49" s="103">
        <v>1.0</v>
      </c>
      <c r="BQ49" s="103">
        <v>1.0</v>
      </c>
      <c r="BR49" s="103">
        <v>1.0</v>
      </c>
      <c r="BS49" s="103">
        <v>1.0</v>
      </c>
      <c r="BT49" s="103">
        <v>0.5</v>
      </c>
      <c r="BU49" s="6"/>
      <c r="BV49" s="6"/>
      <c r="BW49" s="6"/>
      <c r="BX49" s="6"/>
      <c r="BY49" s="6"/>
      <c r="BZ49" s="6"/>
      <c r="CA49" s="6"/>
      <c r="CB49" s="6"/>
      <c r="CC49" s="6"/>
      <c r="CD49" s="3"/>
      <c r="CE49" s="3"/>
      <c r="CF49" s="3"/>
      <c r="CG49" s="3"/>
      <c r="CH49" s="3"/>
      <c r="CI49" s="3"/>
      <c r="CJ49" s="3"/>
      <c r="CK49" s="3"/>
      <c r="CL49" s="3"/>
      <c r="CM49" s="3"/>
      <c r="CN49" s="3"/>
      <c r="CO49" s="3"/>
      <c r="CP49" s="3"/>
      <c r="CQ49" s="3"/>
      <c r="CR49" s="3"/>
      <c r="CS49" s="3"/>
      <c r="CT49" s="3"/>
      <c r="CU49" s="3"/>
      <c r="CV49" s="3"/>
      <c r="CW49" s="3"/>
    </row>
    <row r="50" ht="15.75" customHeight="1">
      <c r="A50" s="99">
        <v>52.0</v>
      </c>
      <c r="B50" s="100" t="s">
        <v>150</v>
      </c>
      <c r="C50" s="101" t="s">
        <v>86</v>
      </c>
      <c r="D50" s="102" t="s">
        <v>51</v>
      </c>
      <c r="E50" s="102">
        <v>8.0</v>
      </c>
      <c r="F50" s="102">
        <v>8.0</v>
      </c>
      <c r="G50" s="6">
        <v>44019.0</v>
      </c>
      <c r="H50" s="6">
        <v>44019.0</v>
      </c>
      <c r="I50" s="103">
        <v>1.0</v>
      </c>
      <c r="J50" s="103">
        <v>1.0</v>
      </c>
      <c r="K50" s="103">
        <v>1.0</v>
      </c>
      <c r="L50" s="103">
        <v>1.0</v>
      </c>
      <c r="M50" s="103">
        <v>1.0</v>
      </c>
      <c r="N50" s="103">
        <v>1.0</v>
      </c>
      <c r="O50" s="103">
        <v>1.0</v>
      </c>
      <c r="P50" s="103">
        <v>1.0</v>
      </c>
      <c r="Q50" s="103">
        <v>1.0</v>
      </c>
      <c r="R50" s="103">
        <v>1.0</v>
      </c>
      <c r="S50" s="103">
        <v>1.0</v>
      </c>
      <c r="T50" s="103">
        <v>1.0</v>
      </c>
      <c r="U50" s="103">
        <v>1.0</v>
      </c>
      <c r="V50" s="103">
        <v>1.0</v>
      </c>
      <c r="W50" s="103">
        <v>1.0</v>
      </c>
      <c r="X50" s="103">
        <v>1.0</v>
      </c>
      <c r="Y50" s="103">
        <v>1.0</v>
      </c>
      <c r="Z50" s="103">
        <v>1.0</v>
      </c>
      <c r="AA50" s="103">
        <v>1.0</v>
      </c>
      <c r="AB50" s="103">
        <v>1.0</v>
      </c>
      <c r="AC50" s="103">
        <v>1.0</v>
      </c>
      <c r="AD50" s="103">
        <v>1.0</v>
      </c>
      <c r="AE50" s="103">
        <v>1.0</v>
      </c>
      <c r="AF50" s="103">
        <v>1.0</v>
      </c>
      <c r="AG50" s="103">
        <v>1.0</v>
      </c>
      <c r="AH50" s="103">
        <v>1.0</v>
      </c>
      <c r="AI50" s="103">
        <v>1.0</v>
      </c>
      <c r="AJ50" s="103">
        <v>1.0</v>
      </c>
      <c r="AK50" s="103">
        <v>1.0</v>
      </c>
      <c r="AL50" s="103">
        <v>1.0</v>
      </c>
      <c r="AM50" s="103">
        <v>1.0</v>
      </c>
      <c r="AN50" s="103">
        <v>1.0</v>
      </c>
      <c r="AO50" s="103">
        <v>1.0</v>
      </c>
      <c r="AP50" s="103">
        <v>1.0</v>
      </c>
      <c r="AQ50" s="103">
        <v>1.0</v>
      </c>
      <c r="AR50" s="103">
        <v>1.0</v>
      </c>
      <c r="AS50" s="103">
        <v>1.0</v>
      </c>
      <c r="AT50" s="103">
        <v>1.0</v>
      </c>
      <c r="AU50" s="103">
        <v>1.0</v>
      </c>
      <c r="AV50" s="103">
        <v>1.0</v>
      </c>
      <c r="AW50" s="103">
        <v>1.0</v>
      </c>
      <c r="AX50" s="103">
        <v>1.0</v>
      </c>
      <c r="AY50" s="103">
        <v>1.0</v>
      </c>
      <c r="AZ50" s="103">
        <v>1.0</v>
      </c>
      <c r="BA50" s="103">
        <v>1.0</v>
      </c>
      <c r="BB50" s="103">
        <v>1.0</v>
      </c>
      <c r="BC50" s="103">
        <v>1.0</v>
      </c>
      <c r="BD50" s="103">
        <v>1.0</v>
      </c>
      <c r="BE50" s="103">
        <v>1.0</v>
      </c>
      <c r="BF50" s="103">
        <v>1.0</v>
      </c>
      <c r="BG50" s="103">
        <v>1.0</v>
      </c>
      <c r="BH50" s="103">
        <v>1.0</v>
      </c>
      <c r="BI50" s="103">
        <v>1.0</v>
      </c>
      <c r="BJ50" s="103">
        <v>1.0</v>
      </c>
      <c r="BK50" s="103">
        <v>1.0</v>
      </c>
      <c r="BL50" s="103">
        <v>1.0</v>
      </c>
      <c r="BM50" s="103">
        <v>1.0</v>
      </c>
      <c r="BN50" s="103"/>
      <c r="BO50" s="103"/>
      <c r="BP50" s="103"/>
      <c r="BQ50" s="103"/>
      <c r="BR50" s="103"/>
      <c r="BS50" s="103"/>
      <c r="BT50" s="103"/>
      <c r="BU50" s="103"/>
      <c r="BV50" s="103"/>
      <c r="BW50" s="103"/>
      <c r="BX50" s="103"/>
      <c r="BY50" s="103"/>
      <c r="BZ50" s="103"/>
      <c r="CA50" s="103"/>
      <c r="CB50" s="103"/>
      <c r="CC50" s="103"/>
      <c r="CD50" s="3"/>
      <c r="CE50" s="3"/>
      <c r="CF50" s="3"/>
      <c r="CG50" s="3"/>
      <c r="CH50" s="3"/>
      <c r="CI50" s="3"/>
      <c r="CJ50" s="3"/>
      <c r="CK50" s="3"/>
      <c r="CL50" s="3"/>
      <c r="CM50" s="3"/>
      <c r="CN50" s="3"/>
      <c r="CO50" s="3"/>
      <c r="CP50" s="3"/>
      <c r="CQ50" s="3"/>
      <c r="CR50" s="3"/>
      <c r="CS50" s="3"/>
      <c r="CT50" s="3"/>
      <c r="CU50" s="3"/>
      <c r="CV50" s="3"/>
      <c r="CW50" s="3"/>
    </row>
    <row r="51" ht="15.75" customHeight="1">
      <c r="A51" s="119" t="s">
        <v>157</v>
      </c>
      <c r="B51" s="120"/>
      <c r="C51" s="121"/>
      <c r="D51" s="122"/>
      <c r="E51" s="122"/>
      <c r="F51" s="122"/>
      <c r="G51" s="6"/>
      <c r="H51" s="6"/>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3"/>
      <c r="CE51" s="3"/>
      <c r="CF51" s="3"/>
      <c r="CG51" s="3"/>
      <c r="CH51" s="3"/>
      <c r="CI51" s="3"/>
      <c r="CJ51" s="3"/>
      <c r="CK51" s="3"/>
      <c r="CL51" s="3"/>
      <c r="CM51" s="3"/>
      <c r="CN51" s="3"/>
      <c r="CO51" s="3"/>
      <c r="CP51" s="3"/>
      <c r="CQ51" s="3"/>
      <c r="CR51" s="3"/>
      <c r="CS51" s="3"/>
      <c r="CT51" s="3"/>
      <c r="CU51" s="3"/>
      <c r="CV51" s="3"/>
      <c r="CW51" s="3"/>
    </row>
    <row r="52" ht="15.75" customHeight="1">
      <c r="A52" s="99">
        <v>53.0</v>
      </c>
      <c r="B52" s="100" t="s">
        <v>158</v>
      </c>
      <c r="C52" s="101" t="s">
        <v>86</v>
      </c>
      <c r="D52" s="102" t="s">
        <v>51</v>
      </c>
      <c r="E52" s="102">
        <v>8.0</v>
      </c>
      <c r="F52" s="102">
        <v>15.0</v>
      </c>
      <c r="G52" s="6">
        <v>44018.0</v>
      </c>
      <c r="H52" s="6">
        <v>44025.0</v>
      </c>
      <c r="I52" s="103">
        <v>1.0</v>
      </c>
      <c r="J52" s="103">
        <v>1.0</v>
      </c>
      <c r="K52" s="103">
        <v>1.0</v>
      </c>
      <c r="L52" s="103">
        <v>1.0</v>
      </c>
      <c r="M52" s="103">
        <v>1.0</v>
      </c>
      <c r="N52" s="103">
        <v>1.0</v>
      </c>
      <c r="O52" s="103">
        <v>1.0</v>
      </c>
      <c r="P52" s="103">
        <v>1.0</v>
      </c>
      <c r="Q52" s="103">
        <v>1.0</v>
      </c>
      <c r="R52" s="103">
        <v>1.0</v>
      </c>
      <c r="S52" s="103">
        <v>1.0</v>
      </c>
      <c r="T52" s="103">
        <v>1.0</v>
      </c>
      <c r="U52" s="103">
        <v>1.0</v>
      </c>
      <c r="V52" s="103">
        <v>1.0</v>
      </c>
      <c r="W52" s="103">
        <v>1.0</v>
      </c>
      <c r="X52" s="103">
        <v>1.0</v>
      </c>
      <c r="Y52" s="103">
        <v>1.0</v>
      </c>
      <c r="Z52" s="103">
        <v>1.0</v>
      </c>
      <c r="AA52" s="103">
        <v>1.0</v>
      </c>
      <c r="AB52" s="103">
        <v>1.0</v>
      </c>
      <c r="AC52" s="103">
        <v>1.0</v>
      </c>
      <c r="AD52" s="103">
        <v>1.0</v>
      </c>
      <c r="AE52" s="103">
        <v>1.0</v>
      </c>
      <c r="AF52" s="103">
        <v>1.0</v>
      </c>
      <c r="AG52" s="103">
        <v>1.0</v>
      </c>
      <c r="AH52" s="103">
        <v>1.0</v>
      </c>
      <c r="AI52" s="103">
        <v>1.0</v>
      </c>
      <c r="AJ52" s="103">
        <v>1.0</v>
      </c>
      <c r="AK52" s="103">
        <v>1.0</v>
      </c>
      <c r="AL52" s="103">
        <v>1.0</v>
      </c>
      <c r="AM52" s="103">
        <v>1.0</v>
      </c>
      <c r="AN52" s="103">
        <v>1.0</v>
      </c>
      <c r="AO52" s="103">
        <v>1.0</v>
      </c>
      <c r="AP52" s="103">
        <v>1.0</v>
      </c>
      <c r="AQ52" s="103">
        <v>1.0</v>
      </c>
      <c r="AR52" s="103">
        <v>1.0</v>
      </c>
      <c r="AS52" s="103">
        <v>1.0</v>
      </c>
      <c r="AT52" s="103">
        <v>1.0</v>
      </c>
      <c r="AU52" s="103">
        <v>1.0</v>
      </c>
      <c r="AV52" s="103">
        <v>1.0</v>
      </c>
      <c r="AW52" s="103">
        <v>1.0</v>
      </c>
      <c r="AX52" s="103">
        <v>1.0</v>
      </c>
      <c r="AY52" s="103">
        <v>1.0</v>
      </c>
      <c r="AZ52" s="103">
        <v>1.0</v>
      </c>
      <c r="BA52" s="103">
        <v>1.0</v>
      </c>
      <c r="BB52" s="103">
        <v>1.0</v>
      </c>
      <c r="BC52" s="103">
        <v>1.0</v>
      </c>
      <c r="BD52" s="103">
        <v>1.0</v>
      </c>
      <c r="BE52" s="103">
        <v>1.0</v>
      </c>
      <c r="BF52" s="103">
        <v>1.0</v>
      </c>
      <c r="BG52" s="103">
        <v>1.0</v>
      </c>
      <c r="BH52" s="103">
        <v>1.0</v>
      </c>
      <c r="BI52" s="103">
        <v>0.9</v>
      </c>
      <c r="BJ52" s="103">
        <v>0.9</v>
      </c>
      <c r="BK52" s="103">
        <v>0.8</v>
      </c>
      <c r="BL52" s="103">
        <v>0.7</v>
      </c>
      <c r="BM52" s="103">
        <v>0.7</v>
      </c>
      <c r="BN52" s="103">
        <v>0.7</v>
      </c>
      <c r="BO52" s="103"/>
      <c r="BP52" s="103"/>
      <c r="BQ52" s="103"/>
      <c r="BR52" s="103"/>
      <c r="BS52" s="103"/>
      <c r="BT52" s="103"/>
      <c r="BU52" s="103"/>
      <c r="BV52" s="103"/>
      <c r="BW52" s="103"/>
      <c r="BX52" s="103"/>
      <c r="BY52" s="103"/>
      <c r="BZ52" s="103"/>
      <c r="CA52" s="103"/>
      <c r="CB52" s="103"/>
      <c r="CC52" s="103"/>
      <c r="CD52" s="3"/>
      <c r="CE52" s="3"/>
      <c r="CF52" s="3"/>
      <c r="CG52" s="3"/>
      <c r="CH52" s="3"/>
      <c r="CI52" s="3"/>
      <c r="CJ52" s="3"/>
      <c r="CK52" s="3"/>
      <c r="CL52" s="3"/>
      <c r="CM52" s="3"/>
      <c r="CN52" s="3"/>
      <c r="CO52" s="3"/>
      <c r="CP52" s="3"/>
      <c r="CQ52" s="3"/>
      <c r="CR52" s="3"/>
      <c r="CS52" s="3"/>
      <c r="CT52" s="3"/>
      <c r="CU52" s="3"/>
      <c r="CV52" s="3"/>
      <c r="CW52" s="3"/>
    </row>
    <row r="53" ht="15.75" customHeight="1">
      <c r="A53" s="99">
        <v>54.0</v>
      </c>
      <c r="B53" s="100" t="s">
        <v>159</v>
      </c>
      <c r="C53" s="101" t="s">
        <v>86</v>
      </c>
      <c r="D53" s="102" t="s">
        <v>51</v>
      </c>
      <c r="E53" s="102">
        <v>8.0</v>
      </c>
      <c r="F53" s="102">
        <v>8.0</v>
      </c>
      <c r="G53" s="6">
        <v>44034.0</v>
      </c>
      <c r="H53" s="6">
        <v>44034.0</v>
      </c>
      <c r="I53" s="103">
        <v>1.0</v>
      </c>
      <c r="J53" s="103">
        <v>1.0</v>
      </c>
      <c r="K53" s="103">
        <v>1.0</v>
      </c>
      <c r="L53" s="103">
        <v>1.0</v>
      </c>
      <c r="M53" s="103">
        <v>1.0</v>
      </c>
      <c r="N53" s="103">
        <v>1.0</v>
      </c>
      <c r="O53" s="103">
        <v>1.0</v>
      </c>
      <c r="P53" s="103">
        <v>1.0</v>
      </c>
      <c r="Q53" s="103">
        <v>1.0</v>
      </c>
      <c r="R53" s="103">
        <v>1.0</v>
      </c>
      <c r="S53" s="103">
        <v>1.0</v>
      </c>
      <c r="T53" s="103">
        <v>1.0</v>
      </c>
      <c r="U53" s="103">
        <v>1.0</v>
      </c>
      <c r="V53" s="103">
        <v>1.0</v>
      </c>
      <c r="W53" s="103">
        <v>1.0</v>
      </c>
      <c r="X53" s="103">
        <v>1.0</v>
      </c>
      <c r="Y53" s="103">
        <v>1.0</v>
      </c>
      <c r="Z53" s="103">
        <v>1.0</v>
      </c>
      <c r="AA53" s="103">
        <v>1.0</v>
      </c>
      <c r="AB53" s="103">
        <v>1.0</v>
      </c>
      <c r="AC53" s="103">
        <v>1.0</v>
      </c>
      <c r="AD53" s="103">
        <v>1.0</v>
      </c>
      <c r="AE53" s="103">
        <v>1.0</v>
      </c>
      <c r="AF53" s="103">
        <v>1.0</v>
      </c>
      <c r="AG53" s="103">
        <v>1.0</v>
      </c>
      <c r="AH53" s="103">
        <v>1.0</v>
      </c>
      <c r="AI53" s="103">
        <v>1.0</v>
      </c>
      <c r="AJ53" s="103">
        <v>1.0</v>
      </c>
      <c r="AK53" s="103">
        <v>1.0</v>
      </c>
      <c r="AL53" s="103">
        <v>1.0</v>
      </c>
      <c r="AM53" s="103">
        <v>1.0</v>
      </c>
      <c r="AN53" s="103">
        <v>1.0</v>
      </c>
      <c r="AO53" s="103">
        <v>1.0</v>
      </c>
      <c r="AP53" s="103">
        <v>1.0</v>
      </c>
      <c r="AQ53" s="103">
        <v>1.0</v>
      </c>
      <c r="AR53" s="103">
        <v>1.0</v>
      </c>
      <c r="AS53" s="103">
        <v>1.0</v>
      </c>
      <c r="AT53" s="103">
        <v>1.0</v>
      </c>
      <c r="AU53" s="103">
        <v>1.0</v>
      </c>
      <c r="AV53" s="103">
        <v>1.0</v>
      </c>
      <c r="AW53" s="103">
        <v>1.0</v>
      </c>
      <c r="AX53" s="103">
        <v>1.0</v>
      </c>
      <c r="AY53" s="103">
        <v>1.0</v>
      </c>
      <c r="AZ53" s="103">
        <v>1.0</v>
      </c>
      <c r="BA53" s="103">
        <v>1.0</v>
      </c>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3"/>
      <c r="CE53" s="3"/>
      <c r="CF53" s="3"/>
      <c r="CG53" s="3"/>
      <c r="CH53" s="3"/>
      <c r="CI53" s="3"/>
      <c r="CJ53" s="3"/>
      <c r="CK53" s="3"/>
      <c r="CL53" s="3"/>
      <c r="CM53" s="3"/>
      <c r="CN53" s="3"/>
      <c r="CO53" s="3"/>
      <c r="CP53" s="3"/>
      <c r="CQ53" s="3"/>
      <c r="CR53" s="3"/>
      <c r="CS53" s="3"/>
      <c r="CT53" s="3"/>
      <c r="CU53" s="3"/>
      <c r="CV53" s="3"/>
      <c r="CW53" s="3"/>
    </row>
    <row r="54" ht="15.75" customHeight="1">
      <c r="A54" s="99">
        <v>55.0</v>
      </c>
      <c r="B54" s="100" t="s">
        <v>160</v>
      </c>
      <c r="C54" s="101" t="s">
        <v>86</v>
      </c>
      <c r="D54" s="102" t="s">
        <v>51</v>
      </c>
      <c r="E54" s="102">
        <v>16.0</v>
      </c>
      <c r="F54" s="102">
        <v>20.0</v>
      </c>
      <c r="G54" s="6">
        <v>44035.0</v>
      </c>
      <c r="H54" s="6">
        <v>44037.0</v>
      </c>
      <c r="I54" s="103">
        <v>1.0</v>
      </c>
      <c r="J54" s="103">
        <v>1.0</v>
      </c>
      <c r="K54" s="103">
        <v>1.0</v>
      </c>
      <c r="L54" s="103">
        <v>1.0</v>
      </c>
      <c r="M54" s="103">
        <v>1.0</v>
      </c>
      <c r="N54" s="103">
        <v>1.0</v>
      </c>
      <c r="O54" s="103">
        <v>1.0</v>
      </c>
      <c r="P54" s="103">
        <v>1.0</v>
      </c>
      <c r="Q54" s="103">
        <v>1.0</v>
      </c>
      <c r="R54" s="103">
        <v>1.0</v>
      </c>
      <c r="S54" s="103">
        <v>1.0</v>
      </c>
      <c r="T54" s="103">
        <v>1.0</v>
      </c>
      <c r="U54" s="103">
        <v>1.0</v>
      </c>
      <c r="V54" s="103">
        <v>1.0</v>
      </c>
      <c r="W54" s="103">
        <v>1.0</v>
      </c>
      <c r="X54" s="103">
        <v>1.0</v>
      </c>
      <c r="Y54" s="103">
        <v>1.0</v>
      </c>
      <c r="Z54" s="103">
        <v>1.0</v>
      </c>
      <c r="AA54" s="103">
        <v>1.0</v>
      </c>
      <c r="AB54" s="103">
        <v>1.0</v>
      </c>
      <c r="AC54" s="103">
        <v>1.0</v>
      </c>
      <c r="AD54" s="103">
        <v>1.0</v>
      </c>
      <c r="AE54" s="103">
        <v>1.0</v>
      </c>
      <c r="AF54" s="103">
        <v>1.0</v>
      </c>
      <c r="AG54" s="103">
        <v>1.0</v>
      </c>
      <c r="AH54" s="103">
        <v>1.0</v>
      </c>
      <c r="AI54" s="103">
        <v>1.0</v>
      </c>
      <c r="AJ54" s="103">
        <v>1.0</v>
      </c>
      <c r="AK54" s="103">
        <v>1.0</v>
      </c>
      <c r="AL54" s="103">
        <v>1.0</v>
      </c>
      <c r="AM54" s="103">
        <v>1.0</v>
      </c>
      <c r="AN54" s="103">
        <v>1.0</v>
      </c>
      <c r="AO54" s="103">
        <v>1.0</v>
      </c>
      <c r="AP54" s="103">
        <v>1.0</v>
      </c>
      <c r="AQ54" s="103">
        <v>1.0</v>
      </c>
      <c r="AR54" s="103">
        <v>1.0</v>
      </c>
      <c r="AS54" s="103">
        <v>1.0</v>
      </c>
      <c r="AT54" s="103">
        <v>1.0</v>
      </c>
      <c r="AU54" s="103">
        <v>1.0</v>
      </c>
      <c r="AV54" s="103">
        <v>1.0</v>
      </c>
      <c r="AW54" s="103">
        <v>1.0</v>
      </c>
      <c r="AX54" s="103">
        <v>1.0</v>
      </c>
      <c r="AY54" s="103">
        <v>0.75</v>
      </c>
      <c r="AZ54" s="103">
        <v>0.3</v>
      </c>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3"/>
      <c r="CE54" s="3"/>
      <c r="CF54" s="3"/>
      <c r="CG54" s="3"/>
      <c r="CH54" s="3"/>
      <c r="CI54" s="3"/>
      <c r="CJ54" s="3"/>
      <c r="CK54" s="3"/>
      <c r="CL54" s="3"/>
      <c r="CM54" s="3"/>
      <c r="CN54" s="3"/>
      <c r="CO54" s="3"/>
      <c r="CP54" s="3"/>
      <c r="CQ54" s="3"/>
      <c r="CR54" s="3"/>
      <c r="CS54" s="3"/>
      <c r="CT54" s="3"/>
      <c r="CU54" s="3"/>
      <c r="CV54" s="3"/>
      <c r="CW54" s="3"/>
    </row>
    <row r="55" ht="15.75" customHeight="1">
      <c r="A55" s="99">
        <v>56.0</v>
      </c>
      <c r="B55" s="100" t="s">
        <v>161</v>
      </c>
      <c r="C55" s="101" t="s">
        <v>86</v>
      </c>
      <c r="D55" s="102" t="s">
        <v>51</v>
      </c>
      <c r="E55" s="102">
        <v>8.0</v>
      </c>
      <c r="F55" s="102">
        <v>8.0</v>
      </c>
      <c r="G55" s="6">
        <v>44020.0</v>
      </c>
      <c r="H55" s="6">
        <v>44020.0</v>
      </c>
      <c r="I55" s="103">
        <v>1.0</v>
      </c>
      <c r="J55" s="103">
        <v>1.0</v>
      </c>
      <c r="K55" s="103">
        <v>1.0</v>
      </c>
      <c r="L55" s="103">
        <v>1.0</v>
      </c>
      <c r="M55" s="103">
        <v>1.0</v>
      </c>
      <c r="N55" s="103">
        <v>1.0</v>
      </c>
      <c r="O55" s="103">
        <v>1.0</v>
      </c>
      <c r="P55" s="103">
        <v>1.0</v>
      </c>
      <c r="Q55" s="103">
        <v>1.0</v>
      </c>
      <c r="R55" s="103">
        <v>1.0</v>
      </c>
      <c r="S55" s="103">
        <v>1.0</v>
      </c>
      <c r="T55" s="103">
        <v>1.0</v>
      </c>
      <c r="U55" s="103">
        <v>1.0</v>
      </c>
      <c r="V55" s="103">
        <v>1.0</v>
      </c>
      <c r="W55" s="103">
        <v>1.0</v>
      </c>
      <c r="X55" s="103">
        <v>1.0</v>
      </c>
      <c r="Y55" s="103">
        <v>1.0</v>
      </c>
      <c r="Z55" s="103">
        <v>1.0</v>
      </c>
      <c r="AA55" s="103">
        <v>1.0</v>
      </c>
      <c r="AB55" s="103">
        <v>1.0</v>
      </c>
      <c r="AC55" s="103">
        <v>1.0</v>
      </c>
      <c r="AD55" s="103">
        <v>1.0</v>
      </c>
      <c r="AE55" s="103">
        <v>1.0</v>
      </c>
      <c r="AF55" s="103">
        <v>1.0</v>
      </c>
      <c r="AG55" s="103">
        <v>1.0</v>
      </c>
      <c r="AH55" s="103">
        <v>1.0</v>
      </c>
      <c r="AI55" s="103">
        <v>1.0</v>
      </c>
      <c r="AJ55" s="103">
        <v>1.0</v>
      </c>
      <c r="AK55" s="103">
        <v>1.0</v>
      </c>
      <c r="AL55" s="103">
        <v>1.0</v>
      </c>
      <c r="AM55" s="103">
        <v>1.0</v>
      </c>
      <c r="AN55" s="103">
        <v>1.0</v>
      </c>
      <c r="AO55" s="103">
        <v>1.0</v>
      </c>
      <c r="AP55" s="103">
        <v>1.0</v>
      </c>
      <c r="AQ55" s="103">
        <v>1.0</v>
      </c>
      <c r="AR55" s="103">
        <v>1.0</v>
      </c>
      <c r="AS55" s="103">
        <v>1.0</v>
      </c>
      <c r="AT55" s="103">
        <v>1.0</v>
      </c>
      <c r="AU55" s="103">
        <v>1.0</v>
      </c>
      <c r="AV55" s="103">
        <v>1.0</v>
      </c>
      <c r="AW55" s="103">
        <v>1.0</v>
      </c>
      <c r="AX55" s="103">
        <v>1.0</v>
      </c>
      <c r="AY55" s="103">
        <v>1.0</v>
      </c>
      <c r="AZ55" s="103">
        <v>1.0</v>
      </c>
      <c r="BA55" s="103">
        <v>1.0</v>
      </c>
      <c r="BB55" s="103">
        <v>1.0</v>
      </c>
      <c r="BC55" s="103">
        <v>1.0</v>
      </c>
      <c r="BD55" s="103">
        <v>1.0</v>
      </c>
      <c r="BE55" s="103">
        <v>1.0</v>
      </c>
      <c r="BF55" s="103">
        <v>1.0</v>
      </c>
      <c r="BG55" s="103">
        <v>1.0</v>
      </c>
      <c r="BH55" s="103">
        <v>1.0</v>
      </c>
      <c r="BI55" s="103">
        <v>1.0</v>
      </c>
      <c r="BJ55" s="103">
        <v>1.0</v>
      </c>
      <c r="BK55" s="103">
        <v>1.0</v>
      </c>
      <c r="BL55" s="103">
        <v>1.0</v>
      </c>
      <c r="BM55" s="103"/>
      <c r="BN55" s="103"/>
      <c r="BO55" s="103"/>
      <c r="BP55" s="103"/>
      <c r="BQ55" s="103"/>
      <c r="BR55" s="103"/>
      <c r="BS55" s="103"/>
      <c r="BT55" s="103"/>
      <c r="BU55" s="103"/>
      <c r="BV55" s="103"/>
      <c r="BW55" s="103"/>
      <c r="BX55" s="103"/>
      <c r="BY55" s="103"/>
      <c r="BZ55" s="103"/>
      <c r="CA55" s="103"/>
      <c r="CB55" s="103"/>
      <c r="CC55" s="103"/>
      <c r="CD55" s="3"/>
      <c r="CE55" s="3"/>
      <c r="CF55" s="3"/>
      <c r="CG55" s="3"/>
      <c r="CH55" s="3"/>
      <c r="CI55" s="3"/>
      <c r="CJ55" s="3"/>
      <c r="CK55" s="3"/>
      <c r="CL55" s="3"/>
      <c r="CM55" s="3"/>
      <c r="CN55" s="3"/>
      <c r="CO55" s="3"/>
      <c r="CP55" s="3"/>
      <c r="CQ55" s="3"/>
      <c r="CR55" s="3"/>
      <c r="CS55" s="3"/>
      <c r="CT55" s="3"/>
      <c r="CU55" s="3"/>
      <c r="CV55" s="3"/>
      <c r="CW55" s="3"/>
    </row>
    <row r="56" ht="15.75" customHeight="1">
      <c r="A56" s="99">
        <v>57.0</v>
      </c>
      <c r="B56" s="100" t="s">
        <v>162</v>
      </c>
      <c r="C56" s="101" t="s">
        <v>86</v>
      </c>
      <c r="D56" s="102" t="s">
        <v>51</v>
      </c>
      <c r="E56" s="102">
        <v>8.0</v>
      </c>
      <c r="F56" s="102">
        <v>16.0</v>
      </c>
      <c r="G56" s="6">
        <v>44039.0</v>
      </c>
      <c r="H56" s="6">
        <v>44040.0</v>
      </c>
      <c r="I56" s="103">
        <v>1.0</v>
      </c>
      <c r="J56" s="103">
        <v>1.0</v>
      </c>
      <c r="K56" s="103">
        <v>1.0</v>
      </c>
      <c r="L56" s="103">
        <v>1.0</v>
      </c>
      <c r="M56" s="103">
        <v>1.0</v>
      </c>
      <c r="N56" s="103">
        <v>1.0</v>
      </c>
      <c r="O56" s="103">
        <v>1.0</v>
      </c>
      <c r="P56" s="103">
        <v>1.0</v>
      </c>
      <c r="Q56" s="103">
        <v>1.0</v>
      </c>
      <c r="R56" s="103">
        <v>1.0</v>
      </c>
      <c r="S56" s="103">
        <v>1.0</v>
      </c>
      <c r="T56" s="103">
        <v>1.0</v>
      </c>
      <c r="U56" s="103">
        <v>1.0</v>
      </c>
      <c r="V56" s="103">
        <v>1.0</v>
      </c>
      <c r="W56" s="103">
        <v>1.0</v>
      </c>
      <c r="X56" s="103">
        <v>1.0</v>
      </c>
      <c r="Y56" s="103">
        <v>1.0</v>
      </c>
      <c r="Z56" s="103">
        <v>1.0</v>
      </c>
      <c r="AA56" s="103">
        <v>1.0</v>
      </c>
      <c r="AB56" s="103">
        <v>1.0</v>
      </c>
      <c r="AC56" s="103">
        <v>1.0</v>
      </c>
      <c r="AD56" s="103">
        <v>1.0</v>
      </c>
      <c r="AE56" s="103">
        <v>1.0</v>
      </c>
      <c r="AF56" s="103">
        <v>1.0</v>
      </c>
      <c r="AG56" s="103">
        <v>1.0</v>
      </c>
      <c r="AH56" s="103">
        <v>1.0</v>
      </c>
      <c r="AI56" s="103">
        <v>1.0</v>
      </c>
      <c r="AJ56" s="103">
        <v>1.0</v>
      </c>
      <c r="AK56" s="103">
        <v>1.0</v>
      </c>
      <c r="AL56" s="103">
        <v>1.0</v>
      </c>
      <c r="AM56" s="103">
        <v>1.0</v>
      </c>
      <c r="AN56" s="103">
        <v>1.0</v>
      </c>
      <c r="AO56" s="103">
        <v>1.0</v>
      </c>
      <c r="AP56" s="103">
        <v>1.0</v>
      </c>
      <c r="AQ56" s="103">
        <v>1.0</v>
      </c>
      <c r="AR56" s="103">
        <v>1.0</v>
      </c>
      <c r="AS56" s="103">
        <v>1.0</v>
      </c>
      <c r="AT56" s="103">
        <v>1.0</v>
      </c>
      <c r="AU56" s="103">
        <v>1.0</v>
      </c>
      <c r="AV56" s="103">
        <v>1.0</v>
      </c>
      <c r="AW56" s="103">
        <v>0.5</v>
      </c>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3"/>
      <c r="CE56" s="3"/>
      <c r="CF56" s="3"/>
      <c r="CG56" s="3"/>
      <c r="CH56" s="3"/>
      <c r="CI56" s="3"/>
      <c r="CJ56" s="3"/>
      <c r="CK56" s="3"/>
      <c r="CL56" s="3"/>
      <c r="CM56" s="3"/>
      <c r="CN56" s="3"/>
      <c r="CO56" s="3"/>
      <c r="CP56" s="3"/>
      <c r="CQ56" s="3"/>
      <c r="CR56" s="3"/>
      <c r="CS56" s="3"/>
      <c r="CT56" s="3"/>
      <c r="CU56" s="3"/>
      <c r="CV56" s="3"/>
      <c r="CW56" s="3"/>
    </row>
    <row r="57" ht="15.75" customHeight="1">
      <c r="A57" s="99">
        <v>58.0</v>
      </c>
      <c r="B57" s="100" t="s">
        <v>163</v>
      </c>
      <c r="C57" s="101" t="s">
        <v>86</v>
      </c>
      <c r="D57" s="102" t="s">
        <v>51</v>
      </c>
      <c r="E57" s="102">
        <v>8.0</v>
      </c>
      <c r="F57" s="102">
        <v>8.0</v>
      </c>
      <c r="G57" s="6">
        <v>44040.0</v>
      </c>
      <c r="H57" s="6">
        <v>44040.0</v>
      </c>
      <c r="I57" s="103">
        <v>1.0</v>
      </c>
      <c r="J57" s="103">
        <v>1.0</v>
      </c>
      <c r="K57" s="103">
        <v>1.0</v>
      </c>
      <c r="L57" s="103">
        <v>1.0</v>
      </c>
      <c r="M57" s="103">
        <v>1.0</v>
      </c>
      <c r="N57" s="103">
        <v>1.0</v>
      </c>
      <c r="O57" s="103">
        <v>1.0</v>
      </c>
      <c r="P57" s="103">
        <v>1.0</v>
      </c>
      <c r="Q57" s="103">
        <v>1.0</v>
      </c>
      <c r="R57" s="103">
        <v>1.0</v>
      </c>
      <c r="S57" s="103">
        <v>1.0</v>
      </c>
      <c r="T57" s="103">
        <v>1.0</v>
      </c>
      <c r="U57" s="103">
        <v>1.0</v>
      </c>
      <c r="V57" s="103">
        <v>1.0</v>
      </c>
      <c r="W57" s="103">
        <v>1.0</v>
      </c>
      <c r="X57" s="103">
        <v>1.0</v>
      </c>
      <c r="Y57" s="103">
        <v>1.0</v>
      </c>
      <c r="Z57" s="103">
        <v>1.0</v>
      </c>
      <c r="AA57" s="103">
        <v>1.0</v>
      </c>
      <c r="AB57" s="103">
        <v>1.0</v>
      </c>
      <c r="AC57" s="103">
        <v>1.0</v>
      </c>
      <c r="AD57" s="103">
        <v>1.0</v>
      </c>
      <c r="AE57" s="103">
        <v>1.0</v>
      </c>
      <c r="AF57" s="103">
        <v>1.0</v>
      </c>
      <c r="AG57" s="103">
        <v>1.0</v>
      </c>
      <c r="AH57" s="103">
        <v>1.0</v>
      </c>
      <c r="AI57" s="103">
        <v>1.0</v>
      </c>
      <c r="AJ57" s="103">
        <v>1.0</v>
      </c>
      <c r="AK57" s="103">
        <v>1.0</v>
      </c>
      <c r="AL57" s="103">
        <v>1.0</v>
      </c>
      <c r="AM57" s="103">
        <v>1.0</v>
      </c>
      <c r="AN57" s="103">
        <v>1.0</v>
      </c>
      <c r="AO57" s="103">
        <v>1.0</v>
      </c>
      <c r="AP57" s="103">
        <v>1.0</v>
      </c>
      <c r="AQ57" s="103">
        <v>1.0</v>
      </c>
      <c r="AR57" s="103">
        <v>1.0</v>
      </c>
      <c r="AS57" s="103">
        <v>1.0</v>
      </c>
      <c r="AT57" s="103">
        <v>1.0</v>
      </c>
      <c r="AU57" s="103">
        <v>1.0</v>
      </c>
      <c r="AV57" s="103">
        <v>1.0</v>
      </c>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3"/>
      <c r="CE57" s="3"/>
      <c r="CF57" s="3"/>
      <c r="CG57" s="3"/>
      <c r="CH57" s="3"/>
      <c r="CI57" s="3"/>
      <c r="CJ57" s="3"/>
      <c r="CK57" s="3"/>
      <c r="CL57" s="3"/>
      <c r="CM57" s="3"/>
      <c r="CN57" s="3"/>
      <c r="CO57" s="3"/>
      <c r="CP57" s="3"/>
      <c r="CQ57" s="3"/>
      <c r="CR57" s="3"/>
      <c r="CS57" s="3"/>
      <c r="CT57" s="3"/>
      <c r="CU57" s="3"/>
      <c r="CV57" s="3"/>
      <c r="CW57" s="3"/>
    </row>
    <row r="58" ht="15.75" customHeight="1">
      <c r="A58" s="99">
        <v>59.0</v>
      </c>
      <c r="B58" s="100" t="s">
        <v>150</v>
      </c>
      <c r="C58" s="101" t="s">
        <v>86</v>
      </c>
      <c r="D58" s="102" t="s">
        <v>51</v>
      </c>
      <c r="E58" s="102">
        <v>16.0</v>
      </c>
      <c r="F58" s="102">
        <v>18.0</v>
      </c>
      <c r="G58" s="6">
        <v>44041.0</v>
      </c>
      <c r="H58" s="6">
        <v>44051.0</v>
      </c>
      <c r="I58" s="103">
        <v>1.0</v>
      </c>
      <c r="J58" s="103">
        <v>1.0</v>
      </c>
      <c r="K58" s="103">
        <v>1.0</v>
      </c>
      <c r="L58" s="103">
        <v>1.0</v>
      </c>
      <c r="M58" s="103">
        <v>1.0</v>
      </c>
      <c r="N58" s="103">
        <v>1.0</v>
      </c>
      <c r="O58" s="103">
        <v>1.0</v>
      </c>
      <c r="P58" s="103">
        <v>1.0</v>
      </c>
      <c r="Q58" s="103">
        <v>1.0</v>
      </c>
      <c r="R58" s="103">
        <v>1.0</v>
      </c>
      <c r="S58" s="103">
        <v>1.0</v>
      </c>
      <c r="T58" s="103">
        <v>1.0</v>
      </c>
      <c r="U58" s="103">
        <v>1.0</v>
      </c>
      <c r="V58" s="103">
        <v>1.0</v>
      </c>
      <c r="W58" s="103">
        <v>1.0</v>
      </c>
      <c r="X58" s="103">
        <v>1.0</v>
      </c>
      <c r="Y58" s="103">
        <v>1.0</v>
      </c>
      <c r="Z58" s="103">
        <v>1.0</v>
      </c>
      <c r="AA58" s="103">
        <v>1.0</v>
      </c>
      <c r="AB58" s="103">
        <v>1.0</v>
      </c>
      <c r="AC58" s="103">
        <v>1.0</v>
      </c>
      <c r="AD58" s="103">
        <v>1.0</v>
      </c>
      <c r="AE58" s="103">
        <v>1.0</v>
      </c>
      <c r="AF58" s="103">
        <v>1.0</v>
      </c>
      <c r="AG58" s="103">
        <v>1.0</v>
      </c>
      <c r="AH58" s="103">
        <v>1.0</v>
      </c>
      <c r="AI58" s="103">
        <v>1.0</v>
      </c>
      <c r="AJ58" s="103">
        <v>1.0</v>
      </c>
      <c r="AK58" s="103">
        <v>1.0</v>
      </c>
      <c r="AL58" s="103">
        <v>1.0</v>
      </c>
      <c r="AM58" s="103">
        <v>0.3</v>
      </c>
      <c r="AN58" s="103">
        <v>0.3</v>
      </c>
      <c r="AO58" s="103">
        <v>0.3</v>
      </c>
      <c r="AP58" s="103">
        <v>0.3</v>
      </c>
      <c r="AQ58" s="103">
        <v>0.3</v>
      </c>
      <c r="AR58" s="103">
        <v>0.3</v>
      </c>
      <c r="AS58" s="103">
        <v>0.3</v>
      </c>
      <c r="AT58" s="103">
        <v>0.3</v>
      </c>
      <c r="AU58" s="103">
        <v>0.3</v>
      </c>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3"/>
      <c r="CE58" s="3"/>
      <c r="CF58" s="3"/>
      <c r="CG58" s="3"/>
      <c r="CH58" s="3"/>
      <c r="CI58" s="3"/>
      <c r="CJ58" s="3"/>
      <c r="CK58" s="3"/>
      <c r="CL58" s="3"/>
      <c r="CM58" s="3"/>
      <c r="CN58" s="3"/>
      <c r="CO58" s="3"/>
      <c r="CP58" s="3"/>
      <c r="CQ58" s="3"/>
      <c r="CR58" s="3"/>
      <c r="CS58" s="3"/>
      <c r="CT58" s="3"/>
      <c r="CU58" s="3"/>
      <c r="CV58" s="3"/>
      <c r="CW58" s="3"/>
    </row>
    <row r="59" ht="15.75" customHeight="1">
      <c r="A59" s="119" t="s">
        <v>164</v>
      </c>
      <c r="B59" s="120"/>
      <c r="C59" s="121"/>
      <c r="D59" s="122"/>
      <c r="E59" s="122"/>
      <c r="F59" s="122"/>
      <c r="G59" s="6"/>
      <c r="H59" s="6"/>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3"/>
      <c r="CE59" s="3"/>
      <c r="CF59" s="3"/>
      <c r="CG59" s="3"/>
      <c r="CH59" s="3"/>
      <c r="CI59" s="3"/>
      <c r="CJ59" s="3"/>
      <c r="CK59" s="3"/>
      <c r="CL59" s="3"/>
      <c r="CM59" s="3"/>
      <c r="CN59" s="3"/>
      <c r="CO59" s="3"/>
      <c r="CP59" s="3"/>
      <c r="CQ59" s="3"/>
      <c r="CR59" s="3"/>
      <c r="CS59" s="3"/>
      <c r="CT59" s="3"/>
      <c r="CU59" s="3"/>
      <c r="CV59" s="3"/>
      <c r="CW59" s="3"/>
    </row>
    <row r="60" ht="15.75" customHeight="1">
      <c r="A60" s="99">
        <v>60.0</v>
      </c>
      <c r="B60" s="100" t="s">
        <v>165</v>
      </c>
      <c r="C60" s="101" t="s">
        <v>86</v>
      </c>
      <c r="D60" s="102" t="s">
        <v>51</v>
      </c>
      <c r="E60" s="102">
        <v>40.0</v>
      </c>
      <c r="F60" s="102">
        <v>42.0</v>
      </c>
      <c r="G60" s="6">
        <v>44005.0</v>
      </c>
      <c r="H60" s="6">
        <v>44085.0</v>
      </c>
      <c r="I60" s="111">
        <v>1.0</v>
      </c>
      <c r="J60" s="111">
        <v>1.0</v>
      </c>
      <c r="K60" s="111">
        <v>1.0</v>
      </c>
      <c r="L60" s="111">
        <v>1.0</v>
      </c>
      <c r="M60" s="111">
        <v>1.0</v>
      </c>
      <c r="N60" s="111">
        <v>0.8</v>
      </c>
      <c r="O60" s="111">
        <v>0.8</v>
      </c>
      <c r="P60" s="111">
        <v>0.8</v>
      </c>
      <c r="Q60" s="111">
        <v>0.8</v>
      </c>
      <c r="R60" s="111">
        <v>0.8</v>
      </c>
      <c r="S60" s="111">
        <v>0.8</v>
      </c>
      <c r="T60" s="111">
        <v>0.8</v>
      </c>
      <c r="U60" s="111">
        <v>0.8</v>
      </c>
      <c r="V60" s="111">
        <v>0.8</v>
      </c>
      <c r="W60" s="111">
        <v>0.8</v>
      </c>
      <c r="X60" s="111">
        <v>0.8</v>
      </c>
      <c r="Y60" s="111">
        <v>0.8</v>
      </c>
      <c r="Z60" s="111">
        <v>0.8</v>
      </c>
      <c r="AA60" s="111">
        <v>0.8</v>
      </c>
      <c r="AB60" s="111">
        <v>0.8</v>
      </c>
      <c r="AC60" s="111">
        <v>0.8</v>
      </c>
      <c r="AD60" s="111">
        <v>0.8</v>
      </c>
      <c r="AE60" s="111">
        <v>0.8</v>
      </c>
      <c r="AF60" s="111">
        <v>0.8</v>
      </c>
      <c r="AG60" s="111">
        <v>0.8</v>
      </c>
      <c r="AH60" s="111">
        <v>0.8</v>
      </c>
      <c r="AI60" s="111">
        <v>0.8</v>
      </c>
      <c r="AJ60" s="111">
        <v>0.8</v>
      </c>
      <c r="AK60" s="111">
        <v>0.8</v>
      </c>
      <c r="AL60" s="111">
        <v>0.8</v>
      </c>
      <c r="AM60" s="111">
        <v>0.8</v>
      </c>
      <c r="AN60" s="111">
        <v>0.8</v>
      </c>
      <c r="AO60" s="111">
        <v>0.8</v>
      </c>
      <c r="AP60" s="111">
        <v>0.8</v>
      </c>
      <c r="AQ60" s="111">
        <v>0.8</v>
      </c>
      <c r="AR60" s="111">
        <v>0.8</v>
      </c>
      <c r="AS60" s="111">
        <v>0.8</v>
      </c>
      <c r="AT60" s="111">
        <v>0.8</v>
      </c>
      <c r="AU60" s="111">
        <v>0.8</v>
      </c>
      <c r="AV60" s="111">
        <v>0.8</v>
      </c>
      <c r="AW60" s="111">
        <v>0.8</v>
      </c>
      <c r="AX60" s="111">
        <v>0.8</v>
      </c>
      <c r="AY60" s="111">
        <v>0.8</v>
      </c>
      <c r="AZ60" s="111">
        <v>0.8</v>
      </c>
      <c r="BA60" s="111">
        <v>0.8</v>
      </c>
      <c r="BB60" s="111">
        <v>0.8</v>
      </c>
      <c r="BC60" s="111">
        <v>0.8</v>
      </c>
      <c r="BD60" s="111">
        <v>0.8</v>
      </c>
      <c r="BE60" s="111">
        <v>0.8</v>
      </c>
      <c r="BF60" s="111">
        <v>0.8</v>
      </c>
      <c r="BG60" s="111">
        <v>0.8</v>
      </c>
      <c r="BH60" s="111">
        <v>0.7</v>
      </c>
      <c r="BI60" s="111">
        <v>0.7</v>
      </c>
      <c r="BJ60" s="111">
        <v>0.6</v>
      </c>
      <c r="BK60" s="111">
        <v>0.6</v>
      </c>
      <c r="BL60" s="111">
        <v>0.6</v>
      </c>
      <c r="BM60" s="111">
        <v>0.6</v>
      </c>
      <c r="BN60" s="111">
        <v>0.6</v>
      </c>
      <c r="BO60" s="111">
        <v>0.6</v>
      </c>
      <c r="BP60" s="111">
        <v>0.5</v>
      </c>
      <c r="BQ60" s="111">
        <v>0.4</v>
      </c>
      <c r="BR60" s="111">
        <v>0.3</v>
      </c>
      <c r="BS60" s="111">
        <v>0.2</v>
      </c>
      <c r="BT60" s="111">
        <v>0.2</v>
      </c>
      <c r="BU60" s="111">
        <v>0.2</v>
      </c>
      <c r="BV60" s="111">
        <v>0.2</v>
      </c>
      <c r="BW60" s="111">
        <v>0.2</v>
      </c>
      <c r="BX60" s="111">
        <v>0.2</v>
      </c>
      <c r="BY60" s="111"/>
      <c r="BZ60" s="111"/>
      <c r="CA60" s="111"/>
      <c r="CB60" s="111"/>
      <c r="CC60" s="111"/>
      <c r="CD60" s="3"/>
      <c r="CE60" s="3"/>
      <c r="CF60" s="3"/>
      <c r="CG60" s="3"/>
      <c r="CH60" s="3"/>
      <c r="CI60" s="3"/>
      <c r="CJ60" s="3"/>
      <c r="CK60" s="3"/>
      <c r="CL60" s="3"/>
      <c r="CM60" s="3"/>
      <c r="CN60" s="3"/>
      <c r="CO60" s="3"/>
      <c r="CP60" s="3"/>
      <c r="CQ60" s="3"/>
      <c r="CR60" s="3"/>
      <c r="CS60" s="3"/>
      <c r="CT60" s="3"/>
      <c r="CU60" s="3"/>
      <c r="CV60" s="3"/>
      <c r="CW60" s="3"/>
    </row>
    <row r="61" ht="15.75" customHeight="1">
      <c r="A61" s="99">
        <v>61.0</v>
      </c>
      <c r="B61" s="100" t="s">
        <v>150</v>
      </c>
      <c r="C61" s="101" t="s">
        <v>54</v>
      </c>
      <c r="D61" s="102" t="s">
        <v>51</v>
      </c>
      <c r="E61" s="102">
        <v>16.0</v>
      </c>
      <c r="F61" s="102">
        <v>24.0</v>
      </c>
      <c r="G61" s="6">
        <v>44032.0</v>
      </c>
      <c r="H61" s="6">
        <v>44033.0</v>
      </c>
      <c r="I61" s="111">
        <v>1.0</v>
      </c>
      <c r="J61" s="111">
        <v>1.0</v>
      </c>
      <c r="K61" s="111">
        <v>1.0</v>
      </c>
      <c r="L61" s="111">
        <v>1.0</v>
      </c>
      <c r="M61" s="111">
        <v>1.0</v>
      </c>
      <c r="N61" s="111">
        <v>1.0</v>
      </c>
      <c r="O61" s="111">
        <v>1.0</v>
      </c>
      <c r="P61" s="111">
        <v>1.0</v>
      </c>
      <c r="Q61" s="111">
        <v>1.0</v>
      </c>
      <c r="R61" s="111">
        <v>1.0</v>
      </c>
      <c r="S61" s="111">
        <v>1.0</v>
      </c>
      <c r="T61" s="111">
        <v>1.0</v>
      </c>
      <c r="U61" s="111">
        <v>1.0</v>
      </c>
      <c r="V61" s="111">
        <v>1.0</v>
      </c>
      <c r="W61" s="111">
        <v>1.0</v>
      </c>
      <c r="X61" s="111">
        <v>1.0</v>
      </c>
      <c r="Y61" s="111">
        <v>1.0</v>
      </c>
      <c r="Z61" s="111">
        <v>1.0</v>
      </c>
      <c r="AA61" s="111">
        <v>1.0</v>
      </c>
      <c r="AB61" s="111">
        <v>1.0</v>
      </c>
      <c r="AC61" s="111">
        <v>1.0</v>
      </c>
      <c r="AD61" s="111">
        <v>1.0</v>
      </c>
      <c r="AE61" s="111">
        <v>1.0</v>
      </c>
      <c r="AF61" s="111">
        <v>1.0</v>
      </c>
      <c r="AG61" s="111">
        <v>1.0</v>
      </c>
      <c r="AH61" s="111">
        <v>1.0</v>
      </c>
      <c r="AI61" s="111">
        <v>1.0</v>
      </c>
      <c r="AJ61" s="111">
        <v>1.0</v>
      </c>
      <c r="AK61" s="111">
        <v>1.0</v>
      </c>
      <c r="AL61" s="111">
        <v>1.0</v>
      </c>
      <c r="AM61" s="111">
        <v>1.0</v>
      </c>
      <c r="AN61" s="111">
        <v>1.0</v>
      </c>
      <c r="AO61" s="111">
        <v>1.0</v>
      </c>
      <c r="AP61" s="111">
        <v>1.0</v>
      </c>
      <c r="AQ61" s="111">
        <v>1.0</v>
      </c>
      <c r="AR61" s="111">
        <v>1.0</v>
      </c>
      <c r="AS61" s="111">
        <v>1.0</v>
      </c>
      <c r="AT61" s="111">
        <v>1.0</v>
      </c>
      <c r="AU61" s="111">
        <v>1.0</v>
      </c>
      <c r="AV61" s="111">
        <v>1.0</v>
      </c>
      <c r="AW61" s="111">
        <v>1.0</v>
      </c>
      <c r="AX61" s="111">
        <v>1.0</v>
      </c>
      <c r="AY61" s="111">
        <v>1.0</v>
      </c>
      <c r="AZ61" s="111">
        <v>1.0</v>
      </c>
      <c r="BA61" s="111">
        <v>1.0</v>
      </c>
      <c r="BB61" s="111">
        <v>1.0</v>
      </c>
      <c r="BC61" s="111">
        <v>0.5</v>
      </c>
      <c r="BD61" s="111"/>
      <c r="BE61" s="111"/>
      <c r="BF61" s="111"/>
      <c r="BG61" s="111"/>
      <c r="BH61" s="111"/>
      <c r="BI61" s="111"/>
      <c r="BJ61" s="111"/>
      <c r="BK61" s="111"/>
      <c r="BL61" s="111"/>
      <c r="BM61" s="111"/>
      <c r="BN61" s="111"/>
      <c r="BO61" s="111"/>
      <c r="BP61" s="111"/>
      <c r="BQ61" s="111"/>
      <c r="BR61" s="111"/>
      <c r="BS61" s="111"/>
      <c r="BT61" s="111"/>
      <c r="BU61" s="111"/>
      <c r="BV61" s="111"/>
      <c r="BW61" s="111"/>
      <c r="BX61" s="111"/>
      <c r="BY61" s="111"/>
      <c r="BZ61" s="111"/>
      <c r="CA61" s="111"/>
      <c r="CB61" s="111"/>
      <c r="CC61" s="111"/>
      <c r="CD61" s="3"/>
      <c r="CE61" s="3"/>
      <c r="CF61" s="3"/>
      <c r="CG61" s="3"/>
      <c r="CH61" s="3"/>
      <c r="CI61" s="3"/>
      <c r="CJ61" s="3"/>
      <c r="CK61" s="3"/>
      <c r="CL61" s="3"/>
      <c r="CM61" s="3"/>
      <c r="CN61" s="3"/>
      <c r="CO61" s="3"/>
      <c r="CP61" s="3"/>
      <c r="CQ61" s="3"/>
      <c r="CR61" s="3"/>
      <c r="CS61" s="3"/>
      <c r="CT61" s="3"/>
      <c r="CU61" s="3"/>
      <c r="CV61" s="3"/>
      <c r="CW61" s="3"/>
    </row>
    <row r="62" ht="15.0" customHeight="1">
      <c r="A62" s="108" t="s">
        <v>45</v>
      </c>
      <c r="B62" s="50"/>
      <c r="C62" s="51"/>
      <c r="D62" s="101"/>
      <c r="E62" s="109">
        <f t="shared" ref="E62:F62" si="1">SUM(E8:E61)</f>
        <v>576</v>
      </c>
      <c r="F62" s="109">
        <f t="shared" si="1"/>
        <v>622</v>
      </c>
      <c r="G62" s="110"/>
      <c r="H62" s="110"/>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c r="BY62" s="111"/>
      <c r="BZ62" s="111"/>
      <c r="CA62" s="111"/>
      <c r="CB62" s="111"/>
      <c r="CC62" s="111"/>
      <c r="CD62" s="112"/>
      <c r="CE62" s="112"/>
      <c r="CF62" s="112"/>
      <c r="CG62" s="112"/>
      <c r="CH62" s="112"/>
      <c r="CI62" s="112"/>
      <c r="CJ62" s="112"/>
      <c r="CK62" s="112"/>
      <c r="CL62" s="112"/>
      <c r="CM62" s="112"/>
      <c r="CN62" s="112"/>
      <c r="CO62" s="112"/>
      <c r="CP62" s="112"/>
      <c r="CQ62" s="112"/>
      <c r="CR62" s="112"/>
      <c r="CS62" s="112"/>
      <c r="CT62" s="112"/>
      <c r="CU62" s="112"/>
      <c r="CV62" s="112"/>
      <c r="CW62" s="112"/>
    </row>
    <row r="63" ht="19.5" customHeight="1">
      <c r="A63" s="113" t="s">
        <v>166</v>
      </c>
      <c r="B63" s="50"/>
      <c r="C63" s="50"/>
      <c r="D63" s="50"/>
      <c r="E63" s="50"/>
      <c r="F63" s="50"/>
      <c r="G63" s="50"/>
      <c r="H63" s="50"/>
      <c r="I63" s="124">
        <v>44034.0</v>
      </c>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4"/>
      <c r="BZ63" s="124"/>
      <c r="CA63" s="124"/>
      <c r="CB63" s="124"/>
      <c r="CC63" s="124"/>
      <c r="CD63" s="117"/>
      <c r="CE63" s="117"/>
      <c r="CF63" s="117"/>
      <c r="CG63" s="117"/>
      <c r="CH63" s="117"/>
      <c r="CI63" s="117"/>
      <c r="CJ63" s="117"/>
      <c r="CK63" s="117"/>
      <c r="CL63" s="117"/>
      <c r="CM63" s="117"/>
      <c r="CN63" s="117"/>
      <c r="CO63" s="117"/>
      <c r="CP63" s="117"/>
      <c r="CQ63" s="117"/>
      <c r="CR63" s="117"/>
      <c r="CS63" s="117"/>
      <c r="CT63" s="117"/>
      <c r="CU63" s="117"/>
      <c r="CV63" s="117"/>
      <c r="CW63" s="117"/>
    </row>
    <row r="64" ht="19.5" customHeight="1">
      <c r="A64" s="113" t="s">
        <v>167</v>
      </c>
      <c r="B64" s="50"/>
      <c r="C64" s="50"/>
      <c r="D64" s="50"/>
      <c r="E64" s="50"/>
      <c r="F64" s="50"/>
      <c r="G64" s="50"/>
      <c r="H64" s="50"/>
      <c r="I64" s="124">
        <v>44043.0</v>
      </c>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4"/>
      <c r="BZ64" s="124"/>
      <c r="CA64" s="124"/>
      <c r="CB64" s="124"/>
      <c r="CC64" s="124"/>
      <c r="CD64" s="117"/>
      <c r="CE64" s="117"/>
      <c r="CF64" s="117"/>
      <c r="CG64" s="117"/>
      <c r="CH64" s="117"/>
      <c r="CI64" s="117"/>
      <c r="CJ64" s="117"/>
      <c r="CK64" s="117"/>
      <c r="CL64" s="117"/>
      <c r="CM64" s="117"/>
      <c r="CN64" s="117"/>
      <c r="CO64" s="117"/>
      <c r="CP64" s="117"/>
      <c r="CQ64" s="117"/>
      <c r="CR64" s="117"/>
      <c r="CS64" s="117"/>
      <c r="CT64" s="117"/>
      <c r="CU64" s="117"/>
      <c r="CV64" s="117"/>
      <c r="CW64" s="117"/>
    </row>
    <row r="65" ht="15.75" customHeight="1">
      <c r="A65" s="69"/>
      <c r="B65" s="69"/>
      <c r="C65" s="69"/>
      <c r="D65" s="4"/>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row>
    <row r="66" ht="15.75" customHeight="1">
      <c r="A66" s="125" t="s">
        <v>168</v>
      </c>
      <c r="B66" s="125"/>
      <c r="C66" s="125"/>
      <c r="D66" s="125"/>
      <c r="E66" s="125"/>
      <c r="F66" s="125"/>
      <c r="G66" s="125"/>
      <c r="H66" s="125"/>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3"/>
      <c r="CE66" s="3"/>
      <c r="CF66" s="3"/>
      <c r="CG66" s="3"/>
      <c r="CH66" s="3"/>
      <c r="CI66" s="3"/>
      <c r="CJ66" s="3"/>
      <c r="CK66" s="3"/>
      <c r="CL66" s="3"/>
      <c r="CM66" s="3"/>
      <c r="CN66" s="3"/>
      <c r="CO66" s="3"/>
      <c r="CP66" s="3"/>
      <c r="CQ66" s="3"/>
      <c r="CR66" s="3"/>
      <c r="CS66" s="3"/>
      <c r="CT66" s="3"/>
      <c r="CU66" s="3"/>
      <c r="CV66" s="3"/>
      <c r="CW66" s="3"/>
    </row>
    <row r="67" ht="15.75" customHeight="1">
      <c r="A67" s="95" t="s">
        <v>6</v>
      </c>
      <c r="B67" s="96" t="s">
        <v>7</v>
      </c>
      <c r="C67" s="97" t="s">
        <v>8</v>
      </c>
      <c r="D67" s="96" t="s">
        <v>9</v>
      </c>
      <c r="E67" s="96" t="s">
        <v>10</v>
      </c>
      <c r="F67" s="96" t="s">
        <v>11</v>
      </c>
      <c r="G67" s="96" t="s">
        <v>12</v>
      </c>
      <c r="H67" s="96" t="s">
        <v>13</v>
      </c>
      <c r="I67" s="70">
        <v>44090.0</v>
      </c>
      <c r="J67" s="98">
        <v>44089.0</v>
      </c>
      <c r="K67" s="98">
        <v>44088.0</v>
      </c>
      <c r="L67" s="98">
        <v>44086.0</v>
      </c>
      <c r="M67" s="98">
        <v>44085.0</v>
      </c>
      <c r="N67" s="98">
        <v>44084.0</v>
      </c>
      <c r="O67" s="98">
        <v>44083.0</v>
      </c>
      <c r="P67" s="98">
        <v>44082.0</v>
      </c>
      <c r="Q67" s="98">
        <v>44081.0</v>
      </c>
      <c r="R67" s="98">
        <v>44079.0</v>
      </c>
      <c r="S67" s="98">
        <v>44078.0</v>
      </c>
      <c r="T67" s="98">
        <v>44077.0</v>
      </c>
      <c r="U67" s="98">
        <v>44076.0</v>
      </c>
      <c r="V67" s="98">
        <v>44071.0</v>
      </c>
      <c r="W67" s="98">
        <v>44070.0</v>
      </c>
      <c r="X67" s="98">
        <v>44069.0</v>
      </c>
      <c r="Y67" s="98">
        <v>44068.0</v>
      </c>
      <c r="Z67" s="98">
        <v>44067.0</v>
      </c>
      <c r="AA67" s="98">
        <v>44065.0</v>
      </c>
      <c r="AB67" s="98">
        <v>44064.0</v>
      </c>
      <c r="AC67" s="98">
        <v>44063.0</v>
      </c>
      <c r="AD67" s="98">
        <v>44062.0</v>
      </c>
      <c r="AE67" s="98">
        <v>44061.0</v>
      </c>
      <c r="AF67" s="98">
        <v>44060.0</v>
      </c>
      <c r="AG67" s="98">
        <v>44057.0</v>
      </c>
      <c r="AH67" s="98">
        <v>44056.0</v>
      </c>
      <c r="AI67" s="98">
        <v>44055.0</v>
      </c>
      <c r="AJ67" s="98">
        <v>44054.0</v>
      </c>
      <c r="AK67" s="98">
        <v>44053.0</v>
      </c>
      <c r="AL67" s="98">
        <v>44051.0</v>
      </c>
      <c r="AM67" s="98">
        <v>44050.0</v>
      </c>
      <c r="AN67" s="98">
        <v>44049.0</v>
      </c>
      <c r="AO67" s="98">
        <v>44048.0</v>
      </c>
      <c r="AP67" s="98">
        <v>44047.0</v>
      </c>
      <c r="AQ67" s="98">
        <v>44045.0</v>
      </c>
      <c r="AR67" s="98">
        <v>44046.0</v>
      </c>
      <c r="AS67" s="98">
        <v>44043.0</v>
      </c>
      <c r="AT67" s="98">
        <v>44042.0</v>
      </c>
      <c r="AU67" s="98">
        <v>44041.0</v>
      </c>
      <c r="AV67" s="98">
        <v>44040.0</v>
      </c>
      <c r="AW67" s="98">
        <v>44039.0</v>
      </c>
      <c r="AX67" s="98">
        <v>44037.0</v>
      </c>
      <c r="AY67" s="98">
        <v>44036.0</v>
      </c>
      <c r="AZ67" s="98">
        <v>44035.0</v>
      </c>
      <c r="BA67" s="98">
        <v>44034.0</v>
      </c>
      <c r="BB67" s="98">
        <v>44033.0</v>
      </c>
      <c r="BC67" s="98">
        <v>44032.0</v>
      </c>
      <c r="BD67" s="98">
        <v>44029.0</v>
      </c>
      <c r="BE67" s="98">
        <v>44028.0</v>
      </c>
      <c r="BF67" s="98">
        <v>44027.0</v>
      </c>
      <c r="BG67" s="98">
        <v>44026.0</v>
      </c>
      <c r="BH67" s="98">
        <v>44025.0</v>
      </c>
      <c r="BI67" s="98">
        <v>44023.0</v>
      </c>
      <c r="BJ67" s="98">
        <v>44022.0</v>
      </c>
      <c r="BK67" s="98">
        <v>44021.0</v>
      </c>
      <c r="BL67" s="98">
        <v>44020.0</v>
      </c>
      <c r="BM67" s="98">
        <v>44019.0</v>
      </c>
      <c r="BN67" s="98">
        <v>44018.0</v>
      </c>
      <c r="BO67" s="98">
        <v>44015.0</v>
      </c>
      <c r="BP67" s="98">
        <v>44014.0</v>
      </c>
      <c r="BQ67" s="98">
        <v>44013.0</v>
      </c>
      <c r="BR67" s="98">
        <v>44012.0</v>
      </c>
      <c r="BS67" s="98">
        <v>44011.0</v>
      </c>
      <c r="BT67" s="98">
        <v>44009.0</v>
      </c>
      <c r="BU67" s="98">
        <v>44008.0</v>
      </c>
      <c r="BV67" s="98">
        <v>44007.0</v>
      </c>
      <c r="BW67" s="98">
        <v>44006.0</v>
      </c>
      <c r="BX67" s="98">
        <v>44005.0</v>
      </c>
      <c r="BY67" s="98">
        <v>44004.0</v>
      </c>
      <c r="BZ67" s="98">
        <v>44001.0</v>
      </c>
      <c r="CA67" s="98">
        <v>44000.0</v>
      </c>
      <c r="CB67" s="98">
        <v>43999.0</v>
      </c>
      <c r="CC67" s="98">
        <v>43998.0</v>
      </c>
      <c r="CD67" s="3"/>
      <c r="CE67" s="3"/>
      <c r="CF67" s="3"/>
      <c r="CG67" s="3"/>
      <c r="CH67" s="3"/>
      <c r="CI67" s="3"/>
      <c r="CJ67" s="3"/>
      <c r="CK67" s="3"/>
      <c r="CL67" s="3"/>
      <c r="CM67" s="3"/>
      <c r="CN67" s="3"/>
      <c r="CO67" s="3"/>
      <c r="CP67" s="3"/>
      <c r="CQ67" s="3"/>
      <c r="CR67" s="3"/>
      <c r="CS67" s="3"/>
      <c r="CT67" s="3"/>
      <c r="CU67" s="3"/>
      <c r="CV67" s="3"/>
      <c r="CW67" s="3"/>
    </row>
    <row r="68" ht="15.0" customHeight="1">
      <c r="A68" s="99">
        <v>1.0</v>
      </c>
      <c r="B68" s="106" t="s">
        <v>169</v>
      </c>
      <c r="C68" s="101" t="s">
        <v>86</v>
      </c>
      <c r="D68" s="102" t="s">
        <v>51</v>
      </c>
      <c r="E68" s="102">
        <v>16.0</v>
      </c>
      <c r="F68" s="102">
        <v>21.0</v>
      </c>
      <c r="G68" s="6">
        <v>44081.0</v>
      </c>
      <c r="H68" s="6">
        <v>44083.0</v>
      </c>
      <c r="I68" s="103">
        <v>1.0</v>
      </c>
      <c r="J68" s="103">
        <v>1.0</v>
      </c>
      <c r="K68" s="103">
        <v>1.0</v>
      </c>
      <c r="L68" s="103">
        <v>1.0</v>
      </c>
      <c r="M68" s="103">
        <v>1.0</v>
      </c>
      <c r="N68" s="103">
        <v>1.0</v>
      </c>
      <c r="O68" s="103">
        <v>1.0</v>
      </c>
      <c r="P68" s="103">
        <v>0.7</v>
      </c>
      <c r="Q68" s="103">
        <v>0.3</v>
      </c>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c r="CD68" s="3"/>
      <c r="CE68" s="3"/>
      <c r="CF68" s="3"/>
      <c r="CG68" s="3"/>
      <c r="CH68" s="3"/>
      <c r="CI68" s="3"/>
      <c r="CJ68" s="3"/>
      <c r="CK68" s="3"/>
      <c r="CL68" s="3"/>
      <c r="CM68" s="3"/>
      <c r="CN68" s="3"/>
      <c r="CO68" s="3"/>
      <c r="CP68" s="3"/>
      <c r="CQ68" s="3"/>
      <c r="CR68" s="3"/>
      <c r="CS68" s="3"/>
      <c r="CT68" s="3"/>
      <c r="CU68" s="3"/>
      <c r="CV68" s="3"/>
      <c r="CW68" s="3"/>
    </row>
    <row r="69" ht="15.0" customHeight="1">
      <c r="A69" s="99">
        <v>2.0</v>
      </c>
      <c r="B69" s="106" t="s">
        <v>170</v>
      </c>
      <c r="C69" s="101" t="s">
        <v>86</v>
      </c>
      <c r="D69" s="102" t="s">
        <v>51</v>
      </c>
      <c r="E69" s="102">
        <v>16.0</v>
      </c>
      <c r="F69" s="102">
        <v>21.0</v>
      </c>
      <c r="G69" s="6">
        <v>44084.0</v>
      </c>
      <c r="H69" s="6">
        <v>44086.0</v>
      </c>
      <c r="I69" s="103">
        <v>1.0</v>
      </c>
      <c r="J69" s="103">
        <v>1.0</v>
      </c>
      <c r="K69" s="103">
        <v>1.0</v>
      </c>
      <c r="L69" s="103">
        <v>1.0</v>
      </c>
      <c r="M69" s="103">
        <v>0.7</v>
      </c>
      <c r="N69" s="103">
        <v>0.3</v>
      </c>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103"/>
      <c r="BX69" s="103"/>
      <c r="BY69" s="103"/>
      <c r="BZ69" s="103"/>
      <c r="CA69" s="103"/>
      <c r="CB69" s="103"/>
      <c r="CC69" s="103"/>
      <c r="CD69" s="3"/>
      <c r="CE69" s="3"/>
      <c r="CF69" s="3"/>
      <c r="CG69" s="3"/>
      <c r="CH69" s="3"/>
      <c r="CI69" s="3"/>
      <c r="CJ69" s="3"/>
      <c r="CK69" s="3"/>
      <c r="CL69" s="3"/>
      <c r="CM69" s="3"/>
      <c r="CN69" s="3"/>
      <c r="CO69" s="3"/>
      <c r="CP69" s="3"/>
      <c r="CQ69" s="3"/>
      <c r="CR69" s="3"/>
      <c r="CS69" s="3"/>
      <c r="CT69" s="3"/>
      <c r="CU69" s="3"/>
      <c r="CV69" s="3"/>
      <c r="CW69" s="3"/>
    </row>
    <row r="70" ht="15.0" customHeight="1">
      <c r="A70" s="99">
        <v>3.0</v>
      </c>
      <c r="B70" s="106" t="s">
        <v>171</v>
      </c>
      <c r="C70" s="101" t="s">
        <v>20</v>
      </c>
      <c r="D70" s="102" t="s">
        <v>51</v>
      </c>
      <c r="E70" s="102">
        <v>16.0</v>
      </c>
      <c r="F70" s="102"/>
      <c r="G70" s="6"/>
      <c r="H70" s="6"/>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103"/>
      <c r="BW70" s="103"/>
      <c r="BX70" s="103"/>
      <c r="BY70" s="103"/>
      <c r="BZ70" s="103"/>
      <c r="CA70" s="103"/>
      <c r="CB70" s="103"/>
      <c r="CC70" s="103"/>
      <c r="CD70" s="3"/>
      <c r="CE70" s="3"/>
      <c r="CF70" s="3"/>
      <c r="CG70" s="3"/>
      <c r="CH70" s="3"/>
      <c r="CI70" s="3"/>
      <c r="CJ70" s="3"/>
      <c r="CK70" s="3"/>
      <c r="CL70" s="3"/>
      <c r="CM70" s="3"/>
      <c r="CN70" s="3"/>
      <c r="CO70" s="3"/>
      <c r="CP70" s="3"/>
      <c r="CQ70" s="3"/>
      <c r="CR70" s="3"/>
      <c r="CS70" s="3"/>
      <c r="CT70" s="3"/>
      <c r="CU70" s="3"/>
      <c r="CV70" s="3"/>
      <c r="CW70" s="3"/>
    </row>
    <row r="71" ht="15.0" customHeight="1">
      <c r="A71" s="99">
        <v>4.0</v>
      </c>
      <c r="B71" s="106" t="s">
        <v>59</v>
      </c>
      <c r="C71" s="101" t="s">
        <v>20</v>
      </c>
      <c r="D71" s="102" t="s">
        <v>51</v>
      </c>
      <c r="E71" s="102">
        <v>8.0</v>
      </c>
      <c r="F71" s="102">
        <v>9.0</v>
      </c>
      <c r="G71" s="6">
        <v>44088.0</v>
      </c>
      <c r="H71" s="6">
        <v>44090.0</v>
      </c>
      <c r="I71" s="103">
        <v>0.8</v>
      </c>
      <c r="J71" s="103">
        <v>0.6</v>
      </c>
      <c r="K71" s="103">
        <v>0.3</v>
      </c>
      <c r="L71" s="103"/>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3"/>
      <c r="BK71" s="103"/>
      <c r="BL71" s="103"/>
      <c r="BM71" s="103"/>
      <c r="BN71" s="103"/>
      <c r="BO71" s="103"/>
      <c r="BP71" s="103"/>
      <c r="BQ71" s="103"/>
      <c r="BR71" s="103"/>
      <c r="BS71" s="103"/>
      <c r="BT71" s="103"/>
      <c r="BU71" s="103"/>
      <c r="BV71" s="103"/>
      <c r="BW71" s="103"/>
      <c r="BX71" s="103"/>
      <c r="BY71" s="103"/>
      <c r="BZ71" s="103"/>
      <c r="CA71" s="103"/>
      <c r="CB71" s="103"/>
      <c r="CC71" s="103"/>
      <c r="CD71" s="3"/>
      <c r="CE71" s="3"/>
      <c r="CF71" s="3"/>
      <c r="CG71" s="3"/>
      <c r="CH71" s="3"/>
      <c r="CI71" s="3"/>
      <c r="CJ71" s="3"/>
      <c r="CK71" s="3"/>
      <c r="CL71" s="3"/>
      <c r="CM71" s="3"/>
      <c r="CN71" s="3"/>
      <c r="CO71" s="3"/>
      <c r="CP71" s="3"/>
      <c r="CQ71" s="3"/>
      <c r="CR71" s="3"/>
      <c r="CS71" s="3"/>
      <c r="CT71" s="3"/>
      <c r="CU71" s="3"/>
      <c r="CV71" s="3"/>
      <c r="CW71" s="3"/>
    </row>
    <row r="72" ht="15.0" customHeight="1">
      <c r="A72" s="108" t="s">
        <v>45</v>
      </c>
      <c r="B72" s="50"/>
      <c r="C72" s="51"/>
      <c r="D72" s="101"/>
      <c r="E72" s="109">
        <f t="shared" ref="E72:F72" si="2">SUM(E68:E71)</f>
        <v>56</v>
      </c>
      <c r="F72" s="109">
        <f t="shared" si="2"/>
        <v>51</v>
      </c>
      <c r="G72" s="110"/>
      <c r="H72" s="110"/>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c r="BY72" s="111"/>
      <c r="BZ72" s="111"/>
      <c r="CA72" s="111"/>
      <c r="CB72" s="111"/>
      <c r="CC72" s="111"/>
      <c r="CD72" s="112"/>
      <c r="CE72" s="112"/>
      <c r="CF72" s="112"/>
      <c r="CG72" s="112"/>
      <c r="CH72" s="112"/>
      <c r="CI72" s="112"/>
      <c r="CJ72" s="112"/>
      <c r="CK72" s="112"/>
      <c r="CL72" s="112"/>
      <c r="CM72" s="112"/>
      <c r="CN72" s="112"/>
      <c r="CO72" s="112"/>
      <c r="CP72" s="112"/>
      <c r="CQ72" s="112"/>
      <c r="CR72" s="112"/>
      <c r="CS72" s="112"/>
      <c r="CT72" s="112"/>
      <c r="CU72" s="112"/>
      <c r="CV72" s="112"/>
      <c r="CW72" s="112"/>
    </row>
    <row r="73" ht="15.75" customHeight="1">
      <c r="A73" s="69"/>
      <c r="B73" s="69"/>
      <c r="C73" s="69"/>
      <c r="D73" s="4"/>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row>
    <row r="74" ht="15.75" customHeight="1">
      <c r="A74" s="69"/>
      <c r="B74" s="69"/>
      <c r="C74" s="69"/>
      <c r="D74" s="4"/>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c r="CC74" s="69"/>
      <c r="CD74" s="69"/>
      <c r="CE74" s="69"/>
      <c r="CF74" s="69"/>
      <c r="CG74" s="69"/>
      <c r="CH74" s="69"/>
      <c r="CI74" s="69"/>
      <c r="CJ74" s="69"/>
      <c r="CK74" s="69"/>
      <c r="CL74" s="69"/>
      <c r="CM74" s="69"/>
      <c r="CN74" s="69"/>
      <c r="CO74" s="69"/>
      <c r="CP74" s="69"/>
      <c r="CQ74" s="69"/>
      <c r="CR74" s="69"/>
      <c r="CS74" s="69"/>
      <c r="CT74" s="69"/>
      <c r="CU74" s="69"/>
      <c r="CV74" s="69"/>
      <c r="CW74" s="69"/>
    </row>
    <row r="75" ht="15.75" customHeight="1">
      <c r="A75" s="69"/>
      <c r="B75" s="69"/>
      <c r="C75" s="69"/>
      <c r="D75" s="4"/>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69"/>
      <c r="CF75" s="69"/>
      <c r="CG75" s="69"/>
      <c r="CH75" s="69"/>
      <c r="CI75" s="69"/>
      <c r="CJ75" s="69"/>
      <c r="CK75" s="69"/>
      <c r="CL75" s="69"/>
      <c r="CM75" s="69"/>
      <c r="CN75" s="69"/>
      <c r="CO75" s="69"/>
      <c r="CP75" s="69"/>
      <c r="CQ75" s="69"/>
      <c r="CR75" s="69"/>
      <c r="CS75" s="69"/>
      <c r="CT75" s="69"/>
      <c r="CU75" s="69"/>
      <c r="CV75" s="69"/>
      <c r="CW75" s="69"/>
    </row>
    <row r="76" ht="15.75" customHeight="1">
      <c r="A76" s="69"/>
      <c r="B76" s="69"/>
      <c r="C76" s="69"/>
      <c r="D76" s="4"/>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c r="CC76" s="69"/>
      <c r="CD76" s="69"/>
      <c r="CE76" s="69"/>
      <c r="CF76" s="69"/>
      <c r="CG76" s="69"/>
      <c r="CH76" s="69"/>
      <c r="CI76" s="69"/>
      <c r="CJ76" s="69"/>
      <c r="CK76" s="69"/>
      <c r="CL76" s="69"/>
      <c r="CM76" s="69"/>
      <c r="CN76" s="69"/>
      <c r="CO76" s="69"/>
      <c r="CP76" s="69"/>
      <c r="CQ76" s="69"/>
      <c r="CR76" s="69"/>
      <c r="CS76" s="69"/>
      <c r="CT76" s="69"/>
      <c r="CU76" s="69"/>
      <c r="CV76" s="69"/>
      <c r="CW76" s="69"/>
    </row>
    <row r="77" ht="15.75" customHeight="1">
      <c r="A77" s="69"/>
      <c r="B77" s="69"/>
      <c r="C77" s="69"/>
      <c r="D77" s="4"/>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c r="CC77" s="69"/>
      <c r="CD77" s="69"/>
      <c r="CE77" s="69"/>
      <c r="CF77" s="69"/>
      <c r="CG77" s="69"/>
      <c r="CH77" s="69"/>
      <c r="CI77" s="69"/>
      <c r="CJ77" s="69"/>
      <c r="CK77" s="69"/>
      <c r="CL77" s="69"/>
      <c r="CM77" s="69"/>
      <c r="CN77" s="69"/>
      <c r="CO77" s="69"/>
      <c r="CP77" s="69"/>
      <c r="CQ77" s="69"/>
      <c r="CR77" s="69"/>
      <c r="CS77" s="69"/>
      <c r="CT77" s="69"/>
      <c r="CU77" s="69"/>
      <c r="CV77" s="69"/>
      <c r="CW77" s="69"/>
    </row>
    <row r="78" ht="15.75" customHeight="1">
      <c r="A78" s="69"/>
      <c r="B78" s="69"/>
      <c r="C78" s="69"/>
      <c r="D78" s="4"/>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c r="CC78" s="69"/>
      <c r="CD78" s="69"/>
      <c r="CE78" s="69"/>
      <c r="CF78" s="69"/>
      <c r="CG78" s="69"/>
      <c r="CH78" s="69"/>
      <c r="CI78" s="69"/>
      <c r="CJ78" s="69"/>
      <c r="CK78" s="69"/>
      <c r="CL78" s="69"/>
      <c r="CM78" s="69"/>
      <c r="CN78" s="69"/>
      <c r="CO78" s="69"/>
      <c r="CP78" s="69"/>
      <c r="CQ78" s="69"/>
      <c r="CR78" s="69"/>
      <c r="CS78" s="69"/>
      <c r="CT78" s="69"/>
      <c r="CU78" s="69"/>
      <c r="CV78" s="69"/>
      <c r="CW78" s="69"/>
    </row>
    <row r="79" ht="15.75" customHeight="1">
      <c r="A79" s="69"/>
      <c r="B79" s="69"/>
      <c r="C79" s="69"/>
      <c r="D79" s="4"/>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69"/>
      <c r="BS79" s="69"/>
      <c r="BT79" s="69"/>
      <c r="BU79" s="69"/>
      <c r="BV79" s="69"/>
      <c r="BW79" s="69"/>
      <c r="BX79" s="69"/>
      <c r="BY79" s="69"/>
      <c r="BZ79" s="69"/>
      <c r="CA79" s="69"/>
      <c r="CB79" s="69"/>
      <c r="CC79" s="69"/>
      <c r="CD79" s="69"/>
      <c r="CE79" s="69"/>
      <c r="CF79" s="69"/>
      <c r="CG79" s="69"/>
      <c r="CH79" s="69"/>
      <c r="CI79" s="69"/>
      <c r="CJ79" s="69"/>
      <c r="CK79" s="69"/>
      <c r="CL79" s="69"/>
      <c r="CM79" s="69"/>
      <c r="CN79" s="69"/>
      <c r="CO79" s="69"/>
      <c r="CP79" s="69"/>
      <c r="CQ79" s="69"/>
      <c r="CR79" s="69"/>
      <c r="CS79" s="69"/>
      <c r="CT79" s="69"/>
      <c r="CU79" s="69"/>
      <c r="CV79" s="69"/>
      <c r="CW79" s="69"/>
    </row>
    <row r="80" ht="15.75" customHeight="1">
      <c r="A80" s="69"/>
      <c r="B80" s="69"/>
      <c r="C80" s="69"/>
      <c r="D80" s="4"/>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c r="BL80" s="69"/>
      <c r="BM80" s="69"/>
      <c r="BN80" s="69"/>
      <c r="BO80" s="69"/>
      <c r="BP80" s="69"/>
      <c r="BQ80" s="69"/>
      <c r="BR80" s="69"/>
      <c r="BS80" s="69"/>
      <c r="BT80" s="69"/>
      <c r="BU80" s="69"/>
      <c r="BV80" s="69"/>
      <c r="BW80" s="69"/>
      <c r="BX80" s="69"/>
      <c r="BY80" s="69"/>
      <c r="BZ80" s="69"/>
      <c r="CA80" s="69"/>
      <c r="CB80" s="69"/>
      <c r="CC80" s="69"/>
      <c r="CD80" s="69"/>
      <c r="CE80" s="69"/>
      <c r="CF80" s="69"/>
      <c r="CG80" s="69"/>
      <c r="CH80" s="69"/>
      <c r="CI80" s="69"/>
      <c r="CJ80" s="69"/>
      <c r="CK80" s="69"/>
      <c r="CL80" s="69"/>
      <c r="CM80" s="69"/>
      <c r="CN80" s="69"/>
      <c r="CO80" s="69"/>
      <c r="CP80" s="69"/>
      <c r="CQ80" s="69"/>
      <c r="CR80" s="69"/>
      <c r="CS80" s="69"/>
      <c r="CT80" s="69"/>
      <c r="CU80" s="69"/>
      <c r="CV80" s="69"/>
      <c r="CW80" s="69"/>
    </row>
    <row r="81" ht="15.75" customHeight="1">
      <c r="A81" s="69"/>
      <c r="B81" s="69"/>
      <c r="C81" s="69"/>
      <c r="D81" s="4"/>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c r="BL81" s="69"/>
      <c r="BM81" s="69"/>
      <c r="BN81" s="69"/>
      <c r="BO81" s="69"/>
      <c r="BP81" s="69"/>
      <c r="BQ81" s="69"/>
      <c r="BR81" s="69"/>
      <c r="BS81" s="69"/>
      <c r="BT81" s="69"/>
      <c r="BU81" s="69"/>
      <c r="BV81" s="69"/>
      <c r="BW81" s="69"/>
      <c r="BX81" s="69"/>
      <c r="BY81" s="69"/>
      <c r="BZ81" s="69"/>
      <c r="CA81" s="69"/>
      <c r="CB81" s="69"/>
      <c r="CC81" s="69"/>
      <c r="CD81" s="69"/>
      <c r="CE81" s="69"/>
      <c r="CF81" s="69"/>
      <c r="CG81" s="69"/>
      <c r="CH81" s="69"/>
      <c r="CI81" s="69"/>
      <c r="CJ81" s="69"/>
      <c r="CK81" s="69"/>
      <c r="CL81" s="69"/>
      <c r="CM81" s="69"/>
      <c r="CN81" s="69"/>
      <c r="CO81" s="69"/>
      <c r="CP81" s="69"/>
      <c r="CQ81" s="69"/>
      <c r="CR81" s="69"/>
      <c r="CS81" s="69"/>
      <c r="CT81" s="69"/>
      <c r="CU81" s="69"/>
      <c r="CV81" s="69"/>
      <c r="CW81" s="69"/>
    </row>
    <row r="82" ht="15.75" customHeight="1">
      <c r="A82" s="69"/>
      <c r="B82" s="69"/>
      <c r="C82" s="69"/>
      <c r="D82" s="4"/>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c r="BL82" s="69"/>
      <c r="BM82" s="69"/>
      <c r="BN82" s="69"/>
      <c r="BO82" s="69"/>
      <c r="BP82" s="69"/>
      <c r="BQ82" s="69"/>
      <c r="BR82" s="69"/>
      <c r="BS82" s="69"/>
      <c r="BT82" s="69"/>
      <c r="BU82" s="69"/>
      <c r="BV82" s="69"/>
      <c r="BW82" s="69"/>
      <c r="BX82" s="69"/>
      <c r="BY82" s="69"/>
      <c r="BZ82" s="69"/>
      <c r="CA82" s="69"/>
      <c r="CB82" s="69"/>
      <c r="CC82" s="69"/>
      <c r="CD82" s="69"/>
      <c r="CE82" s="69"/>
      <c r="CF82" s="69"/>
      <c r="CG82" s="69"/>
      <c r="CH82" s="69"/>
      <c r="CI82" s="69"/>
      <c r="CJ82" s="69"/>
      <c r="CK82" s="69"/>
      <c r="CL82" s="69"/>
      <c r="CM82" s="69"/>
      <c r="CN82" s="69"/>
      <c r="CO82" s="69"/>
      <c r="CP82" s="69"/>
      <c r="CQ82" s="69"/>
      <c r="CR82" s="69"/>
      <c r="CS82" s="69"/>
      <c r="CT82" s="69"/>
      <c r="CU82" s="69"/>
      <c r="CV82" s="69"/>
      <c r="CW82" s="69"/>
    </row>
    <row r="83" ht="15.75" customHeight="1">
      <c r="A83" s="69"/>
      <c r="B83" s="69"/>
      <c r="C83" s="69"/>
      <c r="D83" s="4"/>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69"/>
      <c r="BS83" s="69"/>
      <c r="BT83" s="69"/>
      <c r="BU83" s="69"/>
      <c r="BV83" s="69"/>
      <c r="BW83" s="69"/>
      <c r="BX83" s="69"/>
      <c r="BY83" s="69"/>
      <c r="BZ83" s="69"/>
      <c r="CA83" s="69"/>
      <c r="CB83" s="69"/>
      <c r="CC83" s="69"/>
      <c r="CD83" s="69"/>
      <c r="CE83" s="69"/>
      <c r="CF83" s="69"/>
      <c r="CG83" s="69"/>
      <c r="CH83" s="69"/>
      <c r="CI83" s="69"/>
      <c r="CJ83" s="69"/>
      <c r="CK83" s="69"/>
      <c r="CL83" s="69"/>
      <c r="CM83" s="69"/>
      <c r="CN83" s="69"/>
      <c r="CO83" s="69"/>
      <c r="CP83" s="69"/>
      <c r="CQ83" s="69"/>
      <c r="CR83" s="69"/>
      <c r="CS83" s="69"/>
      <c r="CT83" s="69"/>
      <c r="CU83" s="69"/>
      <c r="CV83" s="69"/>
      <c r="CW83" s="69"/>
    </row>
    <row r="84" ht="15.75" customHeight="1">
      <c r="A84" s="69"/>
      <c r="B84" s="69"/>
      <c r="C84" s="69"/>
      <c r="D84" s="4"/>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c r="BL84" s="69"/>
      <c r="BM84" s="69"/>
      <c r="BN84" s="69"/>
      <c r="BO84" s="69"/>
      <c r="BP84" s="69"/>
      <c r="BQ84" s="69"/>
      <c r="BR84" s="69"/>
      <c r="BS84" s="69"/>
      <c r="BT84" s="69"/>
      <c r="BU84" s="69"/>
      <c r="BV84" s="69"/>
      <c r="BW84" s="69"/>
      <c r="BX84" s="69"/>
      <c r="BY84" s="69"/>
      <c r="BZ84" s="69"/>
      <c r="CA84" s="69"/>
      <c r="CB84" s="69"/>
      <c r="CC84" s="69"/>
      <c r="CD84" s="69"/>
      <c r="CE84" s="69"/>
      <c r="CF84" s="69"/>
      <c r="CG84" s="69"/>
      <c r="CH84" s="69"/>
      <c r="CI84" s="69"/>
      <c r="CJ84" s="69"/>
      <c r="CK84" s="69"/>
      <c r="CL84" s="69"/>
      <c r="CM84" s="69"/>
      <c r="CN84" s="69"/>
      <c r="CO84" s="69"/>
      <c r="CP84" s="69"/>
      <c r="CQ84" s="69"/>
      <c r="CR84" s="69"/>
      <c r="CS84" s="69"/>
      <c r="CT84" s="69"/>
      <c r="CU84" s="69"/>
      <c r="CV84" s="69"/>
      <c r="CW84" s="69"/>
    </row>
    <row r="85" ht="15.75" customHeight="1">
      <c r="A85" s="69"/>
      <c r="B85" s="69"/>
      <c r="C85" s="69"/>
      <c r="D85" s="4"/>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c r="BL85" s="69"/>
      <c r="BM85" s="69"/>
      <c r="BN85" s="69"/>
      <c r="BO85" s="69"/>
      <c r="BP85" s="69"/>
      <c r="BQ85" s="69"/>
      <c r="BR85" s="69"/>
      <c r="BS85" s="69"/>
      <c r="BT85" s="69"/>
      <c r="BU85" s="69"/>
      <c r="BV85" s="69"/>
      <c r="BW85" s="69"/>
      <c r="BX85" s="69"/>
      <c r="BY85" s="69"/>
      <c r="BZ85" s="69"/>
      <c r="CA85" s="69"/>
      <c r="CB85" s="69"/>
      <c r="CC85" s="69"/>
      <c r="CD85" s="69"/>
      <c r="CE85" s="69"/>
      <c r="CF85" s="69"/>
      <c r="CG85" s="69"/>
      <c r="CH85" s="69"/>
      <c r="CI85" s="69"/>
      <c r="CJ85" s="69"/>
      <c r="CK85" s="69"/>
      <c r="CL85" s="69"/>
      <c r="CM85" s="69"/>
      <c r="CN85" s="69"/>
      <c r="CO85" s="69"/>
      <c r="CP85" s="69"/>
      <c r="CQ85" s="69"/>
      <c r="CR85" s="69"/>
      <c r="CS85" s="69"/>
      <c r="CT85" s="69"/>
      <c r="CU85" s="69"/>
      <c r="CV85" s="69"/>
      <c r="CW85" s="69"/>
    </row>
    <row r="86" ht="15.75" customHeight="1">
      <c r="A86" s="69"/>
      <c r="B86" s="69"/>
      <c r="C86" s="69"/>
      <c r="D86" s="4"/>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c r="BL86" s="69"/>
      <c r="BM86" s="69"/>
      <c r="BN86" s="69"/>
      <c r="BO86" s="69"/>
      <c r="BP86" s="69"/>
      <c r="BQ86" s="69"/>
      <c r="BR86" s="69"/>
      <c r="BS86" s="69"/>
      <c r="BT86" s="69"/>
      <c r="BU86" s="69"/>
      <c r="BV86" s="69"/>
      <c r="BW86" s="69"/>
      <c r="BX86" s="69"/>
      <c r="BY86" s="69"/>
      <c r="BZ86" s="69"/>
      <c r="CA86" s="69"/>
      <c r="CB86" s="69"/>
      <c r="CC86" s="69"/>
      <c r="CD86" s="69"/>
      <c r="CE86" s="69"/>
      <c r="CF86" s="69"/>
      <c r="CG86" s="69"/>
      <c r="CH86" s="69"/>
      <c r="CI86" s="69"/>
      <c r="CJ86" s="69"/>
      <c r="CK86" s="69"/>
      <c r="CL86" s="69"/>
      <c r="CM86" s="69"/>
      <c r="CN86" s="69"/>
      <c r="CO86" s="69"/>
      <c r="CP86" s="69"/>
      <c r="CQ86" s="69"/>
      <c r="CR86" s="69"/>
      <c r="CS86" s="69"/>
      <c r="CT86" s="69"/>
      <c r="CU86" s="69"/>
      <c r="CV86" s="69"/>
      <c r="CW86" s="69"/>
    </row>
    <row r="87" ht="15.75" customHeight="1">
      <c r="A87" s="69"/>
      <c r="B87" s="69"/>
      <c r="C87" s="69"/>
      <c r="D87" s="4"/>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c r="BL87" s="69"/>
      <c r="BM87" s="69"/>
      <c r="BN87" s="69"/>
      <c r="BO87" s="69"/>
      <c r="BP87" s="69"/>
      <c r="BQ87" s="69"/>
      <c r="BR87" s="69"/>
      <c r="BS87" s="69"/>
      <c r="BT87" s="69"/>
      <c r="BU87" s="69"/>
      <c r="BV87" s="69"/>
      <c r="BW87" s="69"/>
      <c r="BX87" s="69"/>
      <c r="BY87" s="69"/>
      <c r="BZ87" s="69"/>
      <c r="CA87" s="69"/>
      <c r="CB87" s="69"/>
      <c r="CC87" s="69"/>
      <c r="CD87" s="69"/>
      <c r="CE87" s="69"/>
      <c r="CF87" s="69"/>
      <c r="CG87" s="69"/>
      <c r="CH87" s="69"/>
      <c r="CI87" s="69"/>
      <c r="CJ87" s="69"/>
      <c r="CK87" s="69"/>
      <c r="CL87" s="69"/>
      <c r="CM87" s="69"/>
      <c r="CN87" s="69"/>
      <c r="CO87" s="69"/>
      <c r="CP87" s="69"/>
      <c r="CQ87" s="69"/>
      <c r="CR87" s="69"/>
      <c r="CS87" s="69"/>
      <c r="CT87" s="69"/>
      <c r="CU87" s="69"/>
      <c r="CV87" s="69"/>
      <c r="CW87" s="69"/>
    </row>
    <row r="88" ht="15.75" customHeight="1">
      <c r="A88" s="69"/>
      <c r="B88" s="69"/>
      <c r="C88" s="69"/>
      <c r="D88" s="4"/>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c r="BP88" s="69"/>
      <c r="BQ88" s="69"/>
      <c r="BR88" s="69"/>
      <c r="BS88" s="69"/>
      <c r="BT88" s="69"/>
      <c r="BU88" s="69"/>
      <c r="BV88" s="69"/>
      <c r="BW88" s="69"/>
      <c r="BX88" s="69"/>
      <c r="BY88" s="69"/>
      <c r="BZ88" s="69"/>
      <c r="CA88" s="69"/>
      <c r="CB88" s="69"/>
      <c r="CC88" s="69"/>
      <c r="CD88" s="69"/>
      <c r="CE88" s="69"/>
      <c r="CF88" s="69"/>
      <c r="CG88" s="69"/>
      <c r="CH88" s="69"/>
      <c r="CI88" s="69"/>
      <c r="CJ88" s="69"/>
      <c r="CK88" s="69"/>
      <c r="CL88" s="69"/>
      <c r="CM88" s="69"/>
      <c r="CN88" s="69"/>
      <c r="CO88" s="69"/>
      <c r="CP88" s="69"/>
      <c r="CQ88" s="69"/>
      <c r="CR88" s="69"/>
      <c r="CS88" s="69"/>
      <c r="CT88" s="69"/>
      <c r="CU88" s="69"/>
      <c r="CV88" s="69"/>
      <c r="CW88" s="69"/>
    </row>
    <row r="89" ht="15.75" customHeight="1">
      <c r="A89" s="69"/>
      <c r="B89" s="69"/>
      <c r="C89" s="69"/>
      <c r="D89" s="4"/>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c r="BL89" s="69"/>
      <c r="BM89" s="69"/>
      <c r="BN89" s="69"/>
      <c r="BO89" s="69"/>
      <c r="BP89" s="69"/>
      <c r="BQ89" s="69"/>
      <c r="BR89" s="69"/>
      <c r="BS89" s="69"/>
      <c r="BT89" s="69"/>
      <c r="BU89" s="69"/>
      <c r="BV89" s="69"/>
      <c r="BW89" s="69"/>
      <c r="BX89" s="69"/>
      <c r="BY89" s="69"/>
      <c r="BZ89" s="69"/>
      <c r="CA89" s="69"/>
      <c r="CB89" s="69"/>
      <c r="CC89" s="69"/>
      <c r="CD89" s="69"/>
      <c r="CE89" s="69"/>
      <c r="CF89" s="69"/>
      <c r="CG89" s="69"/>
      <c r="CH89" s="69"/>
      <c r="CI89" s="69"/>
      <c r="CJ89" s="69"/>
      <c r="CK89" s="69"/>
      <c r="CL89" s="69"/>
      <c r="CM89" s="69"/>
      <c r="CN89" s="69"/>
      <c r="CO89" s="69"/>
      <c r="CP89" s="69"/>
      <c r="CQ89" s="69"/>
      <c r="CR89" s="69"/>
      <c r="CS89" s="69"/>
      <c r="CT89" s="69"/>
      <c r="CU89" s="69"/>
      <c r="CV89" s="69"/>
      <c r="CW89" s="69"/>
    </row>
    <row r="90" ht="15.75" customHeight="1">
      <c r="A90" s="69"/>
      <c r="B90" s="69"/>
      <c r="C90" s="69"/>
      <c r="D90" s="4"/>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c r="BL90" s="69"/>
      <c r="BM90" s="69"/>
      <c r="BN90" s="69"/>
      <c r="BO90" s="69"/>
      <c r="BP90" s="69"/>
      <c r="BQ90" s="69"/>
      <c r="BR90" s="69"/>
      <c r="BS90" s="69"/>
      <c r="BT90" s="69"/>
      <c r="BU90" s="69"/>
      <c r="BV90" s="69"/>
      <c r="BW90" s="69"/>
      <c r="BX90" s="69"/>
      <c r="BY90" s="69"/>
      <c r="BZ90" s="69"/>
      <c r="CA90" s="69"/>
      <c r="CB90" s="69"/>
      <c r="CC90" s="69"/>
      <c r="CD90" s="69"/>
      <c r="CE90" s="69"/>
      <c r="CF90" s="69"/>
      <c r="CG90" s="69"/>
      <c r="CH90" s="69"/>
      <c r="CI90" s="69"/>
      <c r="CJ90" s="69"/>
      <c r="CK90" s="69"/>
      <c r="CL90" s="69"/>
      <c r="CM90" s="69"/>
      <c r="CN90" s="69"/>
      <c r="CO90" s="69"/>
      <c r="CP90" s="69"/>
      <c r="CQ90" s="69"/>
      <c r="CR90" s="69"/>
      <c r="CS90" s="69"/>
      <c r="CT90" s="69"/>
      <c r="CU90" s="69"/>
      <c r="CV90" s="69"/>
      <c r="CW90" s="69"/>
    </row>
    <row r="91" ht="15.75" customHeight="1">
      <c r="A91" s="69"/>
      <c r="B91" s="69"/>
      <c r="C91" s="69"/>
      <c r="D91" s="4"/>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9"/>
      <c r="CA91" s="69"/>
      <c r="CB91" s="69"/>
      <c r="CC91" s="69"/>
      <c r="CD91" s="69"/>
      <c r="CE91" s="69"/>
      <c r="CF91" s="69"/>
      <c r="CG91" s="69"/>
      <c r="CH91" s="69"/>
      <c r="CI91" s="69"/>
      <c r="CJ91" s="69"/>
      <c r="CK91" s="69"/>
      <c r="CL91" s="69"/>
      <c r="CM91" s="69"/>
      <c r="CN91" s="69"/>
      <c r="CO91" s="69"/>
      <c r="CP91" s="69"/>
      <c r="CQ91" s="69"/>
      <c r="CR91" s="69"/>
      <c r="CS91" s="69"/>
      <c r="CT91" s="69"/>
      <c r="CU91" s="69"/>
      <c r="CV91" s="69"/>
      <c r="CW91" s="69"/>
    </row>
    <row r="92" ht="15.75" customHeight="1">
      <c r="A92" s="69"/>
      <c r="B92" s="69"/>
      <c r="C92" s="69"/>
      <c r="D92" s="4"/>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c r="BL92" s="69"/>
      <c r="BM92" s="69"/>
      <c r="BN92" s="69"/>
      <c r="BO92" s="69"/>
      <c r="BP92" s="69"/>
      <c r="BQ92" s="69"/>
      <c r="BR92" s="69"/>
      <c r="BS92" s="69"/>
      <c r="BT92" s="69"/>
      <c r="BU92" s="69"/>
      <c r="BV92" s="69"/>
      <c r="BW92" s="69"/>
      <c r="BX92" s="69"/>
      <c r="BY92" s="69"/>
      <c r="BZ92" s="69"/>
      <c r="CA92" s="69"/>
      <c r="CB92" s="69"/>
      <c r="CC92" s="69"/>
      <c r="CD92" s="69"/>
      <c r="CE92" s="69"/>
      <c r="CF92" s="69"/>
      <c r="CG92" s="69"/>
      <c r="CH92" s="69"/>
      <c r="CI92" s="69"/>
      <c r="CJ92" s="69"/>
      <c r="CK92" s="69"/>
      <c r="CL92" s="69"/>
      <c r="CM92" s="69"/>
      <c r="CN92" s="69"/>
      <c r="CO92" s="69"/>
      <c r="CP92" s="69"/>
      <c r="CQ92" s="69"/>
      <c r="CR92" s="69"/>
      <c r="CS92" s="69"/>
      <c r="CT92" s="69"/>
      <c r="CU92" s="69"/>
      <c r="CV92" s="69"/>
      <c r="CW92" s="69"/>
    </row>
    <row r="93" ht="15.75" customHeight="1">
      <c r="A93" s="69"/>
      <c r="B93" s="69"/>
      <c r="C93" s="69"/>
      <c r="D93" s="4"/>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c r="BL93" s="69"/>
      <c r="BM93" s="69"/>
      <c r="BN93" s="69"/>
      <c r="BO93" s="69"/>
      <c r="BP93" s="69"/>
      <c r="BQ93" s="69"/>
      <c r="BR93" s="69"/>
      <c r="BS93" s="69"/>
      <c r="BT93" s="69"/>
      <c r="BU93" s="69"/>
      <c r="BV93" s="69"/>
      <c r="BW93" s="69"/>
      <c r="BX93" s="69"/>
      <c r="BY93" s="69"/>
      <c r="BZ93" s="69"/>
      <c r="CA93" s="69"/>
      <c r="CB93" s="69"/>
      <c r="CC93" s="69"/>
      <c r="CD93" s="69"/>
      <c r="CE93" s="69"/>
      <c r="CF93" s="69"/>
      <c r="CG93" s="69"/>
      <c r="CH93" s="69"/>
      <c r="CI93" s="69"/>
      <c r="CJ93" s="69"/>
      <c r="CK93" s="69"/>
      <c r="CL93" s="69"/>
      <c r="CM93" s="69"/>
      <c r="CN93" s="69"/>
      <c r="CO93" s="69"/>
      <c r="CP93" s="69"/>
      <c r="CQ93" s="69"/>
      <c r="CR93" s="69"/>
      <c r="CS93" s="69"/>
      <c r="CT93" s="69"/>
      <c r="CU93" s="69"/>
      <c r="CV93" s="69"/>
      <c r="CW93" s="69"/>
    </row>
    <row r="94" ht="15.75" customHeight="1">
      <c r="A94" s="69"/>
      <c r="B94" s="69"/>
      <c r="C94" s="69"/>
      <c r="D94" s="4"/>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c r="BL94" s="69"/>
      <c r="BM94" s="69"/>
      <c r="BN94" s="69"/>
      <c r="BO94" s="69"/>
      <c r="BP94" s="69"/>
      <c r="BQ94" s="69"/>
      <c r="BR94" s="69"/>
      <c r="BS94" s="69"/>
      <c r="BT94" s="69"/>
      <c r="BU94" s="69"/>
      <c r="BV94" s="69"/>
      <c r="BW94" s="69"/>
      <c r="BX94" s="69"/>
      <c r="BY94" s="69"/>
      <c r="BZ94" s="69"/>
      <c r="CA94" s="69"/>
      <c r="CB94" s="69"/>
      <c r="CC94" s="69"/>
      <c r="CD94" s="69"/>
      <c r="CE94" s="69"/>
      <c r="CF94" s="69"/>
      <c r="CG94" s="69"/>
      <c r="CH94" s="69"/>
      <c r="CI94" s="69"/>
      <c r="CJ94" s="69"/>
      <c r="CK94" s="69"/>
      <c r="CL94" s="69"/>
      <c r="CM94" s="69"/>
      <c r="CN94" s="69"/>
      <c r="CO94" s="69"/>
      <c r="CP94" s="69"/>
      <c r="CQ94" s="69"/>
      <c r="CR94" s="69"/>
      <c r="CS94" s="69"/>
      <c r="CT94" s="69"/>
      <c r="CU94" s="69"/>
      <c r="CV94" s="69"/>
      <c r="CW94" s="69"/>
    </row>
    <row r="95" ht="15.75" customHeight="1">
      <c r="A95" s="69"/>
      <c r="B95" s="69"/>
      <c r="C95" s="69"/>
      <c r="D95" s="4"/>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c r="BL95" s="69"/>
      <c r="BM95" s="69"/>
      <c r="BN95" s="69"/>
      <c r="BO95" s="69"/>
      <c r="BP95" s="69"/>
      <c r="BQ95" s="69"/>
      <c r="BR95" s="69"/>
      <c r="BS95" s="69"/>
      <c r="BT95" s="69"/>
      <c r="BU95" s="69"/>
      <c r="BV95" s="69"/>
      <c r="BW95" s="69"/>
      <c r="BX95" s="69"/>
      <c r="BY95" s="69"/>
      <c r="BZ95" s="69"/>
      <c r="CA95" s="69"/>
      <c r="CB95" s="69"/>
      <c r="CC95" s="69"/>
      <c r="CD95" s="69"/>
      <c r="CE95" s="69"/>
      <c r="CF95" s="69"/>
      <c r="CG95" s="69"/>
      <c r="CH95" s="69"/>
      <c r="CI95" s="69"/>
      <c r="CJ95" s="69"/>
      <c r="CK95" s="69"/>
      <c r="CL95" s="69"/>
      <c r="CM95" s="69"/>
      <c r="CN95" s="69"/>
      <c r="CO95" s="69"/>
      <c r="CP95" s="69"/>
      <c r="CQ95" s="69"/>
      <c r="CR95" s="69"/>
      <c r="CS95" s="69"/>
      <c r="CT95" s="69"/>
      <c r="CU95" s="69"/>
      <c r="CV95" s="69"/>
      <c r="CW95" s="69"/>
    </row>
    <row r="96" ht="15.75" customHeight="1">
      <c r="A96" s="69"/>
      <c r="B96" s="69"/>
      <c r="C96" s="69"/>
      <c r="D96" s="4"/>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c r="BL96" s="69"/>
      <c r="BM96" s="69"/>
      <c r="BN96" s="69"/>
      <c r="BO96" s="69"/>
      <c r="BP96" s="69"/>
      <c r="BQ96" s="69"/>
      <c r="BR96" s="69"/>
      <c r="BS96" s="69"/>
      <c r="BT96" s="69"/>
      <c r="BU96" s="69"/>
      <c r="BV96" s="69"/>
      <c r="BW96" s="69"/>
      <c r="BX96" s="69"/>
      <c r="BY96" s="69"/>
      <c r="BZ96" s="69"/>
      <c r="CA96" s="69"/>
      <c r="CB96" s="69"/>
      <c r="CC96" s="69"/>
      <c r="CD96" s="69"/>
      <c r="CE96" s="69"/>
      <c r="CF96" s="69"/>
      <c r="CG96" s="69"/>
      <c r="CH96" s="69"/>
      <c r="CI96" s="69"/>
      <c r="CJ96" s="69"/>
      <c r="CK96" s="69"/>
      <c r="CL96" s="69"/>
      <c r="CM96" s="69"/>
      <c r="CN96" s="69"/>
      <c r="CO96" s="69"/>
      <c r="CP96" s="69"/>
      <c r="CQ96" s="69"/>
      <c r="CR96" s="69"/>
      <c r="CS96" s="69"/>
      <c r="CT96" s="69"/>
      <c r="CU96" s="69"/>
      <c r="CV96" s="69"/>
      <c r="CW96" s="69"/>
    </row>
    <row r="97" ht="15.75" customHeight="1">
      <c r="A97" s="69"/>
      <c r="B97" s="69"/>
      <c r="C97" s="69"/>
      <c r="D97" s="4"/>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c r="BL97" s="69"/>
      <c r="BM97" s="69"/>
      <c r="BN97" s="69"/>
      <c r="BO97" s="69"/>
      <c r="BP97" s="69"/>
      <c r="BQ97" s="69"/>
      <c r="BR97" s="69"/>
      <c r="BS97" s="69"/>
      <c r="BT97" s="69"/>
      <c r="BU97" s="69"/>
      <c r="BV97" s="69"/>
      <c r="BW97" s="69"/>
      <c r="BX97" s="69"/>
      <c r="BY97" s="69"/>
      <c r="BZ97" s="69"/>
      <c r="CA97" s="69"/>
      <c r="CB97" s="69"/>
      <c r="CC97" s="69"/>
      <c r="CD97" s="69"/>
      <c r="CE97" s="69"/>
      <c r="CF97" s="69"/>
      <c r="CG97" s="69"/>
      <c r="CH97" s="69"/>
      <c r="CI97" s="69"/>
      <c r="CJ97" s="69"/>
      <c r="CK97" s="69"/>
      <c r="CL97" s="69"/>
      <c r="CM97" s="69"/>
      <c r="CN97" s="69"/>
      <c r="CO97" s="69"/>
      <c r="CP97" s="69"/>
      <c r="CQ97" s="69"/>
      <c r="CR97" s="69"/>
      <c r="CS97" s="69"/>
      <c r="CT97" s="69"/>
      <c r="CU97" s="69"/>
      <c r="CV97" s="69"/>
      <c r="CW97" s="69"/>
    </row>
    <row r="98" ht="15.75" customHeight="1">
      <c r="A98" s="69"/>
      <c r="B98" s="69"/>
      <c r="C98" s="69"/>
      <c r="D98" s="4"/>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c r="BL98" s="69"/>
      <c r="BM98" s="69"/>
      <c r="BN98" s="69"/>
      <c r="BO98" s="69"/>
      <c r="BP98" s="69"/>
      <c r="BQ98" s="69"/>
      <c r="BR98" s="69"/>
      <c r="BS98" s="69"/>
      <c r="BT98" s="69"/>
      <c r="BU98" s="69"/>
      <c r="BV98" s="69"/>
      <c r="BW98" s="69"/>
      <c r="BX98" s="69"/>
      <c r="BY98" s="69"/>
      <c r="BZ98" s="69"/>
      <c r="CA98" s="69"/>
      <c r="CB98" s="69"/>
      <c r="CC98" s="69"/>
      <c r="CD98" s="69"/>
      <c r="CE98" s="69"/>
      <c r="CF98" s="69"/>
      <c r="CG98" s="69"/>
      <c r="CH98" s="69"/>
      <c r="CI98" s="69"/>
      <c r="CJ98" s="69"/>
      <c r="CK98" s="69"/>
      <c r="CL98" s="69"/>
      <c r="CM98" s="69"/>
      <c r="CN98" s="69"/>
      <c r="CO98" s="69"/>
      <c r="CP98" s="69"/>
      <c r="CQ98" s="69"/>
      <c r="CR98" s="69"/>
      <c r="CS98" s="69"/>
      <c r="CT98" s="69"/>
      <c r="CU98" s="69"/>
      <c r="CV98" s="69"/>
      <c r="CW98" s="69"/>
    </row>
    <row r="99" ht="15.75" customHeight="1">
      <c r="A99" s="69"/>
      <c r="B99" s="69"/>
      <c r="C99" s="69"/>
      <c r="D99" s="4"/>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c r="BL99" s="69"/>
      <c r="BM99" s="69"/>
      <c r="BN99" s="69"/>
      <c r="BO99" s="69"/>
      <c r="BP99" s="69"/>
      <c r="BQ99" s="69"/>
      <c r="BR99" s="69"/>
      <c r="BS99" s="69"/>
      <c r="BT99" s="69"/>
      <c r="BU99" s="69"/>
      <c r="BV99" s="69"/>
      <c r="BW99" s="69"/>
      <c r="BX99" s="69"/>
      <c r="BY99" s="69"/>
      <c r="BZ99" s="69"/>
      <c r="CA99" s="69"/>
      <c r="CB99" s="69"/>
      <c r="CC99" s="69"/>
      <c r="CD99" s="69"/>
      <c r="CE99" s="69"/>
      <c r="CF99" s="69"/>
      <c r="CG99" s="69"/>
      <c r="CH99" s="69"/>
      <c r="CI99" s="69"/>
      <c r="CJ99" s="69"/>
      <c r="CK99" s="69"/>
      <c r="CL99" s="69"/>
      <c r="CM99" s="69"/>
      <c r="CN99" s="69"/>
      <c r="CO99" s="69"/>
      <c r="CP99" s="69"/>
      <c r="CQ99" s="69"/>
      <c r="CR99" s="69"/>
      <c r="CS99" s="69"/>
      <c r="CT99" s="69"/>
      <c r="CU99" s="69"/>
      <c r="CV99" s="69"/>
      <c r="CW99" s="69"/>
    </row>
    <row r="100" ht="15.75" customHeight="1">
      <c r="A100" s="69"/>
      <c r="B100" s="69"/>
      <c r="C100" s="69"/>
      <c r="D100" s="4"/>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c r="BL100" s="69"/>
      <c r="BM100" s="69"/>
      <c r="BN100" s="69"/>
      <c r="BO100" s="69"/>
      <c r="BP100" s="69"/>
      <c r="BQ100" s="69"/>
      <c r="BR100" s="69"/>
      <c r="BS100" s="69"/>
      <c r="BT100" s="69"/>
      <c r="BU100" s="69"/>
      <c r="BV100" s="69"/>
      <c r="BW100" s="69"/>
      <c r="BX100" s="69"/>
      <c r="BY100" s="69"/>
      <c r="BZ100" s="69"/>
      <c r="CA100" s="69"/>
      <c r="CB100" s="69"/>
      <c r="CC100" s="69"/>
      <c r="CD100" s="69"/>
      <c r="CE100" s="69"/>
      <c r="CF100" s="69"/>
      <c r="CG100" s="69"/>
      <c r="CH100" s="69"/>
      <c r="CI100" s="69"/>
      <c r="CJ100" s="69"/>
      <c r="CK100" s="69"/>
      <c r="CL100" s="69"/>
      <c r="CM100" s="69"/>
      <c r="CN100" s="69"/>
      <c r="CO100" s="69"/>
      <c r="CP100" s="69"/>
      <c r="CQ100" s="69"/>
      <c r="CR100" s="69"/>
      <c r="CS100" s="69"/>
      <c r="CT100" s="69"/>
      <c r="CU100" s="69"/>
      <c r="CV100" s="69"/>
      <c r="CW100" s="69"/>
    </row>
    <row r="101" ht="15.75" customHeight="1">
      <c r="A101" s="69"/>
      <c r="B101" s="69"/>
      <c r="C101" s="69"/>
      <c r="D101" s="4"/>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69"/>
      <c r="BO101" s="69"/>
      <c r="BP101" s="69"/>
      <c r="BQ101" s="69"/>
      <c r="BR101" s="69"/>
      <c r="BS101" s="69"/>
      <c r="BT101" s="69"/>
      <c r="BU101" s="69"/>
      <c r="BV101" s="69"/>
      <c r="BW101" s="69"/>
      <c r="BX101" s="69"/>
      <c r="BY101" s="69"/>
      <c r="BZ101" s="69"/>
      <c r="CA101" s="69"/>
      <c r="CB101" s="69"/>
      <c r="CC101" s="69"/>
      <c r="CD101" s="69"/>
      <c r="CE101" s="69"/>
      <c r="CF101" s="69"/>
      <c r="CG101" s="69"/>
      <c r="CH101" s="69"/>
      <c r="CI101" s="69"/>
      <c r="CJ101" s="69"/>
      <c r="CK101" s="69"/>
      <c r="CL101" s="69"/>
      <c r="CM101" s="69"/>
      <c r="CN101" s="69"/>
      <c r="CO101" s="69"/>
      <c r="CP101" s="69"/>
      <c r="CQ101" s="69"/>
      <c r="CR101" s="69"/>
      <c r="CS101" s="69"/>
      <c r="CT101" s="69"/>
      <c r="CU101" s="69"/>
      <c r="CV101" s="69"/>
      <c r="CW101" s="69"/>
    </row>
    <row r="102" ht="15.75" customHeight="1">
      <c r="A102" s="69"/>
      <c r="B102" s="69"/>
      <c r="C102" s="69"/>
      <c r="D102" s="4"/>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69"/>
      <c r="BN102" s="69"/>
      <c r="BO102" s="69"/>
      <c r="BP102" s="69"/>
      <c r="BQ102" s="69"/>
      <c r="BR102" s="69"/>
      <c r="BS102" s="69"/>
      <c r="BT102" s="69"/>
      <c r="BU102" s="69"/>
      <c r="BV102" s="69"/>
      <c r="BW102" s="69"/>
      <c r="BX102" s="69"/>
      <c r="BY102" s="69"/>
      <c r="BZ102" s="69"/>
      <c r="CA102" s="69"/>
      <c r="CB102" s="69"/>
      <c r="CC102" s="69"/>
      <c r="CD102" s="69"/>
      <c r="CE102" s="69"/>
      <c r="CF102" s="69"/>
      <c r="CG102" s="69"/>
      <c r="CH102" s="69"/>
      <c r="CI102" s="69"/>
      <c r="CJ102" s="69"/>
      <c r="CK102" s="69"/>
      <c r="CL102" s="69"/>
      <c r="CM102" s="69"/>
      <c r="CN102" s="69"/>
      <c r="CO102" s="69"/>
      <c r="CP102" s="69"/>
      <c r="CQ102" s="69"/>
      <c r="CR102" s="69"/>
      <c r="CS102" s="69"/>
      <c r="CT102" s="69"/>
      <c r="CU102" s="69"/>
      <c r="CV102" s="69"/>
      <c r="CW102" s="69"/>
    </row>
    <row r="103" ht="15.75" customHeight="1">
      <c r="A103" s="69"/>
      <c r="B103" s="69"/>
      <c r="C103" s="69"/>
      <c r="D103" s="4"/>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69"/>
      <c r="BN103" s="69"/>
      <c r="BO103" s="69"/>
      <c r="BP103" s="69"/>
      <c r="BQ103" s="69"/>
      <c r="BR103" s="69"/>
      <c r="BS103" s="69"/>
      <c r="BT103" s="69"/>
      <c r="BU103" s="69"/>
      <c r="BV103" s="69"/>
      <c r="BW103" s="69"/>
      <c r="BX103" s="69"/>
      <c r="BY103" s="69"/>
      <c r="BZ103" s="69"/>
      <c r="CA103" s="69"/>
      <c r="CB103" s="69"/>
      <c r="CC103" s="69"/>
      <c r="CD103" s="69"/>
      <c r="CE103" s="69"/>
      <c r="CF103" s="69"/>
      <c r="CG103" s="69"/>
      <c r="CH103" s="69"/>
      <c r="CI103" s="69"/>
      <c r="CJ103" s="69"/>
      <c r="CK103" s="69"/>
      <c r="CL103" s="69"/>
      <c r="CM103" s="69"/>
      <c r="CN103" s="69"/>
      <c r="CO103" s="69"/>
      <c r="CP103" s="69"/>
      <c r="CQ103" s="69"/>
      <c r="CR103" s="69"/>
      <c r="CS103" s="69"/>
      <c r="CT103" s="69"/>
      <c r="CU103" s="69"/>
      <c r="CV103" s="69"/>
      <c r="CW103" s="69"/>
    </row>
    <row r="104" ht="15.75" customHeight="1">
      <c r="A104" s="69"/>
      <c r="B104" s="69"/>
      <c r="C104" s="69"/>
      <c r="D104" s="4"/>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69"/>
      <c r="BN104" s="69"/>
      <c r="BO104" s="69"/>
      <c r="BP104" s="69"/>
      <c r="BQ104" s="69"/>
      <c r="BR104" s="69"/>
      <c r="BS104" s="69"/>
      <c r="BT104" s="69"/>
      <c r="BU104" s="69"/>
      <c r="BV104" s="69"/>
      <c r="BW104" s="69"/>
      <c r="BX104" s="69"/>
      <c r="BY104" s="69"/>
      <c r="BZ104" s="69"/>
      <c r="CA104" s="69"/>
      <c r="CB104" s="69"/>
      <c r="CC104" s="69"/>
      <c r="CD104" s="69"/>
      <c r="CE104" s="69"/>
      <c r="CF104" s="69"/>
      <c r="CG104" s="69"/>
      <c r="CH104" s="69"/>
      <c r="CI104" s="69"/>
      <c r="CJ104" s="69"/>
      <c r="CK104" s="69"/>
      <c r="CL104" s="69"/>
      <c r="CM104" s="69"/>
      <c r="CN104" s="69"/>
      <c r="CO104" s="69"/>
      <c r="CP104" s="69"/>
      <c r="CQ104" s="69"/>
      <c r="CR104" s="69"/>
      <c r="CS104" s="69"/>
      <c r="CT104" s="69"/>
      <c r="CU104" s="69"/>
      <c r="CV104" s="69"/>
      <c r="CW104" s="69"/>
    </row>
    <row r="105" ht="15.75" customHeight="1">
      <c r="A105" s="69"/>
      <c r="B105" s="69"/>
      <c r="C105" s="69"/>
      <c r="D105" s="4"/>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69"/>
      <c r="BP105" s="69"/>
      <c r="BQ105" s="69"/>
      <c r="BR105" s="69"/>
      <c r="BS105" s="69"/>
      <c r="BT105" s="69"/>
      <c r="BU105" s="69"/>
      <c r="BV105" s="69"/>
      <c r="BW105" s="69"/>
      <c r="BX105" s="69"/>
      <c r="BY105" s="69"/>
      <c r="BZ105" s="69"/>
      <c r="CA105" s="69"/>
      <c r="CB105" s="69"/>
      <c r="CC105" s="69"/>
      <c r="CD105" s="69"/>
      <c r="CE105" s="69"/>
      <c r="CF105" s="69"/>
      <c r="CG105" s="69"/>
      <c r="CH105" s="69"/>
      <c r="CI105" s="69"/>
      <c r="CJ105" s="69"/>
      <c r="CK105" s="69"/>
      <c r="CL105" s="69"/>
      <c r="CM105" s="69"/>
      <c r="CN105" s="69"/>
      <c r="CO105" s="69"/>
      <c r="CP105" s="69"/>
      <c r="CQ105" s="69"/>
      <c r="CR105" s="69"/>
      <c r="CS105" s="69"/>
      <c r="CT105" s="69"/>
      <c r="CU105" s="69"/>
      <c r="CV105" s="69"/>
      <c r="CW105" s="69"/>
    </row>
    <row r="106" ht="15.75" customHeight="1">
      <c r="A106" s="69"/>
      <c r="B106" s="69"/>
      <c r="C106" s="69"/>
      <c r="D106" s="4"/>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c r="BN106" s="69"/>
      <c r="BO106" s="69"/>
      <c r="BP106" s="69"/>
      <c r="BQ106" s="69"/>
      <c r="BR106" s="69"/>
      <c r="BS106" s="69"/>
      <c r="BT106" s="69"/>
      <c r="BU106" s="69"/>
      <c r="BV106" s="69"/>
      <c r="BW106" s="69"/>
      <c r="BX106" s="69"/>
      <c r="BY106" s="69"/>
      <c r="BZ106" s="69"/>
      <c r="CA106" s="69"/>
      <c r="CB106" s="69"/>
      <c r="CC106" s="69"/>
      <c r="CD106" s="69"/>
      <c r="CE106" s="69"/>
      <c r="CF106" s="69"/>
      <c r="CG106" s="69"/>
      <c r="CH106" s="69"/>
      <c r="CI106" s="69"/>
      <c r="CJ106" s="69"/>
      <c r="CK106" s="69"/>
      <c r="CL106" s="69"/>
      <c r="CM106" s="69"/>
      <c r="CN106" s="69"/>
      <c r="CO106" s="69"/>
      <c r="CP106" s="69"/>
      <c r="CQ106" s="69"/>
      <c r="CR106" s="69"/>
      <c r="CS106" s="69"/>
      <c r="CT106" s="69"/>
      <c r="CU106" s="69"/>
      <c r="CV106" s="69"/>
      <c r="CW106" s="69"/>
    </row>
    <row r="107" ht="15.75" customHeight="1">
      <c r="A107" s="69"/>
      <c r="B107" s="69"/>
      <c r="C107" s="69"/>
      <c r="D107" s="4"/>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c r="BL107" s="69"/>
      <c r="BM107" s="69"/>
      <c r="BN107" s="69"/>
      <c r="BO107" s="69"/>
      <c r="BP107" s="69"/>
      <c r="BQ107" s="69"/>
      <c r="BR107" s="69"/>
      <c r="BS107" s="69"/>
      <c r="BT107" s="69"/>
      <c r="BU107" s="69"/>
      <c r="BV107" s="69"/>
      <c r="BW107" s="69"/>
      <c r="BX107" s="69"/>
      <c r="BY107" s="69"/>
      <c r="BZ107" s="69"/>
      <c r="CA107" s="69"/>
      <c r="CB107" s="69"/>
      <c r="CC107" s="69"/>
      <c r="CD107" s="69"/>
      <c r="CE107" s="69"/>
      <c r="CF107" s="69"/>
      <c r="CG107" s="69"/>
      <c r="CH107" s="69"/>
      <c r="CI107" s="69"/>
      <c r="CJ107" s="69"/>
      <c r="CK107" s="69"/>
      <c r="CL107" s="69"/>
      <c r="CM107" s="69"/>
      <c r="CN107" s="69"/>
      <c r="CO107" s="69"/>
      <c r="CP107" s="69"/>
      <c r="CQ107" s="69"/>
      <c r="CR107" s="69"/>
      <c r="CS107" s="69"/>
      <c r="CT107" s="69"/>
      <c r="CU107" s="69"/>
      <c r="CV107" s="69"/>
      <c r="CW107" s="69"/>
    </row>
    <row r="108" ht="15.75" customHeight="1">
      <c r="A108" s="69"/>
      <c r="B108" s="69"/>
      <c r="C108" s="69"/>
      <c r="D108" s="4"/>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c r="BQ108" s="69"/>
      <c r="BR108" s="69"/>
      <c r="BS108" s="69"/>
      <c r="BT108" s="69"/>
      <c r="BU108" s="69"/>
      <c r="BV108" s="69"/>
      <c r="BW108" s="69"/>
      <c r="BX108" s="69"/>
      <c r="BY108" s="69"/>
      <c r="BZ108" s="69"/>
      <c r="CA108" s="69"/>
      <c r="CB108" s="69"/>
      <c r="CC108" s="69"/>
      <c r="CD108" s="69"/>
      <c r="CE108" s="69"/>
      <c r="CF108" s="69"/>
      <c r="CG108" s="69"/>
      <c r="CH108" s="69"/>
      <c r="CI108" s="69"/>
      <c r="CJ108" s="69"/>
      <c r="CK108" s="69"/>
      <c r="CL108" s="69"/>
      <c r="CM108" s="69"/>
      <c r="CN108" s="69"/>
      <c r="CO108" s="69"/>
      <c r="CP108" s="69"/>
      <c r="CQ108" s="69"/>
      <c r="CR108" s="69"/>
      <c r="CS108" s="69"/>
      <c r="CT108" s="69"/>
      <c r="CU108" s="69"/>
      <c r="CV108" s="69"/>
      <c r="CW108" s="69"/>
    </row>
    <row r="109" ht="15.75" customHeight="1">
      <c r="A109" s="69"/>
      <c r="B109" s="69"/>
      <c r="C109" s="69"/>
      <c r="D109" s="4"/>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69"/>
      <c r="BQ109" s="69"/>
      <c r="BR109" s="69"/>
      <c r="BS109" s="69"/>
      <c r="BT109" s="69"/>
      <c r="BU109" s="69"/>
      <c r="BV109" s="69"/>
      <c r="BW109" s="69"/>
      <c r="BX109" s="69"/>
      <c r="BY109" s="69"/>
      <c r="BZ109" s="69"/>
      <c r="CA109" s="69"/>
      <c r="CB109" s="69"/>
      <c r="CC109" s="69"/>
      <c r="CD109" s="69"/>
      <c r="CE109" s="69"/>
      <c r="CF109" s="69"/>
      <c r="CG109" s="69"/>
      <c r="CH109" s="69"/>
      <c r="CI109" s="69"/>
      <c r="CJ109" s="69"/>
      <c r="CK109" s="69"/>
      <c r="CL109" s="69"/>
      <c r="CM109" s="69"/>
      <c r="CN109" s="69"/>
      <c r="CO109" s="69"/>
      <c r="CP109" s="69"/>
      <c r="CQ109" s="69"/>
      <c r="CR109" s="69"/>
      <c r="CS109" s="69"/>
      <c r="CT109" s="69"/>
      <c r="CU109" s="69"/>
      <c r="CV109" s="69"/>
      <c r="CW109" s="69"/>
    </row>
    <row r="110" ht="15.75" customHeight="1">
      <c r="A110" s="69"/>
      <c r="B110" s="69"/>
      <c r="C110" s="69"/>
      <c r="D110" s="4"/>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c r="BQ110" s="69"/>
      <c r="BR110" s="69"/>
      <c r="BS110" s="69"/>
      <c r="BT110" s="69"/>
      <c r="BU110" s="69"/>
      <c r="BV110" s="69"/>
      <c r="BW110" s="69"/>
      <c r="BX110" s="69"/>
      <c r="BY110" s="69"/>
      <c r="BZ110" s="69"/>
      <c r="CA110" s="69"/>
      <c r="CB110" s="69"/>
      <c r="CC110" s="69"/>
      <c r="CD110" s="69"/>
      <c r="CE110" s="69"/>
      <c r="CF110" s="69"/>
      <c r="CG110" s="69"/>
      <c r="CH110" s="69"/>
      <c r="CI110" s="69"/>
      <c r="CJ110" s="69"/>
      <c r="CK110" s="69"/>
      <c r="CL110" s="69"/>
      <c r="CM110" s="69"/>
      <c r="CN110" s="69"/>
      <c r="CO110" s="69"/>
      <c r="CP110" s="69"/>
      <c r="CQ110" s="69"/>
      <c r="CR110" s="69"/>
      <c r="CS110" s="69"/>
      <c r="CT110" s="69"/>
      <c r="CU110" s="69"/>
      <c r="CV110" s="69"/>
      <c r="CW110" s="69"/>
    </row>
    <row r="111" ht="15.75" customHeight="1">
      <c r="A111" s="69"/>
      <c r="B111" s="69"/>
      <c r="C111" s="69"/>
      <c r="D111" s="4"/>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c r="BQ111" s="69"/>
      <c r="BR111" s="69"/>
      <c r="BS111" s="69"/>
      <c r="BT111" s="69"/>
      <c r="BU111" s="69"/>
      <c r="BV111" s="69"/>
      <c r="BW111" s="69"/>
      <c r="BX111" s="69"/>
      <c r="BY111" s="69"/>
      <c r="BZ111" s="69"/>
      <c r="CA111" s="69"/>
      <c r="CB111" s="69"/>
      <c r="CC111" s="69"/>
      <c r="CD111" s="69"/>
      <c r="CE111" s="69"/>
      <c r="CF111" s="69"/>
      <c r="CG111" s="69"/>
      <c r="CH111" s="69"/>
      <c r="CI111" s="69"/>
      <c r="CJ111" s="69"/>
      <c r="CK111" s="69"/>
      <c r="CL111" s="69"/>
      <c r="CM111" s="69"/>
      <c r="CN111" s="69"/>
      <c r="CO111" s="69"/>
      <c r="CP111" s="69"/>
      <c r="CQ111" s="69"/>
      <c r="CR111" s="69"/>
      <c r="CS111" s="69"/>
      <c r="CT111" s="69"/>
      <c r="CU111" s="69"/>
      <c r="CV111" s="69"/>
      <c r="CW111" s="69"/>
    </row>
    <row r="112" ht="15.75" customHeight="1">
      <c r="A112" s="69"/>
      <c r="B112" s="69"/>
      <c r="C112" s="69"/>
      <c r="D112" s="4"/>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69"/>
      <c r="BQ112" s="69"/>
      <c r="BR112" s="69"/>
      <c r="BS112" s="69"/>
      <c r="BT112" s="69"/>
      <c r="BU112" s="69"/>
      <c r="BV112" s="69"/>
      <c r="BW112" s="69"/>
      <c r="BX112" s="69"/>
      <c r="BY112" s="69"/>
      <c r="BZ112" s="69"/>
      <c r="CA112" s="69"/>
      <c r="CB112" s="69"/>
      <c r="CC112" s="69"/>
      <c r="CD112" s="69"/>
      <c r="CE112" s="69"/>
      <c r="CF112" s="69"/>
      <c r="CG112" s="69"/>
      <c r="CH112" s="69"/>
      <c r="CI112" s="69"/>
      <c r="CJ112" s="69"/>
      <c r="CK112" s="69"/>
      <c r="CL112" s="69"/>
      <c r="CM112" s="69"/>
      <c r="CN112" s="69"/>
      <c r="CO112" s="69"/>
      <c r="CP112" s="69"/>
      <c r="CQ112" s="69"/>
      <c r="CR112" s="69"/>
      <c r="CS112" s="69"/>
      <c r="CT112" s="69"/>
      <c r="CU112" s="69"/>
      <c r="CV112" s="69"/>
      <c r="CW112" s="69"/>
    </row>
    <row r="113" ht="15.75" customHeight="1">
      <c r="A113" s="69"/>
      <c r="B113" s="69"/>
      <c r="C113" s="69"/>
      <c r="D113" s="4"/>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c r="BL113" s="69"/>
      <c r="BM113" s="69"/>
      <c r="BN113" s="69"/>
      <c r="BO113" s="69"/>
      <c r="BP113" s="69"/>
      <c r="BQ113" s="69"/>
      <c r="BR113" s="69"/>
      <c r="BS113" s="69"/>
      <c r="BT113" s="69"/>
      <c r="BU113" s="69"/>
      <c r="BV113" s="69"/>
      <c r="BW113" s="69"/>
      <c r="BX113" s="69"/>
      <c r="BY113" s="69"/>
      <c r="BZ113" s="69"/>
      <c r="CA113" s="69"/>
      <c r="CB113" s="69"/>
      <c r="CC113" s="69"/>
      <c r="CD113" s="69"/>
      <c r="CE113" s="69"/>
      <c r="CF113" s="69"/>
      <c r="CG113" s="69"/>
      <c r="CH113" s="69"/>
      <c r="CI113" s="69"/>
      <c r="CJ113" s="69"/>
      <c r="CK113" s="69"/>
      <c r="CL113" s="69"/>
      <c r="CM113" s="69"/>
      <c r="CN113" s="69"/>
      <c r="CO113" s="69"/>
      <c r="CP113" s="69"/>
      <c r="CQ113" s="69"/>
      <c r="CR113" s="69"/>
      <c r="CS113" s="69"/>
      <c r="CT113" s="69"/>
      <c r="CU113" s="69"/>
      <c r="CV113" s="69"/>
      <c r="CW113" s="69"/>
    </row>
    <row r="114" ht="15.75" customHeight="1">
      <c r="A114" s="69"/>
      <c r="B114" s="69"/>
      <c r="C114" s="69"/>
      <c r="D114" s="4"/>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c r="BL114" s="69"/>
      <c r="BM114" s="69"/>
      <c r="BN114" s="69"/>
      <c r="BO114" s="69"/>
      <c r="BP114" s="69"/>
      <c r="BQ114" s="69"/>
      <c r="BR114" s="69"/>
      <c r="BS114" s="69"/>
      <c r="BT114" s="69"/>
      <c r="BU114" s="69"/>
      <c r="BV114" s="69"/>
      <c r="BW114" s="69"/>
      <c r="BX114" s="69"/>
      <c r="BY114" s="69"/>
      <c r="BZ114" s="69"/>
      <c r="CA114" s="69"/>
      <c r="CB114" s="69"/>
      <c r="CC114" s="69"/>
      <c r="CD114" s="69"/>
      <c r="CE114" s="69"/>
      <c r="CF114" s="69"/>
      <c r="CG114" s="69"/>
      <c r="CH114" s="69"/>
      <c r="CI114" s="69"/>
      <c r="CJ114" s="69"/>
      <c r="CK114" s="69"/>
      <c r="CL114" s="69"/>
      <c r="CM114" s="69"/>
      <c r="CN114" s="69"/>
      <c r="CO114" s="69"/>
      <c r="CP114" s="69"/>
      <c r="CQ114" s="69"/>
      <c r="CR114" s="69"/>
      <c r="CS114" s="69"/>
      <c r="CT114" s="69"/>
      <c r="CU114" s="69"/>
      <c r="CV114" s="69"/>
      <c r="CW114" s="69"/>
    </row>
    <row r="115" ht="15.75" customHeight="1">
      <c r="A115" s="69"/>
      <c r="B115" s="69"/>
      <c r="C115" s="69"/>
      <c r="D115" s="4"/>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c r="BL115" s="69"/>
      <c r="BM115" s="69"/>
      <c r="BN115" s="69"/>
      <c r="BO115" s="69"/>
      <c r="BP115" s="69"/>
      <c r="BQ115" s="69"/>
      <c r="BR115" s="69"/>
      <c r="BS115" s="69"/>
      <c r="BT115" s="69"/>
      <c r="BU115" s="69"/>
      <c r="BV115" s="69"/>
      <c r="BW115" s="69"/>
      <c r="BX115" s="69"/>
      <c r="BY115" s="69"/>
      <c r="BZ115" s="69"/>
      <c r="CA115" s="69"/>
      <c r="CB115" s="69"/>
      <c r="CC115" s="69"/>
      <c r="CD115" s="69"/>
      <c r="CE115" s="69"/>
      <c r="CF115" s="69"/>
      <c r="CG115" s="69"/>
      <c r="CH115" s="69"/>
      <c r="CI115" s="69"/>
      <c r="CJ115" s="69"/>
      <c r="CK115" s="69"/>
      <c r="CL115" s="69"/>
      <c r="CM115" s="69"/>
      <c r="CN115" s="69"/>
      <c r="CO115" s="69"/>
      <c r="CP115" s="69"/>
      <c r="CQ115" s="69"/>
      <c r="CR115" s="69"/>
      <c r="CS115" s="69"/>
      <c r="CT115" s="69"/>
      <c r="CU115" s="69"/>
      <c r="CV115" s="69"/>
      <c r="CW115" s="69"/>
    </row>
    <row r="116" ht="15.75" customHeight="1">
      <c r="A116" s="69"/>
      <c r="B116" s="69"/>
      <c r="C116" s="69"/>
      <c r="D116" s="4"/>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c r="BL116" s="69"/>
      <c r="BM116" s="69"/>
      <c r="BN116" s="69"/>
      <c r="BO116" s="69"/>
      <c r="BP116" s="69"/>
      <c r="BQ116" s="69"/>
      <c r="BR116" s="69"/>
      <c r="BS116" s="69"/>
      <c r="BT116" s="69"/>
      <c r="BU116" s="69"/>
      <c r="BV116" s="69"/>
      <c r="BW116" s="69"/>
      <c r="BX116" s="69"/>
      <c r="BY116" s="69"/>
      <c r="BZ116" s="69"/>
      <c r="CA116" s="69"/>
      <c r="CB116" s="69"/>
      <c r="CC116" s="69"/>
      <c r="CD116" s="69"/>
      <c r="CE116" s="69"/>
      <c r="CF116" s="69"/>
      <c r="CG116" s="69"/>
      <c r="CH116" s="69"/>
      <c r="CI116" s="69"/>
      <c r="CJ116" s="69"/>
      <c r="CK116" s="69"/>
      <c r="CL116" s="69"/>
      <c r="CM116" s="69"/>
      <c r="CN116" s="69"/>
      <c r="CO116" s="69"/>
      <c r="CP116" s="69"/>
      <c r="CQ116" s="69"/>
      <c r="CR116" s="69"/>
      <c r="CS116" s="69"/>
      <c r="CT116" s="69"/>
      <c r="CU116" s="69"/>
      <c r="CV116" s="69"/>
      <c r="CW116" s="69"/>
    </row>
    <row r="117" ht="15.75" customHeight="1">
      <c r="A117" s="69"/>
      <c r="B117" s="69"/>
      <c r="C117" s="69"/>
      <c r="D117" s="4"/>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c r="BL117" s="69"/>
      <c r="BM117" s="69"/>
      <c r="BN117" s="69"/>
      <c r="BO117" s="69"/>
      <c r="BP117" s="69"/>
      <c r="BQ117" s="69"/>
      <c r="BR117" s="69"/>
      <c r="BS117" s="69"/>
      <c r="BT117" s="69"/>
      <c r="BU117" s="69"/>
      <c r="BV117" s="69"/>
      <c r="BW117" s="69"/>
      <c r="BX117" s="69"/>
      <c r="BY117" s="69"/>
      <c r="BZ117" s="69"/>
      <c r="CA117" s="69"/>
      <c r="CB117" s="69"/>
      <c r="CC117" s="69"/>
      <c r="CD117" s="69"/>
      <c r="CE117" s="69"/>
      <c r="CF117" s="69"/>
      <c r="CG117" s="69"/>
      <c r="CH117" s="69"/>
      <c r="CI117" s="69"/>
      <c r="CJ117" s="69"/>
      <c r="CK117" s="69"/>
      <c r="CL117" s="69"/>
      <c r="CM117" s="69"/>
      <c r="CN117" s="69"/>
      <c r="CO117" s="69"/>
      <c r="CP117" s="69"/>
      <c r="CQ117" s="69"/>
      <c r="CR117" s="69"/>
      <c r="CS117" s="69"/>
      <c r="CT117" s="69"/>
      <c r="CU117" s="69"/>
      <c r="CV117" s="69"/>
      <c r="CW117" s="69"/>
    </row>
    <row r="118" ht="15.75" customHeight="1">
      <c r="A118" s="69"/>
      <c r="B118" s="69"/>
      <c r="C118" s="69"/>
      <c r="D118" s="4"/>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c r="BL118" s="69"/>
      <c r="BM118" s="69"/>
      <c r="BN118" s="69"/>
      <c r="BO118" s="69"/>
      <c r="BP118" s="69"/>
      <c r="BQ118" s="69"/>
      <c r="BR118" s="69"/>
      <c r="BS118" s="69"/>
      <c r="BT118" s="69"/>
      <c r="BU118" s="69"/>
      <c r="BV118" s="69"/>
      <c r="BW118" s="69"/>
      <c r="BX118" s="69"/>
      <c r="BY118" s="69"/>
      <c r="BZ118" s="69"/>
      <c r="CA118" s="69"/>
      <c r="CB118" s="69"/>
      <c r="CC118" s="69"/>
      <c r="CD118" s="69"/>
      <c r="CE118" s="69"/>
      <c r="CF118" s="69"/>
      <c r="CG118" s="69"/>
      <c r="CH118" s="69"/>
      <c r="CI118" s="69"/>
      <c r="CJ118" s="69"/>
      <c r="CK118" s="69"/>
      <c r="CL118" s="69"/>
      <c r="CM118" s="69"/>
      <c r="CN118" s="69"/>
      <c r="CO118" s="69"/>
      <c r="CP118" s="69"/>
      <c r="CQ118" s="69"/>
      <c r="CR118" s="69"/>
      <c r="CS118" s="69"/>
      <c r="CT118" s="69"/>
      <c r="CU118" s="69"/>
      <c r="CV118" s="69"/>
      <c r="CW118" s="69"/>
    </row>
    <row r="119" ht="15.75" customHeight="1">
      <c r="A119" s="69"/>
      <c r="B119" s="69"/>
      <c r="C119" s="69"/>
      <c r="D119" s="4"/>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c r="BL119" s="69"/>
      <c r="BM119" s="69"/>
      <c r="BN119" s="69"/>
      <c r="BO119" s="69"/>
      <c r="BP119" s="69"/>
      <c r="BQ119" s="69"/>
      <c r="BR119" s="69"/>
      <c r="BS119" s="69"/>
      <c r="BT119" s="69"/>
      <c r="BU119" s="69"/>
      <c r="BV119" s="69"/>
      <c r="BW119" s="69"/>
      <c r="BX119" s="69"/>
      <c r="BY119" s="69"/>
      <c r="BZ119" s="69"/>
      <c r="CA119" s="69"/>
      <c r="CB119" s="69"/>
      <c r="CC119" s="69"/>
      <c r="CD119" s="69"/>
      <c r="CE119" s="69"/>
      <c r="CF119" s="69"/>
      <c r="CG119" s="69"/>
      <c r="CH119" s="69"/>
      <c r="CI119" s="69"/>
      <c r="CJ119" s="69"/>
      <c r="CK119" s="69"/>
      <c r="CL119" s="69"/>
      <c r="CM119" s="69"/>
      <c r="CN119" s="69"/>
      <c r="CO119" s="69"/>
      <c r="CP119" s="69"/>
      <c r="CQ119" s="69"/>
      <c r="CR119" s="69"/>
      <c r="CS119" s="69"/>
      <c r="CT119" s="69"/>
      <c r="CU119" s="69"/>
      <c r="CV119" s="69"/>
      <c r="CW119" s="69"/>
    </row>
    <row r="120" ht="15.75" customHeight="1">
      <c r="A120" s="69"/>
      <c r="B120" s="69"/>
      <c r="C120" s="69"/>
      <c r="D120" s="4"/>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c r="BL120" s="69"/>
      <c r="BM120" s="69"/>
      <c r="BN120" s="69"/>
      <c r="BO120" s="69"/>
      <c r="BP120" s="69"/>
      <c r="BQ120" s="69"/>
      <c r="BR120" s="69"/>
      <c r="BS120" s="69"/>
      <c r="BT120" s="69"/>
      <c r="BU120" s="69"/>
      <c r="BV120" s="69"/>
      <c r="BW120" s="69"/>
      <c r="BX120" s="69"/>
      <c r="BY120" s="69"/>
      <c r="BZ120" s="69"/>
      <c r="CA120" s="69"/>
      <c r="CB120" s="69"/>
      <c r="CC120" s="69"/>
      <c r="CD120" s="69"/>
      <c r="CE120" s="69"/>
      <c r="CF120" s="69"/>
      <c r="CG120" s="69"/>
      <c r="CH120" s="69"/>
      <c r="CI120" s="69"/>
      <c r="CJ120" s="69"/>
      <c r="CK120" s="69"/>
      <c r="CL120" s="69"/>
      <c r="CM120" s="69"/>
      <c r="CN120" s="69"/>
      <c r="CO120" s="69"/>
      <c r="CP120" s="69"/>
      <c r="CQ120" s="69"/>
      <c r="CR120" s="69"/>
      <c r="CS120" s="69"/>
      <c r="CT120" s="69"/>
      <c r="CU120" s="69"/>
      <c r="CV120" s="69"/>
      <c r="CW120" s="69"/>
    </row>
    <row r="121" ht="15.75" customHeight="1">
      <c r="A121" s="69"/>
      <c r="B121" s="69"/>
      <c r="C121" s="69"/>
      <c r="D121" s="4"/>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69"/>
      <c r="BY121" s="69"/>
      <c r="BZ121" s="69"/>
      <c r="CA121" s="69"/>
      <c r="CB121" s="69"/>
      <c r="CC121" s="69"/>
      <c r="CD121" s="69"/>
      <c r="CE121" s="69"/>
      <c r="CF121" s="69"/>
      <c r="CG121" s="69"/>
      <c r="CH121" s="69"/>
      <c r="CI121" s="69"/>
      <c r="CJ121" s="69"/>
      <c r="CK121" s="69"/>
      <c r="CL121" s="69"/>
      <c r="CM121" s="69"/>
      <c r="CN121" s="69"/>
      <c r="CO121" s="69"/>
      <c r="CP121" s="69"/>
      <c r="CQ121" s="69"/>
      <c r="CR121" s="69"/>
      <c r="CS121" s="69"/>
      <c r="CT121" s="69"/>
      <c r="CU121" s="69"/>
      <c r="CV121" s="69"/>
      <c r="CW121" s="69"/>
    </row>
    <row r="122" ht="15.75" customHeight="1">
      <c r="A122" s="69"/>
      <c r="B122" s="69"/>
      <c r="C122" s="69"/>
      <c r="D122" s="4"/>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c r="BL122" s="69"/>
      <c r="BM122" s="69"/>
      <c r="BN122" s="69"/>
      <c r="BO122" s="69"/>
      <c r="BP122" s="69"/>
      <c r="BQ122" s="69"/>
      <c r="BR122" s="69"/>
      <c r="BS122" s="69"/>
      <c r="BT122" s="69"/>
      <c r="BU122" s="69"/>
      <c r="BV122" s="69"/>
      <c r="BW122" s="69"/>
      <c r="BX122" s="69"/>
      <c r="BY122" s="69"/>
      <c r="BZ122" s="69"/>
      <c r="CA122" s="69"/>
      <c r="CB122" s="69"/>
      <c r="CC122" s="69"/>
      <c r="CD122" s="69"/>
      <c r="CE122" s="69"/>
      <c r="CF122" s="69"/>
      <c r="CG122" s="69"/>
      <c r="CH122" s="69"/>
      <c r="CI122" s="69"/>
      <c r="CJ122" s="69"/>
      <c r="CK122" s="69"/>
      <c r="CL122" s="69"/>
      <c r="CM122" s="69"/>
      <c r="CN122" s="69"/>
      <c r="CO122" s="69"/>
      <c r="CP122" s="69"/>
      <c r="CQ122" s="69"/>
      <c r="CR122" s="69"/>
      <c r="CS122" s="69"/>
      <c r="CT122" s="69"/>
      <c r="CU122" s="69"/>
      <c r="CV122" s="69"/>
      <c r="CW122" s="69"/>
    </row>
    <row r="123" ht="15.75" customHeight="1">
      <c r="A123" s="69"/>
      <c r="B123" s="69"/>
      <c r="C123" s="69"/>
      <c r="D123" s="4"/>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c r="BL123" s="69"/>
      <c r="BM123" s="69"/>
      <c r="BN123" s="69"/>
      <c r="BO123" s="69"/>
      <c r="BP123" s="69"/>
      <c r="BQ123" s="69"/>
      <c r="BR123" s="69"/>
      <c r="BS123" s="69"/>
      <c r="BT123" s="69"/>
      <c r="BU123" s="69"/>
      <c r="BV123" s="69"/>
      <c r="BW123" s="69"/>
      <c r="BX123" s="69"/>
      <c r="BY123" s="69"/>
      <c r="BZ123" s="69"/>
      <c r="CA123" s="69"/>
      <c r="CB123" s="69"/>
      <c r="CC123" s="69"/>
      <c r="CD123" s="69"/>
      <c r="CE123" s="69"/>
      <c r="CF123" s="69"/>
      <c r="CG123" s="69"/>
      <c r="CH123" s="69"/>
      <c r="CI123" s="69"/>
      <c r="CJ123" s="69"/>
      <c r="CK123" s="69"/>
      <c r="CL123" s="69"/>
      <c r="CM123" s="69"/>
      <c r="CN123" s="69"/>
      <c r="CO123" s="69"/>
      <c r="CP123" s="69"/>
      <c r="CQ123" s="69"/>
      <c r="CR123" s="69"/>
      <c r="CS123" s="69"/>
      <c r="CT123" s="69"/>
      <c r="CU123" s="69"/>
      <c r="CV123" s="69"/>
      <c r="CW123" s="69"/>
    </row>
    <row r="124" ht="15.75" customHeight="1">
      <c r="A124" s="69"/>
      <c r="B124" s="69"/>
      <c r="C124" s="69"/>
      <c r="D124" s="4"/>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c r="BL124" s="69"/>
      <c r="BM124" s="69"/>
      <c r="BN124" s="69"/>
      <c r="BO124" s="69"/>
      <c r="BP124" s="69"/>
      <c r="BQ124" s="69"/>
      <c r="BR124" s="69"/>
      <c r="BS124" s="69"/>
      <c r="BT124" s="69"/>
      <c r="BU124" s="69"/>
      <c r="BV124" s="69"/>
      <c r="BW124" s="69"/>
      <c r="BX124" s="69"/>
      <c r="BY124" s="69"/>
      <c r="BZ124" s="69"/>
      <c r="CA124" s="69"/>
      <c r="CB124" s="69"/>
      <c r="CC124" s="69"/>
      <c r="CD124" s="69"/>
      <c r="CE124" s="69"/>
      <c r="CF124" s="69"/>
      <c r="CG124" s="69"/>
      <c r="CH124" s="69"/>
      <c r="CI124" s="69"/>
      <c r="CJ124" s="69"/>
      <c r="CK124" s="69"/>
      <c r="CL124" s="69"/>
      <c r="CM124" s="69"/>
      <c r="CN124" s="69"/>
      <c r="CO124" s="69"/>
      <c r="CP124" s="69"/>
      <c r="CQ124" s="69"/>
      <c r="CR124" s="69"/>
      <c r="CS124" s="69"/>
      <c r="CT124" s="69"/>
      <c r="CU124" s="69"/>
      <c r="CV124" s="69"/>
      <c r="CW124" s="69"/>
    </row>
    <row r="125" ht="15.75" customHeight="1">
      <c r="A125" s="69"/>
      <c r="B125" s="69"/>
      <c r="C125" s="69"/>
      <c r="D125" s="4"/>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c r="BL125" s="69"/>
      <c r="BM125" s="69"/>
      <c r="BN125" s="69"/>
      <c r="BO125" s="69"/>
      <c r="BP125" s="69"/>
      <c r="BQ125" s="69"/>
      <c r="BR125" s="69"/>
      <c r="BS125" s="69"/>
      <c r="BT125" s="69"/>
      <c r="BU125" s="69"/>
      <c r="BV125" s="69"/>
      <c r="BW125" s="69"/>
      <c r="BX125" s="69"/>
      <c r="BY125" s="69"/>
      <c r="BZ125" s="69"/>
      <c r="CA125" s="69"/>
      <c r="CB125" s="69"/>
      <c r="CC125" s="69"/>
      <c r="CD125" s="69"/>
      <c r="CE125" s="69"/>
      <c r="CF125" s="69"/>
      <c r="CG125" s="69"/>
      <c r="CH125" s="69"/>
      <c r="CI125" s="69"/>
      <c r="CJ125" s="69"/>
      <c r="CK125" s="69"/>
      <c r="CL125" s="69"/>
      <c r="CM125" s="69"/>
      <c r="CN125" s="69"/>
      <c r="CO125" s="69"/>
      <c r="CP125" s="69"/>
      <c r="CQ125" s="69"/>
      <c r="CR125" s="69"/>
      <c r="CS125" s="69"/>
      <c r="CT125" s="69"/>
      <c r="CU125" s="69"/>
      <c r="CV125" s="69"/>
      <c r="CW125" s="69"/>
    </row>
    <row r="126" ht="15.75" customHeight="1">
      <c r="A126" s="69"/>
      <c r="B126" s="69"/>
      <c r="C126" s="69"/>
      <c r="D126" s="4"/>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c r="BL126" s="69"/>
      <c r="BM126" s="69"/>
      <c r="BN126" s="69"/>
      <c r="BO126" s="69"/>
      <c r="BP126" s="69"/>
      <c r="BQ126" s="69"/>
      <c r="BR126" s="69"/>
      <c r="BS126" s="69"/>
      <c r="BT126" s="69"/>
      <c r="BU126" s="69"/>
      <c r="BV126" s="69"/>
      <c r="BW126" s="69"/>
      <c r="BX126" s="69"/>
      <c r="BY126" s="69"/>
      <c r="BZ126" s="69"/>
      <c r="CA126" s="69"/>
      <c r="CB126" s="69"/>
      <c r="CC126" s="69"/>
      <c r="CD126" s="69"/>
      <c r="CE126" s="69"/>
      <c r="CF126" s="69"/>
      <c r="CG126" s="69"/>
      <c r="CH126" s="69"/>
      <c r="CI126" s="69"/>
      <c r="CJ126" s="69"/>
      <c r="CK126" s="69"/>
      <c r="CL126" s="69"/>
      <c r="CM126" s="69"/>
      <c r="CN126" s="69"/>
      <c r="CO126" s="69"/>
      <c r="CP126" s="69"/>
      <c r="CQ126" s="69"/>
      <c r="CR126" s="69"/>
      <c r="CS126" s="69"/>
      <c r="CT126" s="69"/>
      <c r="CU126" s="69"/>
      <c r="CV126" s="69"/>
      <c r="CW126" s="69"/>
    </row>
    <row r="127" ht="15.75" customHeight="1">
      <c r="A127" s="69"/>
      <c r="B127" s="69"/>
      <c r="C127" s="69"/>
      <c r="D127" s="4"/>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c r="BL127" s="69"/>
      <c r="BM127" s="69"/>
      <c r="BN127" s="69"/>
      <c r="BO127" s="69"/>
      <c r="BP127" s="69"/>
      <c r="BQ127" s="69"/>
      <c r="BR127" s="69"/>
      <c r="BS127" s="69"/>
      <c r="BT127" s="69"/>
      <c r="BU127" s="69"/>
      <c r="BV127" s="69"/>
      <c r="BW127" s="69"/>
      <c r="BX127" s="69"/>
      <c r="BY127" s="69"/>
      <c r="BZ127" s="69"/>
      <c r="CA127" s="69"/>
      <c r="CB127" s="69"/>
      <c r="CC127" s="69"/>
      <c r="CD127" s="69"/>
      <c r="CE127" s="69"/>
      <c r="CF127" s="69"/>
      <c r="CG127" s="69"/>
      <c r="CH127" s="69"/>
      <c r="CI127" s="69"/>
      <c r="CJ127" s="69"/>
      <c r="CK127" s="69"/>
      <c r="CL127" s="69"/>
      <c r="CM127" s="69"/>
      <c r="CN127" s="69"/>
      <c r="CO127" s="69"/>
      <c r="CP127" s="69"/>
      <c r="CQ127" s="69"/>
      <c r="CR127" s="69"/>
      <c r="CS127" s="69"/>
      <c r="CT127" s="69"/>
      <c r="CU127" s="69"/>
      <c r="CV127" s="69"/>
      <c r="CW127" s="69"/>
    </row>
    <row r="128" ht="15.75" customHeight="1">
      <c r="A128" s="69"/>
      <c r="B128" s="69"/>
      <c r="C128" s="69"/>
      <c r="D128" s="4"/>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c r="BL128" s="69"/>
      <c r="BM128" s="69"/>
      <c r="BN128" s="69"/>
      <c r="BO128" s="69"/>
      <c r="BP128" s="69"/>
      <c r="BQ128" s="69"/>
      <c r="BR128" s="69"/>
      <c r="BS128" s="69"/>
      <c r="BT128" s="69"/>
      <c r="BU128" s="69"/>
      <c r="BV128" s="69"/>
      <c r="BW128" s="69"/>
      <c r="BX128" s="69"/>
      <c r="BY128" s="69"/>
      <c r="BZ128" s="69"/>
      <c r="CA128" s="69"/>
      <c r="CB128" s="69"/>
      <c r="CC128" s="69"/>
      <c r="CD128" s="69"/>
      <c r="CE128" s="69"/>
      <c r="CF128" s="69"/>
      <c r="CG128" s="69"/>
      <c r="CH128" s="69"/>
      <c r="CI128" s="69"/>
      <c r="CJ128" s="69"/>
      <c r="CK128" s="69"/>
      <c r="CL128" s="69"/>
      <c r="CM128" s="69"/>
      <c r="CN128" s="69"/>
      <c r="CO128" s="69"/>
      <c r="CP128" s="69"/>
      <c r="CQ128" s="69"/>
      <c r="CR128" s="69"/>
      <c r="CS128" s="69"/>
      <c r="CT128" s="69"/>
      <c r="CU128" s="69"/>
      <c r="CV128" s="69"/>
      <c r="CW128" s="69"/>
    </row>
    <row r="129" ht="15.75" customHeight="1">
      <c r="A129" s="69"/>
      <c r="B129" s="69"/>
      <c r="C129" s="69"/>
      <c r="D129" s="4"/>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c r="BL129" s="69"/>
      <c r="BM129" s="69"/>
      <c r="BN129" s="69"/>
      <c r="BO129" s="69"/>
      <c r="BP129" s="69"/>
      <c r="BQ129" s="69"/>
      <c r="BR129" s="69"/>
      <c r="BS129" s="69"/>
      <c r="BT129" s="69"/>
      <c r="BU129" s="69"/>
      <c r="BV129" s="69"/>
      <c r="BW129" s="69"/>
      <c r="BX129" s="69"/>
      <c r="BY129" s="69"/>
      <c r="BZ129" s="69"/>
      <c r="CA129" s="69"/>
      <c r="CB129" s="69"/>
      <c r="CC129" s="69"/>
      <c r="CD129" s="69"/>
      <c r="CE129" s="69"/>
      <c r="CF129" s="69"/>
      <c r="CG129" s="69"/>
      <c r="CH129" s="69"/>
      <c r="CI129" s="69"/>
      <c r="CJ129" s="69"/>
      <c r="CK129" s="69"/>
      <c r="CL129" s="69"/>
      <c r="CM129" s="69"/>
      <c r="CN129" s="69"/>
      <c r="CO129" s="69"/>
      <c r="CP129" s="69"/>
      <c r="CQ129" s="69"/>
      <c r="CR129" s="69"/>
      <c r="CS129" s="69"/>
      <c r="CT129" s="69"/>
      <c r="CU129" s="69"/>
      <c r="CV129" s="69"/>
      <c r="CW129" s="69"/>
    </row>
    <row r="130" ht="15.75" customHeight="1">
      <c r="A130" s="69"/>
      <c r="B130" s="69"/>
      <c r="C130" s="69"/>
      <c r="D130" s="4"/>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c r="BL130" s="69"/>
      <c r="BM130" s="69"/>
      <c r="BN130" s="69"/>
      <c r="BO130" s="69"/>
      <c r="BP130" s="69"/>
      <c r="BQ130" s="69"/>
      <c r="BR130" s="69"/>
      <c r="BS130" s="69"/>
      <c r="BT130" s="69"/>
      <c r="BU130" s="69"/>
      <c r="BV130" s="69"/>
      <c r="BW130" s="69"/>
      <c r="BX130" s="69"/>
      <c r="BY130" s="69"/>
      <c r="BZ130" s="69"/>
      <c r="CA130" s="69"/>
      <c r="CB130" s="69"/>
      <c r="CC130" s="69"/>
      <c r="CD130" s="69"/>
      <c r="CE130" s="69"/>
      <c r="CF130" s="69"/>
      <c r="CG130" s="69"/>
      <c r="CH130" s="69"/>
      <c r="CI130" s="69"/>
      <c r="CJ130" s="69"/>
      <c r="CK130" s="69"/>
      <c r="CL130" s="69"/>
      <c r="CM130" s="69"/>
      <c r="CN130" s="69"/>
      <c r="CO130" s="69"/>
      <c r="CP130" s="69"/>
      <c r="CQ130" s="69"/>
      <c r="CR130" s="69"/>
      <c r="CS130" s="69"/>
      <c r="CT130" s="69"/>
      <c r="CU130" s="69"/>
      <c r="CV130" s="69"/>
      <c r="CW130" s="69"/>
    </row>
    <row r="131" ht="15.75" customHeight="1">
      <c r="A131" s="69"/>
      <c r="B131" s="69"/>
      <c r="C131" s="69"/>
      <c r="D131" s="4"/>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c r="BL131" s="69"/>
      <c r="BM131" s="69"/>
      <c r="BN131" s="69"/>
      <c r="BO131" s="69"/>
      <c r="BP131" s="69"/>
      <c r="BQ131" s="69"/>
      <c r="BR131" s="69"/>
      <c r="BS131" s="69"/>
      <c r="BT131" s="69"/>
      <c r="BU131" s="69"/>
      <c r="BV131" s="69"/>
      <c r="BW131" s="69"/>
      <c r="BX131" s="69"/>
      <c r="BY131" s="69"/>
      <c r="BZ131" s="69"/>
      <c r="CA131" s="69"/>
      <c r="CB131" s="69"/>
      <c r="CC131" s="69"/>
      <c r="CD131" s="69"/>
      <c r="CE131" s="69"/>
      <c r="CF131" s="69"/>
      <c r="CG131" s="69"/>
      <c r="CH131" s="69"/>
      <c r="CI131" s="69"/>
      <c r="CJ131" s="69"/>
      <c r="CK131" s="69"/>
      <c r="CL131" s="69"/>
      <c r="CM131" s="69"/>
      <c r="CN131" s="69"/>
      <c r="CO131" s="69"/>
      <c r="CP131" s="69"/>
      <c r="CQ131" s="69"/>
      <c r="CR131" s="69"/>
      <c r="CS131" s="69"/>
      <c r="CT131" s="69"/>
      <c r="CU131" s="69"/>
      <c r="CV131" s="69"/>
      <c r="CW131" s="69"/>
    </row>
    <row r="132" ht="15.75" customHeight="1">
      <c r="A132" s="69"/>
      <c r="B132" s="69"/>
      <c r="C132" s="69"/>
      <c r="D132" s="4"/>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c r="BL132" s="69"/>
      <c r="BM132" s="69"/>
      <c r="BN132" s="69"/>
      <c r="BO132" s="69"/>
      <c r="BP132" s="69"/>
      <c r="BQ132" s="69"/>
      <c r="BR132" s="69"/>
      <c r="BS132" s="69"/>
      <c r="BT132" s="69"/>
      <c r="BU132" s="69"/>
      <c r="BV132" s="69"/>
      <c r="BW132" s="69"/>
      <c r="BX132" s="69"/>
      <c r="BY132" s="69"/>
      <c r="BZ132" s="69"/>
      <c r="CA132" s="69"/>
      <c r="CB132" s="69"/>
      <c r="CC132" s="69"/>
      <c r="CD132" s="69"/>
      <c r="CE132" s="69"/>
      <c r="CF132" s="69"/>
      <c r="CG132" s="69"/>
      <c r="CH132" s="69"/>
      <c r="CI132" s="69"/>
      <c r="CJ132" s="69"/>
      <c r="CK132" s="69"/>
      <c r="CL132" s="69"/>
      <c r="CM132" s="69"/>
      <c r="CN132" s="69"/>
      <c r="CO132" s="69"/>
      <c r="CP132" s="69"/>
      <c r="CQ132" s="69"/>
      <c r="CR132" s="69"/>
      <c r="CS132" s="69"/>
      <c r="CT132" s="69"/>
      <c r="CU132" s="69"/>
      <c r="CV132" s="69"/>
      <c r="CW132" s="69"/>
    </row>
    <row r="133" ht="15.75" customHeight="1">
      <c r="A133" s="69"/>
      <c r="B133" s="69"/>
      <c r="C133" s="69"/>
      <c r="D133" s="4"/>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c r="BL133" s="69"/>
      <c r="BM133" s="69"/>
      <c r="BN133" s="69"/>
      <c r="BO133" s="69"/>
      <c r="BP133" s="69"/>
      <c r="BQ133" s="69"/>
      <c r="BR133" s="69"/>
      <c r="BS133" s="69"/>
      <c r="BT133" s="69"/>
      <c r="BU133" s="69"/>
      <c r="BV133" s="69"/>
      <c r="BW133" s="69"/>
      <c r="BX133" s="69"/>
      <c r="BY133" s="69"/>
      <c r="BZ133" s="69"/>
      <c r="CA133" s="69"/>
      <c r="CB133" s="69"/>
      <c r="CC133" s="69"/>
      <c r="CD133" s="69"/>
      <c r="CE133" s="69"/>
      <c r="CF133" s="69"/>
      <c r="CG133" s="69"/>
      <c r="CH133" s="69"/>
      <c r="CI133" s="69"/>
      <c r="CJ133" s="69"/>
      <c r="CK133" s="69"/>
      <c r="CL133" s="69"/>
      <c r="CM133" s="69"/>
      <c r="CN133" s="69"/>
      <c r="CO133" s="69"/>
      <c r="CP133" s="69"/>
      <c r="CQ133" s="69"/>
      <c r="CR133" s="69"/>
      <c r="CS133" s="69"/>
      <c r="CT133" s="69"/>
      <c r="CU133" s="69"/>
      <c r="CV133" s="69"/>
      <c r="CW133" s="69"/>
    </row>
    <row r="134" ht="15.75" customHeight="1">
      <c r="A134" s="69"/>
      <c r="B134" s="69"/>
      <c r="C134" s="69"/>
      <c r="D134" s="4"/>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c r="BL134" s="69"/>
      <c r="BM134" s="69"/>
      <c r="BN134" s="69"/>
      <c r="BO134" s="69"/>
      <c r="BP134" s="69"/>
      <c r="BQ134" s="69"/>
      <c r="BR134" s="69"/>
      <c r="BS134" s="69"/>
      <c r="BT134" s="69"/>
      <c r="BU134" s="69"/>
      <c r="BV134" s="69"/>
      <c r="BW134" s="69"/>
      <c r="BX134" s="69"/>
      <c r="BY134" s="69"/>
      <c r="BZ134" s="69"/>
      <c r="CA134" s="69"/>
      <c r="CB134" s="69"/>
      <c r="CC134" s="69"/>
      <c r="CD134" s="69"/>
      <c r="CE134" s="69"/>
      <c r="CF134" s="69"/>
      <c r="CG134" s="69"/>
      <c r="CH134" s="69"/>
      <c r="CI134" s="69"/>
      <c r="CJ134" s="69"/>
      <c r="CK134" s="69"/>
      <c r="CL134" s="69"/>
      <c r="CM134" s="69"/>
      <c r="CN134" s="69"/>
      <c r="CO134" s="69"/>
      <c r="CP134" s="69"/>
      <c r="CQ134" s="69"/>
      <c r="CR134" s="69"/>
      <c r="CS134" s="69"/>
      <c r="CT134" s="69"/>
      <c r="CU134" s="69"/>
      <c r="CV134" s="69"/>
      <c r="CW134" s="69"/>
    </row>
    <row r="135" ht="15.75" customHeight="1">
      <c r="A135" s="69"/>
      <c r="B135" s="69"/>
      <c r="C135" s="69"/>
      <c r="D135" s="4"/>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c r="BL135" s="69"/>
      <c r="BM135" s="69"/>
      <c r="BN135" s="69"/>
      <c r="BO135" s="69"/>
      <c r="BP135" s="69"/>
      <c r="BQ135" s="69"/>
      <c r="BR135" s="69"/>
      <c r="BS135" s="69"/>
      <c r="BT135" s="69"/>
      <c r="BU135" s="69"/>
      <c r="BV135" s="69"/>
      <c r="BW135" s="69"/>
      <c r="BX135" s="69"/>
      <c r="BY135" s="69"/>
      <c r="BZ135" s="69"/>
      <c r="CA135" s="69"/>
      <c r="CB135" s="69"/>
      <c r="CC135" s="69"/>
      <c r="CD135" s="69"/>
      <c r="CE135" s="69"/>
      <c r="CF135" s="69"/>
      <c r="CG135" s="69"/>
      <c r="CH135" s="69"/>
      <c r="CI135" s="69"/>
      <c r="CJ135" s="69"/>
      <c r="CK135" s="69"/>
      <c r="CL135" s="69"/>
      <c r="CM135" s="69"/>
      <c r="CN135" s="69"/>
      <c r="CO135" s="69"/>
      <c r="CP135" s="69"/>
      <c r="CQ135" s="69"/>
      <c r="CR135" s="69"/>
      <c r="CS135" s="69"/>
      <c r="CT135" s="69"/>
      <c r="CU135" s="69"/>
      <c r="CV135" s="69"/>
      <c r="CW135" s="69"/>
    </row>
    <row r="136" ht="15.75" customHeight="1">
      <c r="A136" s="69"/>
      <c r="B136" s="69"/>
      <c r="C136" s="69"/>
      <c r="D136" s="4"/>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c r="BL136" s="69"/>
      <c r="BM136" s="69"/>
      <c r="BN136" s="69"/>
      <c r="BO136" s="69"/>
      <c r="BP136" s="69"/>
      <c r="BQ136" s="69"/>
      <c r="BR136" s="69"/>
      <c r="BS136" s="69"/>
      <c r="BT136" s="69"/>
      <c r="BU136" s="69"/>
      <c r="BV136" s="69"/>
      <c r="BW136" s="69"/>
      <c r="BX136" s="69"/>
      <c r="BY136" s="69"/>
      <c r="BZ136" s="69"/>
      <c r="CA136" s="69"/>
      <c r="CB136" s="69"/>
      <c r="CC136" s="69"/>
      <c r="CD136" s="69"/>
      <c r="CE136" s="69"/>
      <c r="CF136" s="69"/>
      <c r="CG136" s="69"/>
      <c r="CH136" s="69"/>
      <c r="CI136" s="69"/>
      <c r="CJ136" s="69"/>
      <c r="CK136" s="69"/>
      <c r="CL136" s="69"/>
      <c r="CM136" s="69"/>
      <c r="CN136" s="69"/>
      <c r="CO136" s="69"/>
      <c r="CP136" s="69"/>
      <c r="CQ136" s="69"/>
      <c r="CR136" s="69"/>
      <c r="CS136" s="69"/>
      <c r="CT136" s="69"/>
      <c r="CU136" s="69"/>
      <c r="CV136" s="69"/>
      <c r="CW136" s="69"/>
    </row>
    <row r="137" ht="15.75" customHeight="1">
      <c r="A137" s="69"/>
      <c r="B137" s="69"/>
      <c r="C137" s="69"/>
      <c r="D137" s="4"/>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c r="BI137" s="69"/>
      <c r="BJ137" s="69"/>
      <c r="BK137" s="69"/>
      <c r="BL137" s="69"/>
      <c r="BM137" s="69"/>
      <c r="BN137" s="69"/>
      <c r="BO137" s="69"/>
      <c r="BP137" s="69"/>
      <c r="BQ137" s="69"/>
      <c r="BR137" s="69"/>
      <c r="BS137" s="69"/>
      <c r="BT137" s="69"/>
      <c r="BU137" s="69"/>
      <c r="BV137" s="69"/>
      <c r="BW137" s="69"/>
      <c r="BX137" s="69"/>
      <c r="BY137" s="69"/>
      <c r="BZ137" s="69"/>
      <c r="CA137" s="69"/>
      <c r="CB137" s="69"/>
      <c r="CC137" s="69"/>
      <c r="CD137" s="69"/>
      <c r="CE137" s="69"/>
      <c r="CF137" s="69"/>
      <c r="CG137" s="69"/>
      <c r="CH137" s="69"/>
      <c r="CI137" s="69"/>
      <c r="CJ137" s="69"/>
      <c r="CK137" s="69"/>
      <c r="CL137" s="69"/>
      <c r="CM137" s="69"/>
      <c r="CN137" s="69"/>
      <c r="CO137" s="69"/>
      <c r="CP137" s="69"/>
      <c r="CQ137" s="69"/>
      <c r="CR137" s="69"/>
      <c r="CS137" s="69"/>
      <c r="CT137" s="69"/>
      <c r="CU137" s="69"/>
      <c r="CV137" s="69"/>
      <c r="CW137" s="69"/>
    </row>
    <row r="138" ht="15.75" customHeight="1">
      <c r="A138" s="69"/>
      <c r="B138" s="69"/>
      <c r="C138" s="69"/>
      <c r="D138" s="4"/>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c r="BI138" s="69"/>
      <c r="BJ138" s="69"/>
      <c r="BK138" s="69"/>
      <c r="BL138" s="69"/>
      <c r="BM138" s="69"/>
      <c r="BN138" s="69"/>
      <c r="BO138" s="69"/>
      <c r="BP138" s="69"/>
      <c r="BQ138" s="69"/>
      <c r="BR138" s="69"/>
      <c r="BS138" s="69"/>
      <c r="BT138" s="69"/>
      <c r="BU138" s="69"/>
      <c r="BV138" s="69"/>
      <c r="BW138" s="69"/>
      <c r="BX138" s="69"/>
      <c r="BY138" s="69"/>
      <c r="BZ138" s="69"/>
      <c r="CA138" s="69"/>
      <c r="CB138" s="69"/>
      <c r="CC138" s="69"/>
      <c r="CD138" s="69"/>
      <c r="CE138" s="69"/>
      <c r="CF138" s="69"/>
      <c r="CG138" s="69"/>
      <c r="CH138" s="69"/>
      <c r="CI138" s="69"/>
      <c r="CJ138" s="69"/>
      <c r="CK138" s="69"/>
      <c r="CL138" s="69"/>
      <c r="CM138" s="69"/>
      <c r="CN138" s="69"/>
      <c r="CO138" s="69"/>
      <c r="CP138" s="69"/>
      <c r="CQ138" s="69"/>
      <c r="CR138" s="69"/>
      <c r="CS138" s="69"/>
      <c r="CT138" s="69"/>
      <c r="CU138" s="69"/>
      <c r="CV138" s="69"/>
      <c r="CW138" s="69"/>
    </row>
    <row r="139" ht="15.75" customHeight="1">
      <c r="A139" s="69"/>
      <c r="B139" s="69"/>
      <c r="C139" s="69"/>
      <c r="D139" s="4"/>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c r="BI139" s="69"/>
      <c r="BJ139" s="69"/>
      <c r="BK139" s="69"/>
      <c r="BL139" s="69"/>
      <c r="BM139" s="69"/>
      <c r="BN139" s="69"/>
      <c r="BO139" s="69"/>
      <c r="BP139" s="69"/>
      <c r="BQ139" s="69"/>
      <c r="BR139" s="69"/>
      <c r="BS139" s="69"/>
      <c r="BT139" s="69"/>
      <c r="BU139" s="69"/>
      <c r="BV139" s="69"/>
      <c r="BW139" s="69"/>
      <c r="BX139" s="69"/>
      <c r="BY139" s="69"/>
      <c r="BZ139" s="69"/>
      <c r="CA139" s="69"/>
      <c r="CB139" s="69"/>
      <c r="CC139" s="69"/>
      <c r="CD139" s="69"/>
      <c r="CE139" s="69"/>
      <c r="CF139" s="69"/>
      <c r="CG139" s="69"/>
      <c r="CH139" s="69"/>
      <c r="CI139" s="69"/>
      <c r="CJ139" s="69"/>
      <c r="CK139" s="69"/>
      <c r="CL139" s="69"/>
      <c r="CM139" s="69"/>
      <c r="CN139" s="69"/>
      <c r="CO139" s="69"/>
      <c r="CP139" s="69"/>
      <c r="CQ139" s="69"/>
      <c r="CR139" s="69"/>
      <c r="CS139" s="69"/>
      <c r="CT139" s="69"/>
      <c r="CU139" s="69"/>
      <c r="CV139" s="69"/>
      <c r="CW139" s="69"/>
    </row>
    <row r="140" ht="15.75" customHeight="1">
      <c r="A140" s="69"/>
      <c r="B140" s="69"/>
      <c r="C140" s="69"/>
      <c r="D140" s="4"/>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c r="BI140" s="69"/>
      <c r="BJ140" s="69"/>
      <c r="BK140" s="69"/>
      <c r="BL140" s="69"/>
      <c r="BM140" s="69"/>
      <c r="BN140" s="69"/>
      <c r="BO140" s="69"/>
      <c r="BP140" s="69"/>
      <c r="BQ140" s="69"/>
      <c r="BR140" s="69"/>
      <c r="BS140" s="69"/>
      <c r="BT140" s="69"/>
      <c r="BU140" s="69"/>
      <c r="BV140" s="69"/>
      <c r="BW140" s="69"/>
      <c r="BX140" s="69"/>
      <c r="BY140" s="69"/>
      <c r="BZ140" s="69"/>
      <c r="CA140" s="69"/>
      <c r="CB140" s="69"/>
      <c r="CC140" s="69"/>
      <c r="CD140" s="69"/>
      <c r="CE140" s="69"/>
      <c r="CF140" s="69"/>
      <c r="CG140" s="69"/>
      <c r="CH140" s="69"/>
      <c r="CI140" s="69"/>
      <c r="CJ140" s="69"/>
      <c r="CK140" s="69"/>
      <c r="CL140" s="69"/>
      <c r="CM140" s="69"/>
      <c r="CN140" s="69"/>
      <c r="CO140" s="69"/>
      <c r="CP140" s="69"/>
      <c r="CQ140" s="69"/>
      <c r="CR140" s="69"/>
      <c r="CS140" s="69"/>
      <c r="CT140" s="69"/>
      <c r="CU140" s="69"/>
      <c r="CV140" s="69"/>
      <c r="CW140" s="69"/>
    </row>
    <row r="141" ht="15.75" customHeight="1">
      <c r="A141" s="69"/>
      <c r="B141" s="69"/>
      <c r="C141" s="69"/>
      <c r="D141" s="4"/>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c r="BI141" s="69"/>
      <c r="BJ141" s="69"/>
      <c r="BK141" s="69"/>
      <c r="BL141" s="69"/>
      <c r="BM141" s="69"/>
      <c r="BN141" s="69"/>
      <c r="BO141" s="69"/>
      <c r="BP141" s="69"/>
      <c r="BQ141" s="69"/>
      <c r="BR141" s="69"/>
      <c r="BS141" s="69"/>
      <c r="BT141" s="69"/>
      <c r="BU141" s="69"/>
      <c r="BV141" s="69"/>
      <c r="BW141" s="69"/>
      <c r="BX141" s="69"/>
      <c r="BY141" s="69"/>
      <c r="BZ141" s="69"/>
      <c r="CA141" s="69"/>
      <c r="CB141" s="69"/>
      <c r="CC141" s="69"/>
      <c r="CD141" s="69"/>
      <c r="CE141" s="69"/>
      <c r="CF141" s="69"/>
      <c r="CG141" s="69"/>
      <c r="CH141" s="69"/>
      <c r="CI141" s="69"/>
      <c r="CJ141" s="69"/>
      <c r="CK141" s="69"/>
      <c r="CL141" s="69"/>
      <c r="CM141" s="69"/>
      <c r="CN141" s="69"/>
      <c r="CO141" s="69"/>
      <c r="CP141" s="69"/>
      <c r="CQ141" s="69"/>
      <c r="CR141" s="69"/>
      <c r="CS141" s="69"/>
      <c r="CT141" s="69"/>
      <c r="CU141" s="69"/>
      <c r="CV141" s="69"/>
      <c r="CW141" s="69"/>
    </row>
    <row r="142" ht="15.75" customHeight="1">
      <c r="A142" s="69"/>
      <c r="B142" s="69"/>
      <c r="C142" s="69"/>
      <c r="D142" s="4"/>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c r="BI142" s="69"/>
      <c r="BJ142" s="69"/>
      <c r="BK142" s="69"/>
      <c r="BL142" s="69"/>
      <c r="BM142" s="69"/>
      <c r="BN142" s="69"/>
      <c r="BO142" s="69"/>
      <c r="BP142" s="69"/>
      <c r="BQ142" s="69"/>
      <c r="BR142" s="69"/>
      <c r="BS142" s="69"/>
      <c r="BT142" s="69"/>
      <c r="BU142" s="69"/>
      <c r="BV142" s="69"/>
      <c r="BW142" s="69"/>
      <c r="BX142" s="69"/>
      <c r="BY142" s="69"/>
      <c r="BZ142" s="69"/>
      <c r="CA142" s="69"/>
      <c r="CB142" s="69"/>
      <c r="CC142" s="69"/>
      <c r="CD142" s="69"/>
      <c r="CE142" s="69"/>
      <c r="CF142" s="69"/>
      <c r="CG142" s="69"/>
      <c r="CH142" s="69"/>
      <c r="CI142" s="69"/>
      <c r="CJ142" s="69"/>
      <c r="CK142" s="69"/>
      <c r="CL142" s="69"/>
      <c r="CM142" s="69"/>
      <c r="CN142" s="69"/>
      <c r="CO142" s="69"/>
      <c r="CP142" s="69"/>
      <c r="CQ142" s="69"/>
      <c r="CR142" s="69"/>
      <c r="CS142" s="69"/>
      <c r="CT142" s="69"/>
      <c r="CU142" s="69"/>
      <c r="CV142" s="69"/>
      <c r="CW142" s="69"/>
    </row>
    <row r="143" ht="15.75" customHeight="1">
      <c r="A143" s="69"/>
      <c r="B143" s="69"/>
      <c r="C143" s="69"/>
      <c r="D143" s="4"/>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c r="BI143" s="69"/>
      <c r="BJ143" s="69"/>
      <c r="BK143" s="69"/>
      <c r="BL143" s="69"/>
      <c r="BM143" s="69"/>
      <c r="BN143" s="69"/>
      <c r="BO143" s="69"/>
      <c r="BP143" s="69"/>
      <c r="BQ143" s="69"/>
      <c r="BR143" s="69"/>
      <c r="BS143" s="69"/>
      <c r="BT143" s="69"/>
      <c r="BU143" s="69"/>
      <c r="BV143" s="69"/>
      <c r="BW143" s="69"/>
      <c r="BX143" s="69"/>
      <c r="BY143" s="69"/>
      <c r="BZ143" s="69"/>
      <c r="CA143" s="69"/>
      <c r="CB143" s="69"/>
      <c r="CC143" s="69"/>
      <c r="CD143" s="69"/>
      <c r="CE143" s="69"/>
      <c r="CF143" s="69"/>
      <c r="CG143" s="69"/>
      <c r="CH143" s="69"/>
      <c r="CI143" s="69"/>
      <c r="CJ143" s="69"/>
      <c r="CK143" s="69"/>
      <c r="CL143" s="69"/>
      <c r="CM143" s="69"/>
      <c r="CN143" s="69"/>
      <c r="CO143" s="69"/>
      <c r="CP143" s="69"/>
      <c r="CQ143" s="69"/>
      <c r="CR143" s="69"/>
      <c r="CS143" s="69"/>
      <c r="CT143" s="69"/>
      <c r="CU143" s="69"/>
      <c r="CV143" s="69"/>
      <c r="CW143" s="69"/>
    </row>
    <row r="144" ht="15.75" customHeight="1">
      <c r="A144" s="69"/>
      <c r="B144" s="69"/>
      <c r="C144" s="69"/>
      <c r="D144" s="4"/>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c r="BI144" s="69"/>
      <c r="BJ144" s="69"/>
      <c r="BK144" s="69"/>
      <c r="BL144" s="69"/>
      <c r="BM144" s="69"/>
      <c r="BN144" s="69"/>
      <c r="BO144" s="69"/>
      <c r="BP144" s="69"/>
      <c r="BQ144" s="69"/>
      <c r="BR144" s="69"/>
      <c r="BS144" s="69"/>
      <c r="BT144" s="69"/>
      <c r="BU144" s="69"/>
      <c r="BV144" s="69"/>
      <c r="BW144" s="69"/>
      <c r="BX144" s="69"/>
      <c r="BY144" s="69"/>
      <c r="BZ144" s="69"/>
      <c r="CA144" s="69"/>
      <c r="CB144" s="69"/>
      <c r="CC144" s="69"/>
      <c r="CD144" s="69"/>
      <c r="CE144" s="69"/>
      <c r="CF144" s="69"/>
      <c r="CG144" s="69"/>
      <c r="CH144" s="69"/>
      <c r="CI144" s="69"/>
      <c r="CJ144" s="69"/>
      <c r="CK144" s="69"/>
      <c r="CL144" s="69"/>
      <c r="CM144" s="69"/>
      <c r="CN144" s="69"/>
      <c r="CO144" s="69"/>
      <c r="CP144" s="69"/>
      <c r="CQ144" s="69"/>
      <c r="CR144" s="69"/>
      <c r="CS144" s="69"/>
      <c r="CT144" s="69"/>
      <c r="CU144" s="69"/>
      <c r="CV144" s="69"/>
      <c r="CW144" s="69"/>
    </row>
    <row r="145" ht="15.75" customHeight="1">
      <c r="A145" s="69"/>
      <c r="B145" s="69"/>
      <c r="C145" s="69"/>
      <c r="D145" s="4"/>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c r="BI145" s="69"/>
      <c r="BJ145" s="69"/>
      <c r="BK145" s="69"/>
      <c r="BL145" s="69"/>
      <c r="BM145" s="69"/>
      <c r="BN145" s="69"/>
      <c r="BO145" s="69"/>
      <c r="BP145" s="69"/>
      <c r="BQ145" s="69"/>
      <c r="BR145" s="69"/>
      <c r="BS145" s="69"/>
      <c r="BT145" s="69"/>
      <c r="BU145" s="69"/>
      <c r="BV145" s="69"/>
      <c r="BW145" s="69"/>
      <c r="BX145" s="69"/>
      <c r="BY145" s="69"/>
      <c r="BZ145" s="69"/>
      <c r="CA145" s="69"/>
      <c r="CB145" s="69"/>
      <c r="CC145" s="69"/>
      <c r="CD145" s="69"/>
      <c r="CE145" s="69"/>
      <c r="CF145" s="69"/>
      <c r="CG145" s="69"/>
      <c r="CH145" s="69"/>
      <c r="CI145" s="69"/>
      <c r="CJ145" s="69"/>
      <c r="CK145" s="69"/>
      <c r="CL145" s="69"/>
      <c r="CM145" s="69"/>
      <c r="CN145" s="69"/>
      <c r="CO145" s="69"/>
      <c r="CP145" s="69"/>
      <c r="CQ145" s="69"/>
      <c r="CR145" s="69"/>
      <c r="CS145" s="69"/>
      <c r="CT145" s="69"/>
      <c r="CU145" s="69"/>
      <c r="CV145" s="69"/>
      <c r="CW145" s="69"/>
    </row>
    <row r="146" ht="15.75" customHeight="1">
      <c r="A146" s="69"/>
      <c r="B146" s="69"/>
      <c r="C146" s="69"/>
      <c r="D146" s="4"/>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c r="BI146" s="69"/>
      <c r="BJ146" s="69"/>
      <c r="BK146" s="69"/>
      <c r="BL146" s="69"/>
      <c r="BM146" s="69"/>
      <c r="BN146" s="69"/>
      <c r="BO146" s="69"/>
      <c r="BP146" s="69"/>
      <c r="BQ146" s="69"/>
      <c r="BR146" s="69"/>
      <c r="BS146" s="69"/>
      <c r="BT146" s="69"/>
      <c r="BU146" s="69"/>
      <c r="BV146" s="69"/>
      <c r="BW146" s="69"/>
      <c r="BX146" s="69"/>
      <c r="BY146" s="69"/>
      <c r="BZ146" s="69"/>
      <c r="CA146" s="69"/>
      <c r="CB146" s="69"/>
      <c r="CC146" s="69"/>
      <c r="CD146" s="69"/>
      <c r="CE146" s="69"/>
      <c r="CF146" s="69"/>
      <c r="CG146" s="69"/>
      <c r="CH146" s="69"/>
      <c r="CI146" s="69"/>
      <c r="CJ146" s="69"/>
      <c r="CK146" s="69"/>
      <c r="CL146" s="69"/>
      <c r="CM146" s="69"/>
      <c r="CN146" s="69"/>
      <c r="CO146" s="69"/>
      <c r="CP146" s="69"/>
      <c r="CQ146" s="69"/>
      <c r="CR146" s="69"/>
      <c r="CS146" s="69"/>
      <c r="CT146" s="69"/>
      <c r="CU146" s="69"/>
      <c r="CV146" s="69"/>
      <c r="CW146" s="69"/>
    </row>
    <row r="147" ht="15.75" customHeight="1">
      <c r="A147" s="69"/>
      <c r="B147" s="69"/>
      <c r="C147" s="69"/>
      <c r="D147" s="4"/>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c r="BI147" s="69"/>
      <c r="BJ147" s="69"/>
      <c r="BK147" s="69"/>
      <c r="BL147" s="69"/>
      <c r="BM147" s="69"/>
      <c r="BN147" s="69"/>
      <c r="BO147" s="69"/>
      <c r="BP147" s="69"/>
      <c r="BQ147" s="69"/>
      <c r="BR147" s="69"/>
      <c r="BS147" s="69"/>
      <c r="BT147" s="69"/>
      <c r="BU147" s="69"/>
      <c r="BV147" s="69"/>
      <c r="BW147" s="69"/>
      <c r="BX147" s="69"/>
      <c r="BY147" s="69"/>
      <c r="BZ147" s="69"/>
      <c r="CA147" s="69"/>
      <c r="CB147" s="69"/>
      <c r="CC147" s="69"/>
      <c r="CD147" s="69"/>
      <c r="CE147" s="69"/>
      <c r="CF147" s="69"/>
      <c r="CG147" s="69"/>
      <c r="CH147" s="69"/>
      <c r="CI147" s="69"/>
      <c r="CJ147" s="69"/>
      <c r="CK147" s="69"/>
      <c r="CL147" s="69"/>
      <c r="CM147" s="69"/>
      <c r="CN147" s="69"/>
      <c r="CO147" s="69"/>
      <c r="CP147" s="69"/>
      <c r="CQ147" s="69"/>
      <c r="CR147" s="69"/>
      <c r="CS147" s="69"/>
      <c r="CT147" s="69"/>
      <c r="CU147" s="69"/>
      <c r="CV147" s="69"/>
      <c r="CW147" s="69"/>
    </row>
    <row r="148" ht="15.75" customHeight="1">
      <c r="A148" s="69"/>
      <c r="B148" s="69"/>
      <c r="C148" s="69"/>
      <c r="D148" s="4"/>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c r="BI148" s="69"/>
      <c r="BJ148" s="69"/>
      <c r="BK148" s="69"/>
      <c r="BL148" s="69"/>
      <c r="BM148" s="69"/>
      <c r="BN148" s="69"/>
      <c r="BO148" s="69"/>
      <c r="BP148" s="69"/>
      <c r="BQ148" s="69"/>
      <c r="BR148" s="69"/>
      <c r="BS148" s="69"/>
      <c r="BT148" s="69"/>
      <c r="BU148" s="69"/>
      <c r="BV148" s="69"/>
      <c r="BW148" s="69"/>
      <c r="BX148" s="69"/>
      <c r="BY148" s="69"/>
      <c r="BZ148" s="69"/>
      <c r="CA148" s="69"/>
      <c r="CB148" s="69"/>
      <c r="CC148" s="69"/>
      <c r="CD148" s="69"/>
      <c r="CE148" s="69"/>
      <c r="CF148" s="69"/>
      <c r="CG148" s="69"/>
      <c r="CH148" s="69"/>
      <c r="CI148" s="69"/>
      <c r="CJ148" s="69"/>
      <c r="CK148" s="69"/>
      <c r="CL148" s="69"/>
      <c r="CM148" s="69"/>
      <c r="CN148" s="69"/>
      <c r="CO148" s="69"/>
      <c r="CP148" s="69"/>
      <c r="CQ148" s="69"/>
      <c r="CR148" s="69"/>
      <c r="CS148" s="69"/>
      <c r="CT148" s="69"/>
      <c r="CU148" s="69"/>
      <c r="CV148" s="69"/>
      <c r="CW148" s="69"/>
    </row>
    <row r="149" ht="15.75" customHeight="1">
      <c r="A149" s="69"/>
      <c r="B149" s="69"/>
      <c r="C149" s="69"/>
      <c r="D149" s="4"/>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c r="BI149" s="69"/>
      <c r="BJ149" s="69"/>
      <c r="BK149" s="69"/>
      <c r="BL149" s="69"/>
      <c r="BM149" s="69"/>
      <c r="BN149" s="69"/>
      <c r="BO149" s="69"/>
      <c r="BP149" s="69"/>
      <c r="BQ149" s="69"/>
      <c r="BR149" s="69"/>
      <c r="BS149" s="69"/>
      <c r="BT149" s="69"/>
      <c r="BU149" s="69"/>
      <c r="BV149" s="69"/>
      <c r="BW149" s="69"/>
      <c r="BX149" s="69"/>
      <c r="BY149" s="69"/>
      <c r="BZ149" s="69"/>
      <c r="CA149" s="69"/>
      <c r="CB149" s="69"/>
      <c r="CC149" s="69"/>
      <c r="CD149" s="69"/>
      <c r="CE149" s="69"/>
      <c r="CF149" s="69"/>
      <c r="CG149" s="69"/>
      <c r="CH149" s="69"/>
      <c r="CI149" s="69"/>
      <c r="CJ149" s="69"/>
      <c r="CK149" s="69"/>
      <c r="CL149" s="69"/>
      <c r="CM149" s="69"/>
      <c r="CN149" s="69"/>
      <c r="CO149" s="69"/>
      <c r="CP149" s="69"/>
      <c r="CQ149" s="69"/>
      <c r="CR149" s="69"/>
      <c r="CS149" s="69"/>
      <c r="CT149" s="69"/>
      <c r="CU149" s="69"/>
      <c r="CV149" s="69"/>
      <c r="CW149" s="69"/>
    </row>
    <row r="150" ht="15.75" customHeight="1">
      <c r="A150" s="69"/>
      <c r="B150" s="69"/>
      <c r="C150" s="69"/>
      <c r="D150" s="4"/>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c r="BI150" s="69"/>
      <c r="BJ150" s="69"/>
      <c r="BK150" s="69"/>
      <c r="BL150" s="69"/>
      <c r="BM150" s="69"/>
      <c r="BN150" s="69"/>
      <c r="BO150" s="69"/>
      <c r="BP150" s="69"/>
      <c r="BQ150" s="69"/>
      <c r="BR150" s="69"/>
      <c r="BS150" s="69"/>
      <c r="BT150" s="69"/>
      <c r="BU150" s="69"/>
      <c r="BV150" s="69"/>
      <c r="BW150" s="69"/>
      <c r="BX150" s="69"/>
      <c r="BY150" s="69"/>
      <c r="BZ150" s="69"/>
      <c r="CA150" s="69"/>
      <c r="CB150" s="69"/>
      <c r="CC150" s="69"/>
      <c r="CD150" s="69"/>
      <c r="CE150" s="69"/>
      <c r="CF150" s="69"/>
      <c r="CG150" s="69"/>
      <c r="CH150" s="69"/>
      <c r="CI150" s="69"/>
      <c r="CJ150" s="69"/>
      <c r="CK150" s="69"/>
      <c r="CL150" s="69"/>
      <c r="CM150" s="69"/>
      <c r="CN150" s="69"/>
      <c r="CO150" s="69"/>
      <c r="CP150" s="69"/>
      <c r="CQ150" s="69"/>
      <c r="CR150" s="69"/>
      <c r="CS150" s="69"/>
      <c r="CT150" s="69"/>
      <c r="CU150" s="69"/>
      <c r="CV150" s="69"/>
      <c r="CW150" s="69"/>
    </row>
    <row r="151" ht="15.75" customHeight="1">
      <c r="A151" s="69"/>
      <c r="B151" s="69"/>
      <c r="C151" s="69"/>
      <c r="D151" s="4"/>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c r="BI151" s="69"/>
      <c r="BJ151" s="69"/>
      <c r="BK151" s="69"/>
      <c r="BL151" s="69"/>
      <c r="BM151" s="69"/>
      <c r="BN151" s="69"/>
      <c r="BO151" s="69"/>
      <c r="BP151" s="69"/>
      <c r="BQ151" s="69"/>
      <c r="BR151" s="69"/>
      <c r="BS151" s="69"/>
      <c r="BT151" s="69"/>
      <c r="BU151" s="69"/>
      <c r="BV151" s="69"/>
      <c r="BW151" s="69"/>
      <c r="BX151" s="69"/>
      <c r="BY151" s="69"/>
      <c r="BZ151" s="69"/>
      <c r="CA151" s="69"/>
      <c r="CB151" s="69"/>
      <c r="CC151" s="69"/>
      <c r="CD151" s="69"/>
      <c r="CE151" s="69"/>
      <c r="CF151" s="69"/>
      <c r="CG151" s="69"/>
      <c r="CH151" s="69"/>
      <c r="CI151" s="69"/>
      <c r="CJ151" s="69"/>
      <c r="CK151" s="69"/>
      <c r="CL151" s="69"/>
      <c r="CM151" s="69"/>
      <c r="CN151" s="69"/>
      <c r="CO151" s="69"/>
      <c r="CP151" s="69"/>
      <c r="CQ151" s="69"/>
      <c r="CR151" s="69"/>
      <c r="CS151" s="69"/>
      <c r="CT151" s="69"/>
      <c r="CU151" s="69"/>
      <c r="CV151" s="69"/>
      <c r="CW151" s="69"/>
    </row>
    <row r="152" ht="15.75" customHeight="1">
      <c r="A152" s="69"/>
      <c r="B152" s="69"/>
      <c r="C152" s="69"/>
      <c r="D152" s="4"/>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69"/>
      <c r="BS152" s="69"/>
      <c r="BT152" s="69"/>
      <c r="BU152" s="69"/>
      <c r="BV152" s="69"/>
      <c r="BW152" s="69"/>
      <c r="BX152" s="69"/>
      <c r="BY152" s="69"/>
      <c r="BZ152" s="69"/>
      <c r="CA152" s="69"/>
      <c r="CB152" s="69"/>
      <c r="CC152" s="69"/>
      <c r="CD152" s="69"/>
      <c r="CE152" s="69"/>
      <c r="CF152" s="69"/>
      <c r="CG152" s="69"/>
      <c r="CH152" s="69"/>
      <c r="CI152" s="69"/>
      <c r="CJ152" s="69"/>
      <c r="CK152" s="69"/>
      <c r="CL152" s="69"/>
      <c r="CM152" s="69"/>
      <c r="CN152" s="69"/>
      <c r="CO152" s="69"/>
      <c r="CP152" s="69"/>
      <c r="CQ152" s="69"/>
      <c r="CR152" s="69"/>
      <c r="CS152" s="69"/>
      <c r="CT152" s="69"/>
      <c r="CU152" s="69"/>
      <c r="CV152" s="69"/>
      <c r="CW152" s="69"/>
    </row>
    <row r="153" ht="15.75" customHeight="1">
      <c r="A153" s="69"/>
      <c r="B153" s="69"/>
      <c r="C153" s="69"/>
      <c r="D153" s="4"/>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c r="BI153" s="69"/>
      <c r="BJ153" s="69"/>
      <c r="BK153" s="69"/>
      <c r="BL153" s="69"/>
      <c r="BM153" s="69"/>
      <c r="BN153" s="69"/>
      <c r="BO153" s="69"/>
      <c r="BP153" s="69"/>
      <c r="BQ153" s="69"/>
      <c r="BR153" s="69"/>
      <c r="BS153" s="69"/>
      <c r="BT153" s="69"/>
      <c r="BU153" s="69"/>
      <c r="BV153" s="69"/>
      <c r="BW153" s="69"/>
      <c r="BX153" s="69"/>
      <c r="BY153" s="69"/>
      <c r="BZ153" s="69"/>
      <c r="CA153" s="69"/>
      <c r="CB153" s="69"/>
      <c r="CC153" s="69"/>
      <c r="CD153" s="69"/>
      <c r="CE153" s="69"/>
      <c r="CF153" s="69"/>
      <c r="CG153" s="69"/>
      <c r="CH153" s="69"/>
      <c r="CI153" s="69"/>
      <c r="CJ153" s="69"/>
      <c r="CK153" s="69"/>
      <c r="CL153" s="69"/>
      <c r="CM153" s="69"/>
      <c r="CN153" s="69"/>
      <c r="CO153" s="69"/>
      <c r="CP153" s="69"/>
      <c r="CQ153" s="69"/>
      <c r="CR153" s="69"/>
      <c r="CS153" s="69"/>
      <c r="CT153" s="69"/>
      <c r="CU153" s="69"/>
      <c r="CV153" s="69"/>
      <c r="CW153" s="69"/>
    </row>
    <row r="154" ht="15.75" customHeight="1">
      <c r="A154" s="69"/>
      <c r="B154" s="69"/>
      <c r="C154" s="69"/>
      <c r="D154" s="4"/>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c r="BI154" s="69"/>
      <c r="BJ154" s="69"/>
      <c r="BK154" s="69"/>
      <c r="BL154" s="69"/>
      <c r="BM154" s="69"/>
      <c r="BN154" s="69"/>
      <c r="BO154" s="69"/>
      <c r="BP154" s="69"/>
      <c r="BQ154" s="69"/>
      <c r="BR154" s="69"/>
      <c r="BS154" s="69"/>
      <c r="BT154" s="69"/>
      <c r="BU154" s="69"/>
      <c r="BV154" s="69"/>
      <c r="BW154" s="69"/>
      <c r="BX154" s="69"/>
      <c r="BY154" s="69"/>
      <c r="BZ154" s="69"/>
      <c r="CA154" s="69"/>
      <c r="CB154" s="69"/>
      <c r="CC154" s="69"/>
      <c r="CD154" s="69"/>
      <c r="CE154" s="69"/>
      <c r="CF154" s="69"/>
      <c r="CG154" s="69"/>
      <c r="CH154" s="69"/>
      <c r="CI154" s="69"/>
      <c r="CJ154" s="69"/>
      <c r="CK154" s="69"/>
      <c r="CL154" s="69"/>
      <c r="CM154" s="69"/>
      <c r="CN154" s="69"/>
      <c r="CO154" s="69"/>
      <c r="CP154" s="69"/>
      <c r="CQ154" s="69"/>
      <c r="CR154" s="69"/>
      <c r="CS154" s="69"/>
      <c r="CT154" s="69"/>
      <c r="CU154" s="69"/>
      <c r="CV154" s="69"/>
      <c r="CW154" s="69"/>
    </row>
    <row r="155" ht="15.75" customHeight="1">
      <c r="A155" s="69"/>
      <c r="B155" s="69"/>
      <c r="C155" s="69"/>
      <c r="D155" s="4"/>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c r="BI155" s="69"/>
      <c r="BJ155" s="69"/>
      <c r="BK155" s="69"/>
      <c r="BL155" s="69"/>
      <c r="BM155" s="69"/>
      <c r="BN155" s="69"/>
      <c r="BO155" s="69"/>
      <c r="BP155" s="69"/>
      <c r="BQ155" s="69"/>
      <c r="BR155" s="69"/>
      <c r="BS155" s="69"/>
      <c r="BT155" s="69"/>
      <c r="BU155" s="69"/>
      <c r="BV155" s="69"/>
      <c r="BW155" s="69"/>
      <c r="BX155" s="69"/>
      <c r="BY155" s="69"/>
      <c r="BZ155" s="69"/>
      <c r="CA155" s="69"/>
      <c r="CB155" s="69"/>
      <c r="CC155" s="69"/>
      <c r="CD155" s="69"/>
      <c r="CE155" s="69"/>
      <c r="CF155" s="69"/>
      <c r="CG155" s="69"/>
      <c r="CH155" s="69"/>
      <c r="CI155" s="69"/>
      <c r="CJ155" s="69"/>
      <c r="CK155" s="69"/>
      <c r="CL155" s="69"/>
      <c r="CM155" s="69"/>
      <c r="CN155" s="69"/>
      <c r="CO155" s="69"/>
      <c r="CP155" s="69"/>
      <c r="CQ155" s="69"/>
      <c r="CR155" s="69"/>
      <c r="CS155" s="69"/>
      <c r="CT155" s="69"/>
      <c r="CU155" s="69"/>
      <c r="CV155" s="69"/>
      <c r="CW155" s="69"/>
    </row>
    <row r="156" ht="15.75" customHeight="1">
      <c r="A156" s="69"/>
      <c r="B156" s="69"/>
      <c r="C156" s="69"/>
      <c r="D156" s="4"/>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c r="BI156" s="69"/>
      <c r="BJ156" s="69"/>
      <c r="BK156" s="69"/>
      <c r="BL156" s="69"/>
      <c r="BM156" s="69"/>
      <c r="BN156" s="69"/>
      <c r="BO156" s="69"/>
      <c r="BP156" s="69"/>
      <c r="BQ156" s="69"/>
      <c r="BR156" s="69"/>
      <c r="BS156" s="69"/>
      <c r="BT156" s="69"/>
      <c r="BU156" s="69"/>
      <c r="BV156" s="69"/>
      <c r="BW156" s="69"/>
      <c r="BX156" s="69"/>
      <c r="BY156" s="69"/>
      <c r="BZ156" s="69"/>
      <c r="CA156" s="69"/>
      <c r="CB156" s="69"/>
      <c r="CC156" s="69"/>
      <c r="CD156" s="69"/>
      <c r="CE156" s="69"/>
      <c r="CF156" s="69"/>
      <c r="CG156" s="69"/>
      <c r="CH156" s="69"/>
      <c r="CI156" s="69"/>
      <c r="CJ156" s="69"/>
      <c r="CK156" s="69"/>
      <c r="CL156" s="69"/>
      <c r="CM156" s="69"/>
      <c r="CN156" s="69"/>
      <c r="CO156" s="69"/>
      <c r="CP156" s="69"/>
      <c r="CQ156" s="69"/>
      <c r="CR156" s="69"/>
      <c r="CS156" s="69"/>
      <c r="CT156" s="69"/>
      <c r="CU156" s="69"/>
      <c r="CV156" s="69"/>
      <c r="CW156" s="69"/>
    </row>
    <row r="157" ht="15.75" customHeight="1">
      <c r="A157" s="69"/>
      <c r="B157" s="69"/>
      <c r="C157" s="69"/>
      <c r="D157" s="4"/>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c r="BI157" s="69"/>
      <c r="BJ157" s="69"/>
      <c r="BK157" s="69"/>
      <c r="BL157" s="69"/>
      <c r="BM157" s="69"/>
      <c r="BN157" s="69"/>
      <c r="BO157" s="69"/>
      <c r="BP157" s="69"/>
      <c r="BQ157" s="69"/>
      <c r="BR157" s="69"/>
      <c r="BS157" s="69"/>
      <c r="BT157" s="69"/>
      <c r="BU157" s="69"/>
      <c r="BV157" s="69"/>
      <c r="BW157" s="69"/>
      <c r="BX157" s="69"/>
      <c r="BY157" s="69"/>
      <c r="BZ157" s="69"/>
      <c r="CA157" s="69"/>
      <c r="CB157" s="69"/>
      <c r="CC157" s="69"/>
      <c r="CD157" s="69"/>
      <c r="CE157" s="69"/>
      <c r="CF157" s="69"/>
      <c r="CG157" s="69"/>
      <c r="CH157" s="69"/>
      <c r="CI157" s="69"/>
      <c r="CJ157" s="69"/>
      <c r="CK157" s="69"/>
      <c r="CL157" s="69"/>
      <c r="CM157" s="69"/>
      <c r="CN157" s="69"/>
      <c r="CO157" s="69"/>
      <c r="CP157" s="69"/>
      <c r="CQ157" s="69"/>
      <c r="CR157" s="69"/>
      <c r="CS157" s="69"/>
      <c r="CT157" s="69"/>
      <c r="CU157" s="69"/>
      <c r="CV157" s="69"/>
      <c r="CW157" s="69"/>
    </row>
    <row r="158" ht="15.75" customHeight="1">
      <c r="A158" s="69"/>
      <c r="B158" s="69"/>
      <c r="C158" s="69"/>
      <c r="D158" s="4"/>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c r="BI158" s="69"/>
      <c r="BJ158" s="69"/>
      <c r="BK158" s="69"/>
      <c r="BL158" s="69"/>
      <c r="BM158" s="69"/>
      <c r="BN158" s="69"/>
      <c r="BO158" s="69"/>
      <c r="BP158" s="69"/>
      <c r="BQ158" s="69"/>
      <c r="BR158" s="69"/>
      <c r="BS158" s="69"/>
      <c r="BT158" s="69"/>
      <c r="BU158" s="69"/>
      <c r="BV158" s="69"/>
      <c r="BW158" s="69"/>
      <c r="BX158" s="69"/>
      <c r="BY158" s="69"/>
      <c r="BZ158" s="69"/>
      <c r="CA158" s="69"/>
      <c r="CB158" s="69"/>
      <c r="CC158" s="69"/>
      <c r="CD158" s="69"/>
      <c r="CE158" s="69"/>
      <c r="CF158" s="69"/>
      <c r="CG158" s="69"/>
      <c r="CH158" s="69"/>
      <c r="CI158" s="69"/>
      <c r="CJ158" s="69"/>
      <c r="CK158" s="69"/>
      <c r="CL158" s="69"/>
      <c r="CM158" s="69"/>
      <c r="CN158" s="69"/>
      <c r="CO158" s="69"/>
      <c r="CP158" s="69"/>
      <c r="CQ158" s="69"/>
      <c r="CR158" s="69"/>
      <c r="CS158" s="69"/>
      <c r="CT158" s="69"/>
      <c r="CU158" s="69"/>
      <c r="CV158" s="69"/>
      <c r="CW158" s="69"/>
    </row>
    <row r="159" ht="15.75" customHeight="1">
      <c r="A159" s="69"/>
      <c r="B159" s="69"/>
      <c r="C159" s="69"/>
      <c r="D159" s="4"/>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c r="BI159" s="69"/>
      <c r="BJ159" s="69"/>
      <c r="BK159" s="69"/>
      <c r="BL159" s="69"/>
      <c r="BM159" s="69"/>
      <c r="BN159" s="69"/>
      <c r="BO159" s="69"/>
      <c r="BP159" s="69"/>
      <c r="BQ159" s="69"/>
      <c r="BR159" s="69"/>
      <c r="BS159" s="69"/>
      <c r="BT159" s="69"/>
      <c r="BU159" s="69"/>
      <c r="BV159" s="69"/>
      <c r="BW159" s="69"/>
      <c r="BX159" s="69"/>
      <c r="BY159" s="69"/>
      <c r="BZ159" s="69"/>
      <c r="CA159" s="69"/>
      <c r="CB159" s="69"/>
      <c r="CC159" s="69"/>
      <c r="CD159" s="69"/>
      <c r="CE159" s="69"/>
      <c r="CF159" s="69"/>
      <c r="CG159" s="69"/>
      <c r="CH159" s="69"/>
      <c r="CI159" s="69"/>
      <c r="CJ159" s="69"/>
      <c r="CK159" s="69"/>
      <c r="CL159" s="69"/>
      <c r="CM159" s="69"/>
      <c r="CN159" s="69"/>
      <c r="CO159" s="69"/>
      <c r="CP159" s="69"/>
      <c r="CQ159" s="69"/>
      <c r="CR159" s="69"/>
      <c r="CS159" s="69"/>
      <c r="CT159" s="69"/>
      <c r="CU159" s="69"/>
      <c r="CV159" s="69"/>
      <c r="CW159" s="69"/>
    </row>
    <row r="160" ht="15.75" customHeight="1">
      <c r="A160" s="69"/>
      <c r="B160" s="69"/>
      <c r="C160" s="69"/>
      <c r="D160" s="4"/>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c r="BN160" s="69"/>
      <c r="BO160" s="69"/>
      <c r="BP160" s="69"/>
      <c r="BQ160" s="69"/>
      <c r="BR160" s="69"/>
      <c r="BS160" s="69"/>
      <c r="BT160" s="69"/>
      <c r="BU160" s="69"/>
      <c r="BV160" s="69"/>
      <c r="BW160" s="69"/>
      <c r="BX160" s="69"/>
      <c r="BY160" s="69"/>
      <c r="BZ160" s="69"/>
      <c r="CA160" s="69"/>
      <c r="CB160" s="69"/>
      <c r="CC160" s="69"/>
      <c r="CD160" s="69"/>
      <c r="CE160" s="69"/>
      <c r="CF160" s="69"/>
      <c r="CG160" s="69"/>
      <c r="CH160" s="69"/>
      <c r="CI160" s="69"/>
      <c r="CJ160" s="69"/>
      <c r="CK160" s="69"/>
      <c r="CL160" s="69"/>
      <c r="CM160" s="69"/>
      <c r="CN160" s="69"/>
      <c r="CO160" s="69"/>
      <c r="CP160" s="69"/>
      <c r="CQ160" s="69"/>
      <c r="CR160" s="69"/>
      <c r="CS160" s="69"/>
      <c r="CT160" s="69"/>
      <c r="CU160" s="69"/>
      <c r="CV160" s="69"/>
      <c r="CW160" s="69"/>
    </row>
    <row r="161" ht="15.75" customHeight="1">
      <c r="A161" s="69"/>
      <c r="B161" s="69"/>
      <c r="C161" s="69"/>
      <c r="D161" s="4"/>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row>
    <row r="162" ht="15.75" customHeight="1">
      <c r="A162" s="69"/>
      <c r="B162" s="69"/>
      <c r="C162" s="69"/>
      <c r="D162" s="4"/>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c r="BN162" s="69"/>
      <c r="BO162" s="69"/>
      <c r="BP162" s="69"/>
      <c r="BQ162" s="69"/>
      <c r="BR162" s="69"/>
      <c r="BS162" s="69"/>
      <c r="BT162" s="69"/>
      <c r="BU162" s="69"/>
      <c r="BV162" s="69"/>
      <c r="BW162" s="69"/>
      <c r="BX162" s="69"/>
      <c r="BY162" s="69"/>
      <c r="BZ162" s="69"/>
      <c r="CA162" s="69"/>
      <c r="CB162" s="69"/>
      <c r="CC162" s="69"/>
      <c r="CD162" s="69"/>
      <c r="CE162" s="69"/>
      <c r="CF162" s="69"/>
      <c r="CG162" s="69"/>
      <c r="CH162" s="69"/>
      <c r="CI162" s="69"/>
      <c r="CJ162" s="69"/>
      <c r="CK162" s="69"/>
      <c r="CL162" s="69"/>
      <c r="CM162" s="69"/>
      <c r="CN162" s="69"/>
      <c r="CO162" s="69"/>
      <c r="CP162" s="69"/>
      <c r="CQ162" s="69"/>
      <c r="CR162" s="69"/>
      <c r="CS162" s="69"/>
      <c r="CT162" s="69"/>
      <c r="CU162" s="69"/>
      <c r="CV162" s="69"/>
      <c r="CW162" s="69"/>
    </row>
    <row r="163" ht="15.75" customHeight="1">
      <c r="A163" s="69"/>
      <c r="B163" s="69"/>
      <c r="C163" s="69"/>
      <c r="D163" s="4"/>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69"/>
      <c r="BS163" s="69"/>
      <c r="BT163" s="69"/>
      <c r="BU163" s="69"/>
      <c r="BV163" s="69"/>
      <c r="BW163" s="69"/>
      <c r="BX163" s="69"/>
      <c r="BY163" s="69"/>
      <c r="BZ163" s="69"/>
      <c r="CA163" s="69"/>
      <c r="CB163" s="69"/>
      <c r="CC163" s="69"/>
      <c r="CD163" s="69"/>
      <c r="CE163" s="69"/>
      <c r="CF163" s="69"/>
      <c r="CG163" s="69"/>
      <c r="CH163" s="69"/>
      <c r="CI163" s="69"/>
      <c r="CJ163" s="69"/>
      <c r="CK163" s="69"/>
      <c r="CL163" s="69"/>
      <c r="CM163" s="69"/>
      <c r="CN163" s="69"/>
      <c r="CO163" s="69"/>
      <c r="CP163" s="69"/>
      <c r="CQ163" s="69"/>
      <c r="CR163" s="69"/>
      <c r="CS163" s="69"/>
      <c r="CT163" s="69"/>
      <c r="CU163" s="69"/>
      <c r="CV163" s="69"/>
      <c r="CW163" s="69"/>
    </row>
    <row r="164" ht="15.75" customHeight="1">
      <c r="A164" s="69"/>
      <c r="B164" s="69"/>
      <c r="C164" s="69"/>
      <c r="D164" s="4"/>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9"/>
      <c r="CD164" s="69"/>
      <c r="CE164" s="69"/>
      <c r="CF164" s="69"/>
      <c r="CG164" s="69"/>
      <c r="CH164" s="69"/>
      <c r="CI164" s="69"/>
      <c r="CJ164" s="69"/>
      <c r="CK164" s="69"/>
      <c r="CL164" s="69"/>
      <c r="CM164" s="69"/>
      <c r="CN164" s="69"/>
      <c r="CO164" s="69"/>
      <c r="CP164" s="69"/>
      <c r="CQ164" s="69"/>
      <c r="CR164" s="69"/>
      <c r="CS164" s="69"/>
      <c r="CT164" s="69"/>
      <c r="CU164" s="69"/>
      <c r="CV164" s="69"/>
      <c r="CW164" s="69"/>
    </row>
    <row r="165" ht="15.75" customHeight="1">
      <c r="A165" s="69"/>
      <c r="B165" s="69"/>
      <c r="C165" s="69"/>
      <c r="D165" s="4"/>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9"/>
      <c r="CD165" s="69"/>
      <c r="CE165" s="69"/>
      <c r="CF165" s="69"/>
      <c r="CG165" s="69"/>
      <c r="CH165" s="69"/>
      <c r="CI165" s="69"/>
      <c r="CJ165" s="69"/>
      <c r="CK165" s="69"/>
      <c r="CL165" s="69"/>
      <c r="CM165" s="69"/>
      <c r="CN165" s="69"/>
      <c r="CO165" s="69"/>
      <c r="CP165" s="69"/>
      <c r="CQ165" s="69"/>
      <c r="CR165" s="69"/>
      <c r="CS165" s="69"/>
      <c r="CT165" s="69"/>
      <c r="CU165" s="69"/>
      <c r="CV165" s="69"/>
      <c r="CW165" s="69"/>
    </row>
    <row r="166" ht="15.75" customHeight="1">
      <c r="A166" s="69"/>
      <c r="B166" s="69"/>
      <c r="C166" s="69"/>
      <c r="D166" s="4"/>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9"/>
      <c r="CD166" s="69"/>
      <c r="CE166" s="69"/>
      <c r="CF166" s="69"/>
      <c r="CG166" s="69"/>
      <c r="CH166" s="69"/>
      <c r="CI166" s="69"/>
      <c r="CJ166" s="69"/>
      <c r="CK166" s="69"/>
      <c r="CL166" s="69"/>
      <c r="CM166" s="69"/>
      <c r="CN166" s="69"/>
      <c r="CO166" s="69"/>
      <c r="CP166" s="69"/>
      <c r="CQ166" s="69"/>
      <c r="CR166" s="69"/>
      <c r="CS166" s="69"/>
      <c r="CT166" s="69"/>
      <c r="CU166" s="69"/>
      <c r="CV166" s="69"/>
      <c r="CW166" s="69"/>
    </row>
    <row r="167" ht="15.75" customHeight="1">
      <c r="A167" s="69"/>
      <c r="B167" s="69"/>
      <c r="C167" s="69"/>
      <c r="D167" s="4"/>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c r="BI167" s="69"/>
      <c r="BJ167" s="69"/>
      <c r="BK167" s="69"/>
      <c r="BL167" s="69"/>
      <c r="BM167" s="69"/>
      <c r="BN167" s="69"/>
      <c r="BO167" s="69"/>
      <c r="BP167" s="69"/>
      <c r="BQ167" s="69"/>
      <c r="BR167" s="69"/>
      <c r="BS167" s="69"/>
      <c r="BT167" s="69"/>
      <c r="BU167" s="69"/>
      <c r="BV167" s="69"/>
      <c r="BW167" s="69"/>
      <c r="BX167" s="69"/>
      <c r="BY167" s="69"/>
      <c r="BZ167" s="69"/>
      <c r="CA167" s="69"/>
      <c r="CB167" s="69"/>
      <c r="CC167" s="69"/>
      <c r="CD167" s="69"/>
      <c r="CE167" s="69"/>
      <c r="CF167" s="69"/>
      <c r="CG167" s="69"/>
      <c r="CH167" s="69"/>
      <c r="CI167" s="69"/>
      <c r="CJ167" s="69"/>
      <c r="CK167" s="69"/>
      <c r="CL167" s="69"/>
      <c r="CM167" s="69"/>
      <c r="CN167" s="69"/>
      <c r="CO167" s="69"/>
      <c r="CP167" s="69"/>
      <c r="CQ167" s="69"/>
      <c r="CR167" s="69"/>
      <c r="CS167" s="69"/>
      <c r="CT167" s="69"/>
      <c r="CU167" s="69"/>
      <c r="CV167" s="69"/>
      <c r="CW167" s="69"/>
    </row>
    <row r="168" ht="15.75" customHeight="1">
      <c r="A168" s="69"/>
      <c r="B168" s="69"/>
      <c r="C168" s="69"/>
      <c r="D168" s="4"/>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c r="BN168" s="69"/>
      <c r="BO168" s="69"/>
      <c r="BP168" s="69"/>
      <c r="BQ168" s="69"/>
      <c r="BR168" s="69"/>
      <c r="BS168" s="69"/>
      <c r="BT168" s="69"/>
      <c r="BU168" s="69"/>
      <c r="BV168" s="69"/>
      <c r="BW168" s="69"/>
      <c r="BX168" s="69"/>
      <c r="BY168" s="69"/>
      <c r="BZ168" s="69"/>
      <c r="CA168" s="69"/>
      <c r="CB168" s="69"/>
      <c r="CC168" s="69"/>
      <c r="CD168" s="69"/>
      <c r="CE168" s="69"/>
      <c r="CF168" s="69"/>
      <c r="CG168" s="69"/>
      <c r="CH168" s="69"/>
      <c r="CI168" s="69"/>
      <c r="CJ168" s="69"/>
      <c r="CK168" s="69"/>
      <c r="CL168" s="69"/>
      <c r="CM168" s="69"/>
      <c r="CN168" s="69"/>
      <c r="CO168" s="69"/>
      <c r="CP168" s="69"/>
      <c r="CQ168" s="69"/>
      <c r="CR168" s="69"/>
      <c r="CS168" s="69"/>
      <c r="CT168" s="69"/>
      <c r="CU168" s="69"/>
      <c r="CV168" s="69"/>
      <c r="CW168" s="69"/>
    </row>
    <row r="169" ht="15.75" customHeight="1">
      <c r="A169" s="69"/>
      <c r="B169" s="69"/>
      <c r="C169" s="69"/>
      <c r="D169" s="4"/>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c r="BI169" s="69"/>
      <c r="BJ169" s="69"/>
      <c r="BK169" s="69"/>
      <c r="BL169" s="69"/>
      <c r="BM169" s="69"/>
      <c r="BN169" s="69"/>
      <c r="BO169" s="69"/>
      <c r="BP169" s="69"/>
      <c r="BQ169" s="69"/>
      <c r="BR169" s="69"/>
      <c r="BS169" s="69"/>
      <c r="BT169" s="69"/>
      <c r="BU169" s="69"/>
      <c r="BV169" s="69"/>
      <c r="BW169" s="69"/>
      <c r="BX169" s="69"/>
      <c r="BY169" s="69"/>
      <c r="BZ169" s="69"/>
      <c r="CA169" s="69"/>
      <c r="CB169" s="69"/>
      <c r="CC169" s="69"/>
      <c r="CD169" s="69"/>
      <c r="CE169" s="69"/>
      <c r="CF169" s="69"/>
      <c r="CG169" s="69"/>
      <c r="CH169" s="69"/>
      <c r="CI169" s="69"/>
      <c r="CJ169" s="69"/>
      <c r="CK169" s="69"/>
      <c r="CL169" s="69"/>
      <c r="CM169" s="69"/>
      <c r="CN169" s="69"/>
      <c r="CO169" s="69"/>
      <c r="CP169" s="69"/>
      <c r="CQ169" s="69"/>
      <c r="CR169" s="69"/>
      <c r="CS169" s="69"/>
      <c r="CT169" s="69"/>
      <c r="CU169" s="69"/>
      <c r="CV169" s="69"/>
      <c r="CW169" s="69"/>
    </row>
    <row r="170" ht="15.75" customHeight="1">
      <c r="A170" s="69"/>
      <c r="B170" s="69"/>
      <c r="C170" s="69"/>
      <c r="D170" s="4"/>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c r="BN170" s="69"/>
      <c r="BO170" s="69"/>
      <c r="BP170" s="69"/>
      <c r="BQ170" s="69"/>
      <c r="BR170" s="69"/>
      <c r="BS170" s="69"/>
      <c r="BT170" s="69"/>
      <c r="BU170" s="69"/>
      <c r="BV170" s="69"/>
      <c r="BW170" s="69"/>
      <c r="BX170" s="69"/>
      <c r="BY170" s="69"/>
      <c r="BZ170" s="69"/>
      <c r="CA170" s="69"/>
      <c r="CB170" s="69"/>
      <c r="CC170" s="69"/>
      <c r="CD170" s="69"/>
      <c r="CE170" s="69"/>
      <c r="CF170" s="69"/>
      <c r="CG170" s="69"/>
      <c r="CH170" s="69"/>
      <c r="CI170" s="69"/>
      <c r="CJ170" s="69"/>
      <c r="CK170" s="69"/>
      <c r="CL170" s="69"/>
      <c r="CM170" s="69"/>
      <c r="CN170" s="69"/>
      <c r="CO170" s="69"/>
      <c r="CP170" s="69"/>
      <c r="CQ170" s="69"/>
      <c r="CR170" s="69"/>
      <c r="CS170" s="69"/>
      <c r="CT170" s="69"/>
      <c r="CU170" s="69"/>
      <c r="CV170" s="69"/>
      <c r="CW170" s="69"/>
    </row>
    <row r="171" ht="15.75" customHeight="1">
      <c r="A171" s="69"/>
      <c r="B171" s="69"/>
      <c r="C171" s="69"/>
      <c r="D171" s="4"/>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c r="BT171" s="69"/>
      <c r="BU171" s="69"/>
      <c r="BV171" s="69"/>
      <c r="BW171" s="69"/>
      <c r="BX171" s="69"/>
      <c r="BY171" s="69"/>
      <c r="BZ171" s="69"/>
      <c r="CA171" s="69"/>
      <c r="CB171" s="69"/>
      <c r="CC171" s="69"/>
      <c r="CD171" s="69"/>
      <c r="CE171" s="69"/>
      <c r="CF171" s="69"/>
      <c r="CG171" s="69"/>
      <c r="CH171" s="69"/>
      <c r="CI171" s="69"/>
      <c r="CJ171" s="69"/>
      <c r="CK171" s="69"/>
      <c r="CL171" s="69"/>
      <c r="CM171" s="69"/>
      <c r="CN171" s="69"/>
      <c r="CO171" s="69"/>
      <c r="CP171" s="69"/>
      <c r="CQ171" s="69"/>
      <c r="CR171" s="69"/>
      <c r="CS171" s="69"/>
      <c r="CT171" s="69"/>
      <c r="CU171" s="69"/>
      <c r="CV171" s="69"/>
      <c r="CW171" s="69"/>
    </row>
    <row r="172" ht="15.75" customHeight="1">
      <c r="A172" s="69"/>
      <c r="B172" s="69"/>
      <c r="C172" s="69"/>
      <c r="D172" s="4"/>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row>
    <row r="173" ht="15.75" customHeight="1">
      <c r="A173" s="69"/>
      <c r="B173" s="69"/>
      <c r="C173" s="69"/>
      <c r="D173" s="4"/>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row>
    <row r="174" ht="15.75" customHeight="1">
      <c r="A174" s="69"/>
      <c r="B174" s="69"/>
      <c r="C174" s="69"/>
      <c r="D174" s="4"/>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row>
    <row r="175" ht="15.75" customHeight="1">
      <c r="A175" s="69"/>
      <c r="B175" s="69"/>
      <c r="C175" s="69"/>
      <c r="D175" s="4"/>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c r="BT175" s="69"/>
      <c r="BU175" s="69"/>
      <c r="BV175" s="69"/>
      <c r="BW175" s="69"/>
      <c r="BX175" s="69"/>
      <c r="BY175" s="69"/>
      <c r="BZ175" s="69"/>
      <c r="CA175" s="69"/>
      <c r="CB175" s="69"/>
      <c r="CC175" s="69"/>
      <c r="CD175" s="69"/>
      <c r="CE175" s="69"/>
      <c r="CF175" s="69"/>
      <c r="CG175" s="69"/>
      <c r="CH175" s="69"/>
      <c r="CI175" s="69"/>
      <c r="CJ175" s="69"/>
      <c r="CK175" s="69"/>
      <c r="CL175" s="69"/>
      <c r="CM175" s="69"/>
      <c r="CN175" s="69"/>
      <c r="CO175" s="69"/>
      <c r="CP175" s="69"/>
      <c r="CQ175" s="69"/>
      <c r="CR175" s="69"/>
      <c r="CS175" s="69"/>
      <c r="CT175" s="69"/>
      <c r="CU175" s="69"/>
      <c r="CV175" s="69"/>
      <c r="CW175" s="69"/>
    </row>
    <row r="176" ht="15.75" customHeight="1">
      <c r="A176" s="69"/>
      <c r="B176" s="69"/>
      <c r="C176" s="69"/>
      <c r="D176" s="4"/>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c r="BT176" s="69"/>
      <c r="BU176" s="69"/>
      <c r="BV176" s="69"/>
      <c r="BW176" s="69"/>
      <c r="BX176" s="69"/>
      <c r="BY176" s="69"/>
      <c r="BZ176" s="69"/>
      <c r="CA176" s="69"/>
      <c r="CB176" s="69"/>
      <c r="CC176" s="69"/>
      <c r="CD176" s="69"/>
      <c r="CE176" s="69"/>
      <c r="CF176" s="69"/>
      <c r="CG176" s="69"/>
      <c r="CH176" s="69"/>
      <c r="CI176" s="69"/>
      <c r="CJ176" s="69"/>
      <c r="CK176" s="69"/>
      <c r="CL176" s="69"/>
      <c r="CM176" s="69"/>
      <c r="CN176" s="69"/>
      <c r="CO176" s="69"/>
      <c r="CP176" s="69"/>
      <c r="CQ176" s="69"/>
      <c r="CR176" s="69"/>
      <c r="CS176" s="69"/>
      <c r="CT176" s="69"/>
      <c r="CU176" s="69"/>
      <c r="CV176" s="69"/>
      <c r="CW176" s="69"/>
    </row>
    <row r="177" ht="15.75" customHeight="1">
      <c r="A177" s="69"/>
      <c r="B177" s="69"/>
      <c r="C177" s="69"/>
      <c r="D177" s="4"/>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69"/>
      <c r="BS177" s="69"/>
      <c r="BT177" s="69"/>
      <c r="BU177" s="69"/>
      <c r="BV177" s="69"/>
      <c r="BW177" s="69"/>
      <c r="BX177" s="69"/>
      <c r="BY177" s="69"/>
      <c r="BZ177" s="69"/>
      <c r="CA177" s="69"/>
      <c r="CB177" s="69"/>
      <c r="CC177" s="69"/>
      <c r="CD177" s="69"/>
      <c r="CE177" s="69"/>
      <c r="CF177" s="69"/>
      <c r="CG177" s="69"/>
      <c r="CH177" s="69"/>
      <c r="CI177" s="69"/>
      <c r="CJ177" s="69"/>
      <c r="CK177" s="69"/>
      <c r="CL177" s="69"/>
      <c r="CM177" s="69"/>
      <c r="CN177" s="69"/>
      <c r="CO177" s="69"/>
      <c r="CP177" s="69"/>
      <c r="CQ177" s="69"/>
      <c r="CR177" s="69"/>
      <c r="CS177" s="69"/>
      <c r="CT177" s="69"/>
      <c r="CU177" s="69"/>
      <c r="CV177" s="69"/>
      <c r="CW177" s="69"/>
    </row>
    <row r="178" ht="15.75" customHeight="1">
      <c r="A178" s="69"/>
      <c r="B178" s="69"/>
      <c r="C178" s="69"/>
      <c r="D178" s="4"/>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c r="BN178" s="69"/>
      <c r="BO178" s="69"/>
      <c r="BP178" s="69"/>
      <c r="BQ178" s="69"/>
      <c r="BR178" s="69"/>
      <c r="BS178" s="69"/>
      <c r="BT178" s="69"/>
      <c r="BU178" s="69"/>
      <c r="BV178" s="69"/>
      <c r="BW178" s="69"/>
      <c r="BX178" s="69"/>
      <c r="BY178" s="69"/>
      <c r="BZ178" s="69"/>
      <c r="CA178" s="69"/>
      <c r="CB178" s="69"/>
      <c r="CC178" s="69"/>
      <c r="CD178" s="69"/>
      <c r="CE178" s="69"/>
      <c r="CF178" s="69"/>
      <c r="CG178" s="69"/>
      <c r="CH178" s="69"/>
      <c r="CI178" s="69"/>
      <c r="CJ178" s="69"/>
      <c r="CK178" s="69"/>
      <c r="CL178" s="69"/>
      <c r="CM178" s="69"/>
      <c r="CN178" s="69"/>
      <c r="CO178" s="69"/>
      <c r="CP178" s="69"/>
      <c r="CQ178" s="69"/>
      <c r="CR178" s="69"/>
      <c r="CS178" s="69"/>
      <c r="CT178" s="69"/>
      <c r="CU178" s="69"/>
      <c r="CV178" s="69"/>
      <c r="CW178" s="69"/>
    </row>
    <row r="179" ht="15.75" customHeight="1">
      <c r="A179" s="69"/>
      <c r="B179" s="69"/>
      <c r="C179" s="69"/>
      <c r="D179" s="4"/>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c r="BI179" s="69"/>
      <c r="BJ179" s="69"/>
      <c r="BK179" s="69"/>
      <c r="BL179" s="69"/>
      <c r="BM179" s="69"/>
      <c r="BN179" s="69"/>
      <c r="BO179" s="69"/>
      <c r="BP179" s="69"/>
      <c r="BQ179" s="69"/>
      <c r="BR179" s="69"/>
      <c r="BS179" s="69"/>
      <c r="BT179" s="69"/>
      <c r="BU179" s="69"/>
      <c r="BV179" s="69"/>
      <c r="BW179" s="69"/>
      <c r="BX179" s="69"/>
      <c r="BY179" s="69"/>
      <c r="BZ179" s="69"/>
      <c r="CA179" s="69"/>
      <c r="CB179" s="69"/>
      <c r="CC179" s="69"/>
      <c r="CD179" s="69"/>
      <c r="CE179" s="69"/>
      <c r="CF179" s="69"/>
      <c r="CG179" s="69"/>
      <c r="CH179" s="69"/>
      <c r="CI179" s="69"/>
      <c r="CJ179" s="69"/>
      <c r="CK179" s="69"/>
      <c r="CL179" s="69"/>
      <c r="CM179" s="69"/>
      <c r="CN179" s="69"/>
      <c r="CO179" s="69"/>
      <c r="CP179" s="69"/>
      <c r="CQ179" s="69"/>
      <c r="CR179" s="69"/>
      <c r="CS179" s="69"/>
      <c r="CT179" s="69"/>
      <c r="CU179" s="69"/>
      <c r="CV179" s="69"/>
      <c r="CW179" s="69"/>
    </row>
    <row r="180" ht="15.75" customHeight="1">
      <c r="A180" s="69"/>
      <c r="B180" s="69"/>
      <c r="C180" s="69"/>
      <c r="D180" s="4"/>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c r="BN180" s="69"/>
      <c r="BO180" s="69"/>
      <c r="BP180" s="69"/>
      <c r="BQ180" s="69"/>
      <c r="BR180" s="69"/>
      <c r="BS180" s="69"/>
      <c r="BT180" s="69"/>
      <c r="BU180" s="69"/>
      <c r="BV180" s="69"/>
      <c r="BW180" s="69"/>
      <c r="BX180" s="69"/>
      <c r="BY180" s="69"/>
      <c r="BZ180" s="69"/>
      <c r="CA180" s="69"/>
      <c r="CB180" s="69"/>
      <c r="CC180" s="69"/>
      <c r="CD180" s="69"/>
      <c r="CE180" s="69"/>
      <c r="CF180" s="69"/>
      <c r="CG180" s="69"/>
      <c r="CH180" s="69"/>
      <c r="CI180" s="69"/>
      <c r="CJ180" s="69"/>
      <c r="CK180" s="69"/>
      <c r="CL180" s="69"/>
      <c r="CM180" s="69"/>
      <c r="CN180" s="69"/>
      <c r="CO180" s="69"/>
      <c r="CP180" s="69"/>
      <c r="CQ180" s="69"/>
      <c r="CR180" s="69"/>
      <c r="CS180" s="69"/>
      <c r="CT180" s="69"/>
      <c r="CU180" s="69"/>
      <c r="CV180" s="69"/>
      <c r="CW180" s="69"/>
    </row>
    <row r="181" ht="15.75" customHeight="1">
      <c r="A181" s="69"/>
      <c r="B181" s="69"/>
      <c r="C181" s="69"/>
      <c r="D181" s="4"/>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c r="BI181" s="69"/>
      <c r="BJ181" s="69"/>
      <c r="BK181" s="69"/>
      <c r="BL181" s="69"/>
      <c r="BM181" s="69"/>
      <c r="BN181" s="69"/>
      <c r="BO181" s="69"/>
      <c r="BP181" s="69"/>
      <c r="BQ181" s="69"/>
      <c r="BR181" s="69"/>
      <c r="BS181" s="69"/>
      <c r="BT181" s="69"/>
      <c r="BU181" s="69"/>
      <c r="BV181" s="69"/>
      <c r="BW181" s="69"/>
      <c r="BX181" s="69"/>
      <c r="BY181" s="69"/>
      <c r="BZ181" s="69"/>
      <c r="CA181" s="69"/>
      <c r="CB181" s="69"/>
      <c r="CC181" s="69"/>
      <c r="CD181" s="69"/>
      <c r="CE181" s="69"/>
      <c r="CF181" s="69"/>
      <c r="CG181" s="69"/>
      <c r="CH181" s="69"/>
      <c r="CI181" s="69"/>
      <c r="CJ181" s="69"/>
      <c r="CK181" s="69"/>
      <c r="CL181" s="69"/>
      <c r="CM181" s="69"/>
      <c r="CN181" s="69"/>
      <c r="CO181" s="69"/>
      <c r="CP181" s="69"/>
      <c r="CQ181" s="69"/>
      <c r="CR181" s="69"/>
      <c r="CS181" s="69"/>
      <c r="CT181" s="69"/>
      <c r="CU181" s="69"/>
      <c r="CV181" s="69"/>
      <c r="CW181" s="69"/>
    </row>
    <row r="182" ht="15.75" customHeight="1">
      <c r="A182" s="69"/>
      <c r="B182" s="69"/>
      <c r="C182" s="69"/>
      <c r="D182" s="4"/>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69"/>
      <c r="BS182" s="69"/>
      <c r="BT182" s="69"/>
      <c r="BU182" s="69"/>
      <c r="BV182" s="69"/>
      <c r="BW182" s="69"/>
      <c r="BX182" s="69"/>
      <c r="BY182" s="69"/>
      <c r="BZ182" s="69"/>
      <c r="CA182" s="69"/>
      <c r="CB182" s="69"/>
      <c r="CC182" s="69"/>
      <c r="CD182" s="69"/>
      <c r="CE182" s="69"/>
      <c r="CF182" s="69"/>
      <c r="CG182" s="69"/>
      <c r="CH182" s="69"/>
      <c r="CI182" s="69"/>
      <c r="CJ182" s="69"/>
      <c r="CK182" s="69"/>
      <c r="CL182" s="69"/>
      <c r="CM182" s="69"/>
      <c r="CN182" s="69"/>
      <c r="CO182" s="69"/>
      <c r="CP182" s="69"/>
      <c r="CQ182" s="69"/>
      <c r="CR182" s="69"/>
      <c r="CS182" s="69"/>
      <c r="CT182" s="69"/>
      <c r="CU182" s="69"/>
      <c r="CV182" s="69"/>
      <c r="CW182" s="69"/>
    </row>
    <row r="183" ht="15.75" customHeight="1">
      <c r="A183" s="69"/>
      <c r="B183" s="69"/>
      <c r="C183" s="69"/>
      <c r="D183" s="4"/>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c r="BI183" s="69"/>
      <c r="BJ183" s="69"/>
      <c r="BK183" s="69"/>
      <c r="BL183" s="69"/>
      <c r="BM183" s="69"/>
      <c r="BN183" s="69"/>
      <c r="BO183" s="69"/>
      <c r="BP183" s="69"/>
      <c r="BQ183" s="69"/>
      <c r="BR183" s="69"/>
      <c r="BS183" s="69"/>
      <c r="BT183" s="69"/>
      <c r="BU183" s="69"/>
      <c r="BV183" s="69"/>
      <c r="BW183" s="69"/>
      <c r="BX183" s="69"/>
      <c r="BY183" s="69"/>
      <c r="BZ183" s="69"/>
      <c r="CA183" s="69"/>
      <c r="CB183" s="69"/>
      <c r="CC183" s="69"/>
      <c r="CD183" s="69"/>
      <c r="CE183" s="69"/>
      <c r="CF183" s="69"/>
      <c r="CG183" s="69"/>
      <c r="CH183" s="69"/>
      <c r="CI183" s="69"/>
      <c r="CJ183" s="69"/>
      <c r="CK183" s="69"/>
      <c r="CL183" s="69"/>
      <c r="CM183" s="69"/>
      <c r="CN183" s="69"/>
      <c r="CO183" s="69"/>
      <c r="CP183" s="69"/>
      <c r="CQ183" s="69"/>
      <c r="CR183" s="69"/>
      <c r="CS183" s="69"/>
      <c r="CT183" s="69"/>
      <c r="CU183" s="69"/>
      <c r="CV183" s="69"/>
      <c r="CW183" s="69"/>
    </row>
    <row r="184" ht="15.75" customHeight="1">
      <c r="A184" s="69"/>
      <c r="B184" s="69"/>
      <c r="C184" s="69"/>
      <c r="D184" s="4"/>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c r="BN184" s="69"/>
      <c r="BO184" s="69"/>
      <c r="BP184" s="69"/>
      <c r="BQ184" s="69"/>
      <c r="BR184" s="69"/>
      <c r="BS184" s="69"/>
      <c r="BT184" s="69"/>
      <c r="BU184" s="69"/>
      <c r="BV184" s="69"/>
      <c r="BW184" s="69"/>
      <c r="BX184" s="69"/>
      <c r="BY184" s="69"/>
      <c r="BZ184" s="69"/>
      <c r="CA184" s="69"/>
      <c r="CB184" s="69"/>
      <c r="CC184" s="69"/>
      <c r="CD184" s="69"/>
      <c r="CE184" s="69"/>
      <c r="CF184" s="69"/>
      <c r="CG184" s="69"/>
      <c r="CH184" s="69"/>
      <c r="CI184" s="69"/>
      <c r="CJ184" s="69"/>
      <c r="CK184" s="69"/>
      <c r="CL184" s="69"/>
      <c r="CM184" s="69"/>
      <c r="CN184" s="69"/>
      <c r="CO184" s="69"/>
      <c r="CP184" s="69"/>
      <c r="CQ184" s="69"/>
      <c r="CR184" s="69"/>
      <c r="CS184" s="69"/>
      <c r="CT184" s="69"/>
      <c r="CU184" s="69"/>
      <c r="CV184" s="69"/>
      <c r="CW184" s="69"/>
    </row>
    <row r="185" ht="15.75" customHeight="1">
      <c r="A185" s="69"/>
      <c r="B185" s="69"/>
      <c r="C185" s="69"/>
      <c r="D185" s="4"/>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c r="BI185" s="69"/>
      <c r="BJ185" s="69"/>
      <c r="BK185" s="69"/>
      <c r="BL185" s="69"/>
      <c r="BM185" s="69"/>
      <c r="BN185" s="69"/>
      <c r="BO185" s="69"/>
      <c r="BP185" s="69"/>
      <c r="BQ185" s="69"/>
      <c r="BR185" s="69"/>
      <c r="BS185" s="69"/>
      <c r="BT185" s="69"/>
      <c r="BU185" s="69"/>
      <c r="BV185" s="69"/>
      <c r="BW185" s="69"/>
      <c r="BX185" s="69"/>
      <c r="BY185" s="69"/>
      <c r="BZ185" s="69"/>
      <c r="CA185" s="69"/>
      <c r="CB185" s="69"/>
      <c r="CC185" s="69"/>
      <c r="CD185" s="69"/>
      <c r="CE185" s="69"/>
      <c r="CF185" s="69"/>
      <c r="CG185" s="69"/>
      <c r="CH185" s="69"/>
      <c r="CI185" s="69"/>
      <c r="CJ185" s="69"/>
      <c r="CK185" s="69"/>
      <c r="CL185" s="69"/>
      <c r="CM185" s="69"/>
      <c r="CN185" s="69"/>
      <c r="CO185" s="69"/>
      <c r="CP185" s="69"/>
      <c r="CQ185" s="69"/>
      <c r="CR185" s="69"/>
      <c r="CS185" s="69"/>
      <c r="CT185" s="69"/>
      <c r="CU185" s="69"/>
      <c r="CV185" s="69"/>
      <c r="CW185" s="69"/>
    </row>
    <row r="186" ht="15.75" customHeight="1">
      <c r="A186" s="69"/>
      <c r="B186" s="69"/>
      <c r="C186" s="69"/>
      <c r="D186" s="4"/>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c r="BN186" s="69"/>
      <c r="BO186" s="69"/>
      <c r="BP186" s="69"/>
      <c r="BQ186" s="69"/>
      <c r="BR186" s="69"/>
      <c r="BS186" s="69"/>
      <c r="BT186" s="69"/>
      <c r="BU186" s="69"/>
      <c r="BV186" s="69"/>
      <c r="BW186" s="69"/>
      <c r="BX186" s="69"/>
      <c r="BY186" s="69"/>
      <c r="BZ186" s="69"/>
      <c r="CA186" s="69"/>
      <c r="CB186" s="69"/>
      <c r="CC186" s="69"/>
      <c r="CD186" s="69"/>
      <c r="CE186" s="69"/>
      <c r="CF186" s="69"/>
      <c r="CG186" s="69"/>
      <c r="CH186" s="69"/>
      <c r="CI186" s="69"/>
      <c r="CJ186" s="69"/>
      <c r="CK186" s="69"/>
      <c r="CL186" s="69"/>
      <c r="CM186" s="69"/>
      <c r="CN186" s="69"/>
      <c r="CO186" s="69"/>
      <c r="CP186" s="69"/>
      <c r="CQ186" s="69"/>
      <c r="CR186" s="69"/>
      <c r="CS186" s="69"/>
      <c r="CT186" s="69"/>
      <c r="CU186" s="69"/>
      <c r="CV186" s="69"/>
      <c r="CW186" s="69"/>
    </row>
    <row r="187" ht="15.75" customHeight="1">
      <c r="A187" s="69"/>
      <c r="B187" s="69"/>
      <c r="C187" s="69"/>
      <c r="D187" s="4"/>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c r="BI187" s="69"/>
      <c r="BJ187" s="69"/>
      <c r="BK187" s="69"/>
      <c r="BL187" s="69"/>
      <c r="BM187" s="69"/>
      <c r="BN187" s="69"/>
      <c r="BO187" s="69"/>
      <c r="BP187" s="69"/>
      <c r="BQ187" s="69"/>
      <c r="BR187" s="69"/>
      <c r="BS187" s="69"/>
      <c r="BT187" s="69"/>
      <c r="BU187" s="69"/>
      <c r="BV187" s="69"/>
      <c r="BW187" s="69"/>
      <c r="BX187" s="69"/>
      <c r="BY187" s="69"/>
      <c r="BZ187" s="69"/>
      <c r="CA187" s="69"/>
      <c r="CB187" s="69"/>
      <c r="CC187" s="69"/>
      <c r="CD187" s="69"/>
      <c r="CE187" s="69"/>
      <c r="CF187" s="69"/>
      <c r="CG187" s="69"/>
      <c r="CH187" s="69"/>
      <c r="CI187" s="69"/>
      <c r="CJ187" s="69"/>
      <c r="CK187" s="69"/>
      <c r="CL187" s="69"/>
      <c r="CM187" s="69"/>
      <c r="CN187" s="69"/>
      <c r="CO187" s="69"/>
      <c r="CP187" s="69"/>
      <c r="CQ187" s="69"/>
      <c r="CR187" s="69"/>
      <c r="CS187" s="69"/>
      <c r="CT187" s="69"/>
      <c r="CU187" s="69"/>
      <c r="CV187" s="69"/>
      <c r="CW187" s="69"/>
    </row>
    <row r="188" ht="15.75" customHeight="1">
      <c r="A188" s="69"/>
      <c r="B188" s="69"/>
      <c r="C188" s="69"/>
      <c r="D188" s="4"/>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c r="BN188" s="69"/>
      <c r="BO188" s="69"/>
      <c r="BP188" s="69"/>
      <c r="BQ188" s="69"/>
      <c r="BR188" s="69"/>
      <c r="BS188" s="69"/>
      <c r="BT188" s="69"/>
      <c r="BU188" s="69"/>
      <c r="BV188" s="69"/>
      <c r="BW188" s="69"/>
      <c r="BX188" s="69"/>
      <c r="BY188" s="69"/>
      <c r="BZ188" s="69"/>
      <c r="CA188" s="69"/>
      <c r="CB188" s="69"/>
      <c r="CC188" s="69"/>
      <c r="CD188" s="69"/>
      <c r="CE188" s="69"/>
      <c r="CF188" s="69"/>
      <c r="CG188" s="69"/>
      <c r="CH188" s="69"/>
      <c r="CI188" s="69"/>
      <c r="CJ188" s="69"/>
      <c r="CK188" s="69"/>
      <c r="CL188" s="69"/>
      <c r="CM188" s="69"/>
      <c r="CN188" s="69"/>
      <c r="CO188" s="69"/>
      <c r="CP188" s="69"/>
      <c r="CQ188" s="69"/>
      <c r="CR188" s="69"/>
      <c r="CS188" s="69"/>
      <c r="CT188" s="69"/>
      <c r="CU188" s="69"/>
      <c r="CV188" s="69"/>
      <c r="CW188" s="69"/>
    </row>
    <row r="189" ht="15.75" customHeight="1">
      <c r="A189" s="69"/>
      <c r="B189" s="69"/>
      <c r="C189" s="69"/>
      <c r="D189" s="4"/>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c r="BI189" s="69"/>
      <c r="BJ189" s="69"/>
      <c r="BK189" s="69"/>
      <c r="BL189" s="69"/>
      <c r="BM189" s="69"/>
      <c r="BN189" s="69"/>
      <c r="BO189" s="69"/>
      <c r="BP189" s="69"/>
      <c r="BQ189" s="69"/>
      <c r="BR189" s="69"/>
      <c r="BS189" s="69"/>
      <c r="BT189" s="69"/>
      <c r="BU189" s="69"/>
      <c r="BV189" s="69"/>
      <c r="BW189" s="69"/>
      <c r="BX189" s="69"/>
      <c r="BY189" s="69"/>
      <c r="BZ189" s="69"/>
      <c r="CA189" s="69"/>
      <c r="CB189" s="69"/>
      <c r="CC189" s="69"/>
      <c r="CD189" s="69"/>
      <c r="CE189" s="69"/>
      <c r="CF189" s="69"/>
      <c r="CG189" s="69"/>
      <c r="CH189" s="69"/>
      <c r="CI189" s="69"/>
      <c r="CJ189" s="69"/>
      <c r="CK189" s="69"/>
      <c r="CL189" s="69"/>
      <c r="CM189" s="69"/>
      <c r="CN189" s="69"/>
      <c r="CO189" s="69"/>
      <c r="CP189" s="69"/>
      <c r="CQ189" s="69"/>
      <c r="CR189" s="69"/>
      <c r="CS189" s="69"/>
      <c r="CT189" s="69"/>
      <c r="CU189" s="69"/>
      <c r="CV189" s="69"/>
      <c r="CW189" s="69"/>
    </row>
    <row r="190" ht="15.75" customHeight="1">
      <c r="A190" s="69"/>
      <c r="B190" s="69"/>
      <c r="C190" s="69"/>
      <c r="D190" s="4"/>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69"/>
      <c r="CR190" s="69"/>
      <c r="CS190" s="69"/>
      <c r="CT190" s="69"/>
      <c r="CU190" s="69"/>
      <c r="CV190" s="69"/>
      <c r="CW190" s="69"/>
    </row>
    <row r="191" ht="15.75" customHeight="1">
      <c r="A191" s="69"/>
      <c r="B191" s="69"/>
      <c r="C191" s="69"/>
      <c r="D191" s="4"/>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69"/>
      <c r="CR191" s="69"/>
      <c r="CS191" s="69"/>
      <c r="CT191" s="69"/>
      <c r="CU191" s="69"/>
      <c r="CV191" s="69"/>
      <c r="CW191" s="69"/>
    </row>
    <row r="192" ht="15.75" customHeight="1">
      <c r="A192" s="69"/>
      <c r="B192" s="69"/>
      <c r="C192" s="69"/>
      <c r="D192" s="4"/>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c r="BT192" s="69"/>
      <c r="BU192" s="69"/>
      <c r="BV192" s="69"/>
      <c r="BW192" s="69"/>
      <c r="BX192" s="69"/>
      <c r="BY192" s="69"/>
      <c r="BZ192" s="69"/>
      <c r="CA192" s="69"/>
      <c r="CB192" s="69"/>
      <c r="CC192" s="69"/>
      <c r="CD192" s="69"/>
      <c r="CE192" s="69"/>
      <c r="CF192" s="69"/>
      <c r="CG192" s="69"/>
      <c r="CH192" s="69"/>
      <c r="CI192" s="69"/>
      <c r="CJ192" s="69"/>
      <c r="CK192" s="69"/>
      <c r="CL192" s="69"/>
      <c r="CM192" s="69"/>
      <c r="CN192" s="69"/>
      <c r="CO192" s="69"/>
      <c r="CP192" s="69"/>
      <c r="CQ192" s="69"/>
      <c r="CR192" s="69"/>
      <c r="CS192" s="69"/>
      <c r="CT192" s="69"/>
      <c r="CU192" s="69"/>
      <c r="CV192" s="69"/>
      <c r="CW192" s="69"/>
    </row>
    <row r="193" ht="15.75" customHeight="1">
      <c r="A193" s="69"/>
      <c r="B193" s="69"/>
      <c r="C193" s="69"/>
      <c r="D193" s="4"/>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69"/>
      <c r="BS193" s="69"/>
      <c r="BT193" s="69"/>
      <c r="BU193" s="69"/>
      <c r="BV193" s="69"/>
      <c r="BW193" s="69"/>
      <c r="BX193" s="69"/>
      <c r="BY193" s="69"/>
      <c r="BZ193" s="69"/>
      <c r="CA193" s="69"/>
      <c r="CB193" s="69"/>
      <c r="CC193" s="69"/>
      <c r="CD193" s="69"/>
      <c r="CE193" s="69"/>
      <c r="CF193" s="69"/>
      <c r="CG193" s="69"/>
      <c r="CH193" s="69"/>
      <c r="CI193" s="69"/>
      <c r="CJ193" s="69"/>
      <c r="CK193" s="69"/>
      <c r="CL193" s="69"/>
      <c r="CM193" s="69"/>
      <c r="CN193" s="69"/>
      <c r="CO193" s="69"/>
      <c r="CP193" s="69"/>
      <c r="CQ193" s="69"/>
      <c r="CR193" s="69"/>
      <c r="CS193" s="69"/>
      <c r="CT193" s="69"/>
      <c r="CU193" s="69"/>
      <c r="CV193" s="69"/>
      <c r="CW193" s="69"/>
    </row>
    <row r="194" ht="15.75" customHeight="1">
      <c r="A194" s="69"/>
      <c r="B194" s="69"/>
      <c r="C194" s="69"/>
      <c r="D194" s="4"/>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69"/>
      <c r="BS194" s="69"/>
      <c r="BT194" s="69"/>
      <c r="BU194" s="69"/>
      <c r="BV194" s="69"/>
      <c r="BW194" s="69"/>
      <c r="BX194" s="69"/>
      <c r="BY194" s="69"/>
      <c r="BZ194" s="69"/>
      <c r="CA194" s="69"/>
      <c r="CB194" s="69"/>
      <c r="CC194" s="69"/>
      <c r="CD194" s="69"/>
      <c r="CE194" s="69"/>
      <c r="CF194" s="69"/>
      <c r="CG194" s="69"/>
      <c r="CH194" s="69"/>
      <c r="CI194" s="69"/>
      <c r="CJ194" s="69"/>
      <c r="CK194" s="69"/>
      <c r="CL194" s="69"/>
      <c r="CM194" s="69"/>
      <c r="CN194" s="69"/>
      <c r="CO194" s="69"/>
      <c r="CP194" s="69"/>
      <c r="CQ194" s="69"/>
      <c r="CR194" s="69"/>
      <c r="CS194" s="69"/>
      <c r="CT194" s="69"/>
      <c r="CU194" s="69"/>
      <c r="CV194" s="69"/>
      <c r="CW194" s="69"/>
    </row>
    <row r="195" ht="15.75" customHeight="1">
      <c r="A195" s="69"/>
      <c r="B195" s="69"/>
      <c r="C195" s="69"/>
      <c r="D195" s="4"/>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c r="BI195" s="69"/>
      <c r="BJ195" s="69"/>
      <c r="BK195" s="69"/>
      <c r="BL195" s="69"/>
      <c r="BM195" s="69"/>
      <c r="BN195" s="69"/>
      <c r="BO195" s="69"/>
      <c r="BP195" s="69"/>
      <c r="BQ195" s="69"/>
      <c r="BR195" s="69"/>
      <c r="BS195" s="69"/>
      <c r="BT195" s="69"/>
      <c r="BU195" s="69"/>
      <c r="BV195" s="69"/>
      <c r="BW195" s="69"/>
      <c r="BX195" s="69"/>
      <c r="BY195" s="69"/>
      <c r="BZ195" s="69"/>
      <c r="CA195" s="69"/>
      <c r="CB195" s="69"/>
      <c r="CC195" s="69"/>
      <c r="CD195" s="69"/>
      <c r="CE195" s="69"/>
      <c r="CF195" s="69"/>
      <c r="CG195" s="69"/>
      <c r="CH195" s="69"/>
      <c r="CI195" s="69"/>
      <c r="CJ195" s="69"/>
      <c r="CK195" s="69"/>
      <c r="CL195" s="69"/>
      <c r="CM195" s="69"/>
      <c r="CN195" s="69"/>
      <c r="CO195" s="69"/>
      <c r="CP195" s="69"/>
      <c r="CQ195" s="69"/>
      <c r="CR195" s="69"/>
      <c r="CS195" s="69"/>
      <c r="CT195" s="69"/>
      <c r="CU195" s="69"/>
      <c r="CV195" s="69"/>
      <c r="CW195" s="69"/>
    </row>
    <row r="196" ht="15.75" customHeight="1">
      <c r="A196" s="69"/>
      <c r="B196" s="69"/>
      <c r="C196" s="69"/>
      <c r="D196" s="4"/>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69"/>
      <c r="BS196" s="69"/>
      <c r="BT196" s="69"/>
      <c r="BU196" s="69"/>
      <c r="BV196" s="69"/>
      <c r="BW196" s="69"/>
      <c r="BX196" s="69"/>
      <c r="BY196" s="69"/>
      <c r="BZ196" s="69"/>
      <c r="CA196" s="69"/>
      <c r="CB196" s="69"/>
      <c r="CC196" s="69"/>
      <c r="CD196" s="69"/>
      <c r="CE196" s="69"/>
      <c r="CF196" s="69"/>
      <c r="CG196" s="69"/>
      <c r="CH196" s="69"/>
      <c r="CI196" s="69"/>
      <c r="CJ196" s="69"/>
      <c r="CK196" s="69"/>
      <c r="CL196" s="69"/>
      <c r="CM196" s="69"/>
      <c r="CN196" s="69"/>
      <c r="CO196" s="69"/>
      <c r="CP196" s="69"/>
      <c r="CQ196" s="69"/>
      <c r="CR196" s="69"/>
      <c r="CS196" s="69"/>
      <c r="CT196" s="69"/>
      <c r="CU196" s="69"/>
      <c r="CV196" s="69"/>
      <c r="CW196" s="69"/>
    </row>
    <row r="197" ht="15.75" customHeight="1">
      <c r="A197" s="69"/>
      <c r="B197" s="69"/>
      <c r="C197" s="69"/>
      <c r="D197" s="4"/>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69"/>
      <c r="BS197" s="69"/>
      <c r="BT197" s="69"/>
      <c r="BU197" s="69"/>
      <c r="BV197" s="69"/>
      <c r="BW197" s="69"/>
      <c r="BX197" s="69"/>
      <c r="BY197" s="69"/>
      <c r="BZ197" s="69"/>
      <c r="CA197" s="69"/>
      <c r="CB197" s="69"/>
      <c r="CC197" s="69"/>
      <c r="CD197" s="69"/>
      <c r="CE197" s="69"/>
      <c r="CF197" s="69"/>
      <c r="CG197" s="69"/>
      <c r="CH197" s="69"/>
      <c r="CI197" s="69"/>
      <c r="CJ197" s="69"/>
      <c r="CK197" s="69"/>
      <c r="CL197" s="69"/>
      <c r="CM197" s="69"/>
      <c r="CN197" s="69"/>
      <c r="CO197" s="69"/>
      <c r="CP197" s="69"/>
      <c r="CQ197" s="69"/>
      <c r="CR197" s="69"/>
      <c r="CS197" s="69"/>
      <c r="CT197" s="69"/>
      <c r="CU197" s="69"/>
      <c r="CV197" s="69"/>
      <c r="CW197" s="69"/>
    </row>
    <row r="198" ht="15.75" customHeight="1">
      <c r="A198" s="69"/>
      <c r="B198" s="69"/>
      <c r="C198" s="69"/>
      <c r="D198" s="4"/>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69"/>
      <c r="BS198" s="69"/>
      <c r="BT198" s="69"/>
      <c r="BU198" s="69"/>
      <c r="BV198" s="69"/>
      <c r="BW198" s="69"/>
      <c r="BX198" s="69"/>
      <c r="BY198" s="69"/>
      <c r="BZ198" s="69"/>
      <c r="CA198" s="69"/>
      <c r="CB198" s="69"/>
      <c r="CC198" s="69"/>
      <c r="CD198" s="69"/>
      <c r="CE198" s="69"/>
      <c r="CF198" s="69"/>
      <c r="CG198" s="69"/>
      <c r="CH198" s="69"/>
      <c r="CI198" s="69"/>
      <c r="CJ198" s="69"/>
      <c r="CK198" s="69"/>
      <c r="CL198" s="69"/>
      <c r="CM198" s="69"/>
      <c r="CN198" s="69"/>
      <c r="CO198" s="69"/>
      <c r="CP198" s="69"/>
      <c r="CQ198" s="69"/>
      <c r="CR198" s="69"/>
      <c r="CS198" s="69"/>
      <c r="CT198" s="69"/>
      <c r="CU198" s="69"/>
      <c r="CV198" s="69"/>
      <c r="CW198" s="69"/>
    </row>
    <row r="199" ht="15.75" customHeight="1">
      <c r="A199" s="69"/>
      <c r="B199" s="69"/>
      <c r="C199" s="69"/>
      <c r="D199" s="4"/>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69"/>
      <c r="BS199" s="69"/>
      <c r="BT199" s="69"/>
      <c r="BU199" s="69"/>
      <c r="BV199" s="69"/>
      <c r="BW199" s="69"/>
      <c r="BX199" s="69"/>
      <c r="BY199" s="69"/>
      <c r="BZ199" s="69"/>
      <c r="CA199" s="69"/>
      <c r="CB199" s="69"/>
      <c r="CC199" s="69"/>
      <c r="CD199" s="69"/>
      <c r="CE199" s="69"/>
      <c r="CF199" s="69"/>
      <c r="CG199" s="69"/>
      <c r="CH199" s="69"/>
      <c r="CI199" s="69"/>
      <c r="CJ199" s="69"/>
      <c r="CK199" s="69"/>
      <c r="CL199" s="69"/>
      <c r="CM199" s="69"/>
      <c r="CN199" s="69"/>
      <c r="CO199" s="69"/>
      <c r="CP199" s="69"/>
      <c r="CQ199" s="69"/>
      <c r="CR199" s="69"/>
      <c r="CS199" s="69"/>
      <c r="CT199" s="69"/>
      <c r="CU199" s="69"/>
      <c r="CV199" s="69"/>
      <c r="CW199" s="69"/>
    </row>
    <row r="200" ht="15.75" customHeight="1">
      <c r="A200" s="69"/>
      <c r="B200" s="69"/>
      <c r="C200" s="69"/>
      <c r="D200" s="4"/>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69"/>
      <c r="BS200" s="69"/>
      <c r="BT200" s="69"/>
      <c r="BU200" s="69"/>
      <c r="BV200" s="69"/>
      <c r="BW200" s="69"/>
      <c r="BX200" s="69"/>
      <c r="BY200" s="69"/>
      <c r="BZ200" s="69"/>
      <c r="CA200" s="69"/>
      <c r="CB200" s="69"/>
      <c r="CC200" s="69"/>
      <c r="CD200" s="69"/>
      <c r="CE200" s="69"/>
      <c r="CF200" s="69"/>
      <c r="CG200" s="69"/>
      <c r="CH200" s="69"/>
      <c r="CI200" s="69"/>
      <c r="CJ200" s="69"/>
      <c r="CK200" s="69"/>
      <c r="CL200" s="69"/>
      <c r="CM200" s="69"/>
      <c r="CN200" s="69"/>
      <c r="CO200" s="69"/>
      <c r="CP200" s="69"/>
      <c r="CQ200" s="69"/>
      <c r="CR200" s="69"/>
      <c r="CS200" s="69"/>
      <c r="CT200" s="69"/>
      <c r="CU200" s="69"/>
      <c r="CV200" s="69"/>
      <c r="CW200" s="69"/>
    </row>
    <row r="201" ht="15.75" customHeight="1">
      <c r="A201" s="69"/>
      <c r="B201" s="69"/>
      <c r="C201" s="69"/>
      <c r="D201" s="4"/>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69"/>
      <c r="BS201" s="69"/>
      <c r="BT201" s="69"/>
      <c r="BU201" s="69"/>
      <c r="BV201" s="69"/>
      <c r="BW201" s="69"/>
      <c r="BX201" s="69"/>
      <c r="BY201" s="69"/>
      <c r="BZ201" s="69"/>
      <c r="CA201" s="69"/>
      <c r="CB201" s="69"/>
      <c r="CC201" s="69"/>
      <c r="CD201" s="69"/>
      <c r="CE201" s="69"/>
      <c r="CF201" s="69"/>
      <c r="CG201" s="69"/>
      <c r="CH201" s="69"/>
      <c r="CI201" s="69"/>
      <c r="CJ201" s="69"/>
      <c r="CK201" s="69"/>
      <c r="CL201" s="69"/>
      <c r="CM201" s="69"/>
      <c r="CN201" s="69"/>
      <c r="CO201" s="69"/>
      <c r="CP201" s="69"/>
      <c r="CQ201" s="69"/>
      <c r="CR201" s="69"/>
      <c r="CS201" s="69"/>
      <c r="CT201" s="69"/>
      <c r="CU201" s="69"/>
      <c r="CV201" s="69"/>
      <c r="CW201" s="69"/>
    </row>
    <row r="202" ht="15.75" customHeight="1">
      <c r="A202" s="69"/>
      <c r="B202" s="69"/>
      <c r="C202" s="69"/>
      <c r="D202" s="4"/>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69"/>
      <c r="BS202" s="69"/>
      <c r="BT202" s="69"/>
      <c r="BU202" s="69"/>
      <c r="BV202" s="69"/>
      <c r="BW202" s="69"/>
      <c r="BX202" s="69"/>
      <c r="BY202" s="69"/>
      <c r="BZ202" s="69"/>
      <c r="CA202" s="69"/>
      <c r="CB202" s="69"/>
      <c r="CC202" s="69"/>
      <c r="CD202" s="69"/>
      <c r="CE202" s="69"/>
      <c r="CF202" s="69"/>
      <c r="CG202" s="69"/>
      <c r="CH202" s="69"/>
      <c r="CI202" s="69"/>
      <c r="CJ202" s="69"/>
      <c r="CK202" s="69"/>
      <c r="CL202" s="69"/>
      <c r="CM202" s="69"/>
      <c r="CN202" s="69"/>
      <c r="CO202" s="69"/>
      <c r="CP202" s="69"/>
      <c r="CQ202" s="69"/>
      <c r="CR202" s="69"/>
      <c r="CS202" s="69"/>
      <c r="CT202" s="69"/>
      <c r="CU202" s="69"/>
      <c r="CV202" s="69"/>
      <c r="CW202" s="69"/>
    </row>
    <row r="203" ht="15.75" customHeight="1">
      <c r="A203" s="69"/>
      <c r="B203" s="69"/>
      <c r="C203" s="69"/>
      <c r="D203" s="4"/>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c r="BI203" s="69"/>
      <c r="BJ203" s="69"/>
      <c r="BK203" s="69"/>
      <c r="BL203" s="69"/>
      <c r="BM203" s="69"/>
      <c r="BN203" s="69"/>
      <c r="BO203" s="69"/>
      <c r="BP203" s="69"/>
      <c r="BQ203" s="69"/>
      <c r="BR203" s="69"/>
      <c r="BS203" s="69"/>
      <c r="BT203" s="69"/>
      <c r="BU203" s="69"/>
      <c r="BV203" s="69"/>
      <c r="BW203" s="69"/>
      <c r="BX203" s="69"/>
      <c r="BY203" s="69"/>
      <c r="BZ203" s="69"/>
      <c r="CA203" s="69"/>
      <c r="CB203" s="69"/>
      <c r="CC203" s="69"/>
      <c r="CD203" s="69"/>
      <c r="CE203" s="69"/>
      <c r="CF203" s="69"/>
      <c r="CG203" s="69"/>
      <c r="CH203" s="69"/>
      <c r="CI203" s="69"/>
      <c r="CJ203" s="69"/>
      <c r="CK203" s="69"/>
      <c r="CL203" s="69"/>
      <c r="CM203" s="69"/>
      <c r="CN203" s="69"/>
      <c r="CO203" s="69"/>
      <c r="CP203" s="69"/>
      <c r="CQ203" s="69"/>
      <c r="CR203" s="69"/>
      <c r="CS203" s="69"/>
      <c r="CT203" s="69"/>
      <c r="CU203" s="69"/>
      <c r="CV203" s="69"/>
      <c r="CW203" s="69"/>
    </row>
    <row r="204" ht="15.75" customHeight="1">
      <c r="A204" s="69"/>
      <c r="B204" s="69"/>
      <c r="C204" s="69"/>
      <c r="D204" s="4"/>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c r="BI204" s="69"/>
      <c r="BJ204" s="69"/>
      <c r="BK204" s="69"/>
      <c r="BL204" s="69"/>
      <c r="BM204" s="69"/>
      <c r="BN204" s="69"/>
      <c r="BO204" s="69"/>
      <c r="BP204" s="69"/>
      <c r="BQ204" s="69"/>
      <c r="BR204" s="69"/>
      <c r="BS204" s="69"/>
      <c r="BT204" s="69"/>
      <c r="BU204" s="69"/>
      <c r="BV204" s="69"/>
      <c r="BW204" s="69"/>
      <c r="BX204" s="69"/>
      <c r="BY204" s="69"/>
      <c r="BZ204" s="69"/>
      <c r="CA204" s="69"/>
      <c r="CB204" s="69"/>
      <c r="CC204" s="69"/>
      <c r="CD204" s="69"/>
      <c r="CE204" s="69"/>
      <c r="CF204" s="69"/>
      <c r="CG204" s="69"/>
      <c r="CH204" s="69"/>
      <c r="CI204" s="69"/>
      <c r="CJ204" s="69"/>
      <c r="CK204" s="69"/>
      <c r="CL204" s="69"/>
      <c r="CM204" s="69"/>
      <c r="CN204" s="69"/>
      <c r="CO204" s="69"/>
      <c r="CP204" s="69"/>
      <c r="CQ204" s="69"/>
      <c r="CR204" s="69"/>
      <c r="CS204" s="69"/>
      <c r="CT204" s="69"/>
      <c r="CU204" s="69"/>
      <c r="CV204" s="69"/>
      <c r="CW204" s="69"/>
    </row>
    <row r="205" ht="15.75" customHeight="1">
      <c r="A205" s="69"/>
      <c r="B205" s="69"/>
      <c r="C205" s="69"/>
      <c r="D205" s="4"/>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c r="BI205" s="69"/>
      <c r="BJ205" s="69"/>
      <c r="BK205" s="69"/>
      <c r="BL205" s="69"/>
      <c r="BM205" s="69"/>
      <c r="BN205" s="69"/>
      <c r="BO205" s="69"/>
      <c r="BP205" s="69"/>
      <c r="BQ205" s="69"/>
      <c r="BR205" s="69"/>
      <c r="BS205" s="69"/>
      <c r="BT205" s="69"/>
      <c r="BU205" s="69"/>
      <c r="BV205" s="69"/>
      <c r="BW205" s="69"/>
      <c r="BX205" s="69"/>
      <c r="BY205" s="69"/>
      <c r="BZ205" s="69"/>
      <c r="CA205" s="69"/>
      <c r="CB205" s="69"/>
      <c r="CC205" s="69"/>
      <c r="CD205" s="69"/>
      <c r="CE205" s="69"/>
      <c r="CF205" s="69"/>
      <c r="CG205" s="69"/>
      <c r="CH205" s="69"/>
      <c r="CI205" s="69"/>
      <c r="CJ205" s="69"/>
      <c r="CK205" s="69"/>
      <c r="CL205" s="69"/>
      <c r="CM205" s="69"/>
      <c r="CN205" s="69"/>
      <c r="CO205" s="69"/>
      <c r="CP205" s="69"/>
      <c r="CQ205" s="69"/>
      <c r="CR205" s="69"/>
      <c r="CS205" s="69"/>
      <c r="CT205" s="69"/>
      <c r="CU205" s="69"/>
      <c r="CV205" s="69"/>
      <c r="CW205" s="69"/>
    </row>
    <row r="206" ht="15.75" customHeight="1">
      <c r="A206" s="69"/>
      <c r="B206" s="69"/>
      <c r="C206" s="69"/>
      <c r="D206" s="4"/>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c r="BN206" s="69"/>
      <c r="BO206" s="69"/>
      <c r="BP206" s="69"/>
      <c r="BQ206" s="69"/>
      <c r="BR206" s="69"/>
      <c r="BS206" s="69"/>
      <c r="BT206" s="69"/>
      <c r="BU206" s="69"/>
      <c r="BV206" s="69"/>
      <c r="BW206" s="69"/>
      <c r="BX206" s="69"/>
      <c r="BY206" s="69"/>
      <c r="BZ206" s="69"/>
      <c r="CA206" s="69"/>
      <c r="CB206" s="69"/>
      <c r="CC206" s="69"/>
      <c r="CD206" s="69"/>
      <c r="CE206" s="69"/>
      <c r="CF206" s="69"/>
      <c r="CG206" s="69"/>
      <c r="CH206" s="69"/>
      <c r="CI206" s="69"/>
      <c r="CJ206" s="69"/>
      <c r="CK206" s="69"/>
      <c r="CL206" s="69"/>
      <c r="CM206" s="69"/>
      <c r="CN206" s="69"/>
      <c r="CO206" s="69"/>
      <c r="CP206" s="69"/>
      <c r="CQ206" s="69"/>
      <c r="CR206" s="69"/>
      <c r="CS206" s="69"/>
      <c r="CT206" s="69"/>
      <c r="CU206" s="69"/>
      <c r="CV206" s="69"/>
      <c r="CW206" s="69"/>
    </row>
    <row r="207" ht="15.75" customHeight="1">
      <c r="A207" s="69"/>
      <c r="B207" s="69"/>
      <c r="C207" s="69"/>
      <c r="D207" s="4"/>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69"/>
      <c r="CF207" s="69"/>
      <c r="CG207" s="69"/>
      <c r="CH207" s="69"/>
      <c r="CI207" s="69"/>
      <c r="CJ207" s="69"/>
      <c r="CK207" s="69"/>
      <c r="CL207" s="69"/>
      <c r="CM207" s="69"/>
      <c r="CN207" s="69"/>
      <c r="CO207" s="69"/>
      <c r="CP207" s="69"/>
      <c r="CQ207" s="69"/>
      <c r="CR207" s="69"/>
      <c r="CS207" s="69"/>
      <c r="CT207" s="69"/>
      <c r="CU207" s="69"/>
      <c r="CV207" s="69"/>
      <c r="CW207" s="69"/>
    </row>
    <row r="208" ht="15.75" customHeight="1">
      <c r="A208" s="69"/>
      <c r="B208" s="69"/>
      <c r="C208" s="69"/>
      <c r="D208" s="4"/>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c r="BN208" s="69"/>
      <c r="BO208" s="69"/>
      <c r="BP208" s="69"/>
      <c r="BQ208" s="69"/>
      <c r="BR208" s="69"/>
      <c r="BS208" s="69"/>
      <c r="BT208" s="69"/>
      <c r="BU208" s="69"/>
      <c r="BV208" s="69"/>
      <c r="BW208" s="69"/>
      <c r="BX208" s="69"/>
      <c r="BY208" s="69"/>
      <c r="BZ208" s="69"/>
      <c r="CA208" s="69"/>
      <c r="CB208" s="69"/>
      <c r="CC208" s="69"/>
      <c r="CD208" s="69"/>
      <c r="CE208" s="69"/>
      <c r="CF208" s="69"/>
      <c r="CG208" s="69"/>
      <c r="CH208" s="69"/>
      <c r="CI208" s="69"/>
      <c r="CJ208" s="69"/>
      <c r="CK208" s="69"/>
      <c r="CL208" s="69"/>
      <c r="CM208" s="69"/>
      <c r="CN208" s="69"/>
      <c r="CO208" s="69"/>
      <c r="CP208" s="69"/>
      <c r="CQ208" s="69"/>
      <c r="CR208" s="69"/>
      <c r="CS208" s="69"/>
      <c r="CT208" s="69"/>
      <c r="CU208" s="69"/>
      <c r="CV208" s="69"/>
      <c r="CW208" s="69"/>
    </row>
    <row r="209" ht="15.75" customHeight="1">
      <c r="A209" s="69"/>
      <c r="B209" s="69"/>
      <c r="C209" s="69"/>
      <c r="D209" s="4"/>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c r="BI209" s="69"/>
      <c r="BJ209" s="69"/>
      <c r="BK209" s="69"/>
      <c r="BL209" s="69"/>
      <c r="BM209" s="69"/>
      <c r="BN209" s="69"/>
      <c r="BO209" s="69"/>
      <c r="BP209" s="69"/>
      <c r="BQ209" s="69"/>
      <c r="BR209" s="69"/>
      <c r="BS209" s="69"/>
      <c r="BT209" s="69"/>
      <c r="BU209" s="69"/>
      <c r="BV209" s="69"/>
      <c r="BW209" s="69"/>
      <c r="BX209" s="69"/>
      <c r="BY209" s="69"/>
      <c r="BZ209" s="69"/>
      <c r="CA209" s="69"/>
      <c r="CB209" s="69"/>
      <c r="CC209" s="69"/>
      <c r="CD209" s="69"/>
      <c r="CE209" s="69"/>
      <c r="CF209" s="69"/>
      <c r="CG209" s="69"/>
      <c r="CH209" s="69"/>
      <c r="CI209" s="69"/>
      <c r="CJ209" s="69"/>
      <c r="CK209" s="69"/>
      <c r="CL209" s="69"/>
      <c r="CM209" s="69"/>
      <c r="CN209" s="69"/>
      <c r="CO209" s="69"/>
      <c r="CP209" s="69"/>
      <c r="CQ209" s="69"/>
      <c r="CR209" s="69"/>
      <c r="CS209" s="69"/>
      <c r="CT209" s="69"/>
      <c r="CU209" s="69"/>
      <c r="CV209" s="69"/>
      <c r="CW209" s="69"/>
    </row>
    <row r="210" ht="15.75" customHeight="1">
      <c r="A210" s="69"/>
      <c r="B210" s="69"/>
      <c r="C210" s="69"/>
      <c r="D210" s="4"/>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c r="BN210" s="69"/>
      <c r="BO210" s="69"/>
      <c r="BP210" s="69"/>
      <c r="BQ210" s="69"/>
      <c r="BR210" s="69"/>
      <c r="BS210" s="69"/>
      <c r="BT210" s="69"/>
      <c r="BU210" s="69"/>
      <c r="BV210" s="69"/>
      <c r="BW210" s="69"/>
      <c r="BX210" s="69"/>
      <c r="BY210" s="69"/>
      <c r="BZ210" s="69"/>
      <c r="CA210" s="69"/>
      <c r="CB210" s="69"/>
      <c r="CC210" s="69"/>
      <c r="CD210" s="69"/>
      <c r="CE210" s="69"/>
      <c r="CF210" s="69"/>
      <c r="CG210" s="69"/>
      <c r="CH210" s="69"/>
      <c r="CI210" s="69"/>
      <c r="CJ210" s="69"/>
      <c r="CK210" s="69"/>
      <c r="CL210" s="69"/>
      <c r="CM210" s="69"/>
      <c r="CN210" s="69"/>
      <c r="CO210" s="69"/>
      <c r="CP210" s="69"/>
      <c r="CQ210" s="69"/>
      <c r="CR210" s="69"/>
      <c r="CS210" s="69"/>
      <c r="CT210" s="69"/>
      <c r="CU210" s="69"/>
      <c r="CV210" s="69"/>
      <c r="CW210" s="69"/>
    </row>
    <row r="211" ht="15.75" customHeight="1">
      <c r="A211" s="69"/>
      <c r="B211" s="69"/>
      <c r="C211" s="69"/>
      <c r="D211" s="4"/>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69"/>
      <c r="BS211" s="69"/>
      <c r="BT211" s="69"/>
      <c r="BU211" s="69"/>
      <c r="BV211" s="69"/>
      <c r="BW211" s="69"/>
      <c r="BX211" s="69"/>
      <c r="BY211" s="69"/>
      <c r="BZ211" s="69"/>
      <c r="CA211" s="69"/>
      <c r="CB211" s="69"/>
      <c r="CC211" s="69"/>
      <c r="CD211" s="69"/>
      <c r="CE211" s="69"/>
      <c r="CF211" s="69"/>
      <c r="CG211" s="69"/>
      <c r="CH211" s="69"/>
      <c r="CI211" s="69"/>
      <c r="CJ211" s="69"/>
      <c r="CK211" s="69"/>
      <c r="CL211" s="69"/>
      <c r="CM211" s="69"/>
      <c r="CN211" s="69"/>
      <c r="CO211" s="69"/>
      <c r="CP211" s="69"/>
      <c r="CQ211" s="69"/>
      <c r="CR211" s="69"/>
      <c r="CS211" s="69"/>
      <c r="CT211" s="69"/>
      <c r="CU211" s="69"/>
      <c r="CV211" s="69"/>
      <c r="CW211" s="69"/>
    </row>
    <row r="212" ht="15.75" customHeight="1">
      <c r="A212" s="69"/>
      <c r="B212" s="69"/>
      <c r="C212" s="69"/>
      <c r="D212" s="4"/>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c r="BN212" s="69"/>
      <c r="BO212" s="69"/>
      <c r="BP212" s="69"/>
      <c r="BQ212" s="69"/>
      <c r="BR212" s="69"/>
      <c r="BS212" s="69"/>
      <c r="BT212" s="69"/>
      <c r="BU212" s="69"/>
      <c r="BV212" s="69"/>
      <c r="BW212" s="69"/>
      <c r="BX212" s="69"/>
      <c r="BY212" s="69"/>
      <c r="BZ212" s="69"/>
      <c r="CA212" s="69"/>
      <c r="CB212" s="69"/>
      <c r="CC212" s="69"/>
      <c r="CD212" s="69"/>
      <c r="CE212" s="69"/>
      <c r="CF212" s="69"/>
      <c r="CG212" s="69"/>
      <c r="CH212" s="69"/>
      <c r="CI212" s="69"/>
      <c r="CJ212" s="69"/>
      <c r="CK212" s="69"/>
      <c r="CL212" s="69"/>
      <c r="CM212" s="69"/>
      <c r="CN212" s="69"/>
      <c r="CO212" s="69"/>
      <c r="CP212" s="69"/>
      <c r="CQ212" s="69"/>
      <c r="CR212" s="69"/>
      <c r="CS212" s="69"/>
      <c r="CT212" s="69"/>
      <c r="CU212" s="69"/>
      <c r="CV212" s="69"/>
      <c r="CW212" s="69"/>
    </row>
    <row r="213" ht="15.75" customHeight="1">
      <c r="A213" s="69"/>
      <c r="B213" s="69"/>
      <c r="C213" s="69"/>
      <c r="D213" s="4"/>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69"/>
      <c r="BS213" s="69"/>
      <c r="BT213" s="69"/>
      <c r="BU213" s="69"/>
      <c r="BV213" s="69"/>
      <c r="BW213" s="69"/>
      <c r="BX213" s="69"/>
      <c r="BY213" s="69"/>
      <c r="BZ213" s="69"/>
      <c r="CA213" s="69"/>
      <c r="CB213" s="69"/>
      <c r="CC213" s="69"/>
      <c r="CD213" s="69"/>
      <c r="CE213" s="69"/>
      <c r="CF213" s="69"/>
      <c r="CG213" s="69"/>
      <c r="CH213" s="69"/>
      <c r="CI213" s="69"/>
      <c r="CJ213" s="69"/>
      <c r="CK213" s="69"/>
      <c r="CL213" s="69"/>
      <c r="CM213" s="69"/>
      <c r="CN213" s="69"/>
      <c r="CO213" s="69"/>
      <c r="CP213" s="69"/>
      <c r="CQ213" s="69"/>
      <c r="CR213" s="69"/>
      <c r="CS213" s="69"/>
      <c r="CT213" s="69"/>
      <c r="CU213" s="69"/>
      <c r="CV213" s="69"/>
      <c r="CW213" s="69"/>
    </row>
    <row r="214" ht="15.75" customHeight="1">
      <c r="A214" s="69"/>
      <c r="B214" s="69"/>
      <c r="C214" s="69"/>
      <c r="D214" s="4"/>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69"/>
      <c r="CG214" s="69"/>
      <c r="CH214" s="69"/>
      <c r="CI214" s="69"/>
      <c r="CJ214" s="69"/>
      <c r="CK214" s="69"/>
      <c r="CL214" s="69"/>
      <c r="CM214" s="69"/>
      <c r="CN214" s="69"/>
      <c r="CO214" s="69"/>
      <c r="CP214" s="69"/>
      <c r="CQ214" s="69"/>
      <c r="CR214" s="69"/>
      <c r="CS214" s="69"/>
      <c r="CT214" s="69"/>
      <c r="CU214" s="69"/>
      <c r="CV214" s="69"/>
      <c r="CW214" s="69"/>
    </row>
    <row r="215" ht="15.75" customHeight="1">
      <c r="A215" s="69"/>
      <c r="B215" s="69"/>
      <c r="C215" s="69"/>
      <c r="D215" s="4"/>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69"/>
      <c r="BS215" s="69"/>
      <c r="BT215" s="69"/>
      <c r="BU215" s="69"/>
      <c r="BV215" s="69"/>
      <c r="BW215" s="69"/>
      <c r="BX215" s="69"/>
      <c r="BY215" s="69"/>
      <c r="BZ215" s="69"/>
      <c r="CA215" s="69"/>
      <c r="CB215" s="69"/>
      <c r="CC215" s="69"/>
      <c r="CD215" s="69"/>
      <c r="CE215" s="69"/>
      <c r="CF215" s="69"/>
      <c r="CG215" s="69"/>
      <c r="CH215" s="69"/>
      <c r="CI215" s="69"/>
      <c r="CJ215" s="69"/>
      <c r="CK215" s="69"/>
      <c r="CL215" s="69"/>
      <c r="CM215" s="69"/>
      <c r="CN215" s="69"/>
      <c r="CO215" s="69"/>
      <c r="CP215" s="69"/>
      <c r="CQ215" s="69"/>
      <c r="CR215" s="69"/>
      <c r="CS215" s="69"/>
      <c r="CT215" s="69"/>
      <c r="CU215" s="69"/>
      <c r="CV215" s="69"/>
      <c r="CW215" s="69"/>
    </row>
    <row r="216" ht="15.75" customHeight="1">
      <c r="A216" s="69"/>
      <c r="B216" s="69"/>
      <c r="C216" s="69"/>
      <c r="D216" s="4"/>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69"/>
      <c r="BS216" s="69"/>
      <c r="BT216" s="69"/>
      <c r="BU216" s="69"/>
      <c r="BV216" s="69"/>
      <c r="BW216" s="69"/>
      <c r="BX216" s="69"/>
      <c r="BY216" s="69"/>
      <c r="BZ216" s="69"/>
      <c r="CA216" s="69"/>
      <c r="CB216" s="69"/>
      <c r="CC216" s="69"/>
      <c r="CD216" s="69"/>
      <c r="CE216" s="69"/>
      <c r="CF216" s="69"/>
      <c r="CG216" s="69"/>
      <c r="CH216" s="69"/>
      <c r="CI216" s="69"/>
      <c r="CJ216" s="69"/>
      <c r="CK216" s="69"/>
      <c r="CL216" s="69"/>
      <c r="CM216" s="69"/>
      <c r="CN216" s="69"/>
      <c r="CO216" s="69"/>
      <c r="CP216" s="69"/>
      <c r="CQ216" s="69"/>
      <c r="CR216" s="69"/>
      <c r="CS216" s="69"/>
      <c r="CT216" s="69"/>
      <c r="CU216" s="69"/>
      <c r="CV216" s="69"/>
      <c r="CW216" s="69"/>
    </row>
    <row r="217" ht="15.75" customHeight="1">
      <c r="A217" s="69"/>
      <c r="B217" s="69"/>
      <c r="C217" s="69"/>
      <c r="D217" s="4"/>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69"/>
      <c r="BS217" s="69"/>
      <c r="BT217" s="69"/>
      <c r="BU217" s="69"/>
      <c r="BV217" s="69"/>
      <c r="BW217" s="69"/>
      <c r="BX217" s="69"/>
      <c r="BY217" s="69"/>
      <c r="BZ217" s="69"/>
      <c r="CA217" s="69"/>
      <c r="CB217" s="69"/>
      <c r="CC217" s="69"/>
      <c r="CD217" s="69"/>
      <c r="CE217" s="69"/>
      <c r="CF217" s="69"/>
      <c r="CG217" s="69"/>
      <c r="CH217" s="69"/>
      <c r="CI217" s="69"/>
      <c r="CJ217" s="69"/>
      <c r="CK217" s="69"/>
      <c r="CL217" s="69"/>
      <c r="CM217" s="69"/>
      <c r="CN217" s="69"/>
      <c r="CO217" s="69"/>
      <c r="CP217" s="69"/>
      <c r="CQ217" s="69"/>
      <c r="CR217" s="69"/>
      <c r="CS217" s="69"/>
      <c r="CT217" s="69"/>
      <c r="CU217" s="69"/>
      <c r="CV217" s="69"/>
      <c r="CW217" s="69"/>
    </row>
    <row r="218" ht="15.75" customHeight="1">
      <c r="A218" s="69"/>
      <c r="B218" s="69"/>
      <c r="C218" s="69"/>
      <c r="D218" s="4"/>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c r="BN218" s="69"/>
      <c r="BO218" s="69"/>
      <c r="BP218" s="69"/>
      <c r="BQ218" s="69"/>
      <c r="BR218" s="69"/>
      <c r="BS218" s="69"/>
      <c r="BT218" s="69"/>
      <c r="BU218" s="69"/>
      <c r="BV218" s="69"/>
      <c r="BW218" s="69"/>
      <c r="BX218" s="69"/>
      <c r="BY218" s="69"/>
      <c r="BZ218" s="69"/>
      <c r="CA218" s="69"/>
      <c r="CB218" s="69"/>
      <c r="CC218" s="69"/>
      <c r="CD218" s="69"/>
      <c r="CE218" s="69"/>
      <c r="CF218" s="69"/>
      <c r="CG218" s="69"/>
      <c r="CH218" s="69"/>
      <c r="CI218" s="69"/>
      <c r="CJ218" s="69"/>
      <c r="CK218" s="69"/>
      <c r="CL218" s="69"/>
      <c r="CM218" s="69"/>
      <c r="CN218" s="69"/>
      <c r="CO218" s="69"/>
      <c r="CP218" s="69"/>
      <c r="CQ218" s="69"/>
      <c r="CR218" s="69"/>
      <c r="CS218" s="69"/>
      <c r="CT218" s="69"/>
      <c r="CU218" s="69"/>
      <c r="CV218" s="69"/>
      <c r="CW218" s="69"/>
    </row>
    <row r="219" ht="15.75" customHeight="1">
      <c r="A219" s="69"/>
      <c r="B219" s="69"/>
      <c r="C219" s="69"/>
      <c r="D219" s="4"/>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69"/>
      <c r="BT219" s="69"/>
      <c r="BU219" s="69"/>
      <c r="BV219" s="69"/>
      <c r="BW219" s="69"/>
      <c r="BX219" s="69"/>
      <c r="BY219" s="69"/>
      <c r="BZ219" s="69"/>
      <c r="CA219" s="69"/>
      <c r="CB219" s="69"/>
      <c r="CC219" s="69"/>
      <c r="CD219" s="69"/>
      <c r="CE219" s="69"/>
      <c r="CF219" s="69"/>
      <c r="CG219" s="69"/>
      <c r="CH219" s="69"/>
      <c r="CI219" s="69"/>
      <c r="CJ219" s="69"/>
      <c r="CK219" s="69"/>
      <c r="CL219" s="69"/>
      <c r="CM219" s="69"/>
      <c r="CN219" s="69"/>
      <c r="CO219" s="69"/>
      <c r="CP219" s="69"/>
      <c r="CQ219" s="69"/>
      <c r="CR219" s="69"/>
      <c r="CS219" s="69"/>
      <c r="CT219" s="69"/>
      <c r="CU219" s="69"/>
      <c r="CV219" s="69"/>
      <c r="CW219" s="69"/>
    </row>
    <row r="220" ht="15.75" customHeight="1">
      <c r="A220" s="69"/>
      <c r="B220" s="69"/>
      <c r="C220" s="69"/>
      <c r="D220" s="4"/>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69"/>
      <c r="BS220" s="69"/>
      <c r="BT220" s="69"/>
      <c r="BU220" s="69"/>
      <c r="BV220" s="69"/>
      <c r="BW220" s="69"/>
      <c r="BX220" s="69"/>
      <c r="BY220" s="69"/>
      <c r="BZ220" s="69"/>
      <c r="CA220" s="69"/>
      <c r="CB220" s="69"/>
      <c r="CC220" s="69"/>
      <c r="CD220" s="69"/>
      <c r="CE220" s="69"/>
      <c r="CF220" s="69"/>
      <c r="CG220" s="69"/>
      <c r="CH220" s="69"/>
      <c r="CI220" s="69"/>
      <c r="CJ220" s="69"/>
      <c r="CK220" s="69"/>
      <c r="CL220" s="69"/>
      <c r="CM220" s="69"/>
      <c r="CN220" s="69"/>
      <c r="CO220" s="69"/>
      <c r="CP220" s="69"/>
      <c r="CQ220" s="69"/>
      <c r="CR220" s="69"/>
      <c r="CS220" s="69"/>
      <c r="CT220" s="69"/>
      <c r="CU220" s="69"/>
      <c r="CV220" s="69"/>
      <c r="CW220" s="69"/>
    </row>
    <row r="221" ht="15.75" customHeight="1">
      <c r="A221" s="69"/>
      <c r="B221" s="69"/>
      <c r="C221" s="69"/>
      <c r="D221" s="4"/>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69"/>
      <c r="BS221" s="69"/>
      <c r="BT221" s="69"/>
      <c r="BU221" s="69"/>
      <c r="BV221" s="69"/>
      <c r="BW221" s="69"/>
      <c r="BX221" s="69"/>
      <c r="BY221" s="69"/>
      <c r="BZ221" s="69"/>
      <c r="CA221" s="69"/>
      <c r="CB221" s="69"/>
      <c r="CC221" s="69"/>
      <c r="CD221" s="69"/>
      <c r="CE221" s="69"/>
      <c r="CF221" s="69"/>
      <c r="CG221" s="69"/>
      <c r="CH221" s="69"/>
      <c r="CI221" s="69"/>
      <c r="CJ221" s="69"/>
      <c r="CK221" s="69"/>
      <c r="CL221" s="69"/>
      <c r="CM221" s="69"/>
      <c r="CN221" s="69"/>
      <c r="CO221" s="69"/>
      <c r="CP221" s="69"/>
      <c r="CQ221" s="69"/>
      <c r="CR221" s="69"/>
      <c r="CS221" s="69"/>
      <c r="CT221" s="69"/>
      <c r="CU221" s="69"/>
      <c r="CV221" s="69"/>
      <c r="CW221" s="69"/>
    </row>
    <row r="222" ht="15.75" customHeight="1">
      <c r="A222" s="69"/>
      <c r="B222" s="69"/>
      <c r="C222" s="69"/>
      <c r="D222" s="4"/>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69"/>
      <c r="BS222" s="69"/>
      <c r="BT222" s="69"/>
      <c r="BU222" s="69"/>
      <c r="BV222" s="69"/>
      <c r="BW222" s="69"/>
      <c r="BX222" s="69"/>
      <c r="BY222" s="69"/>
      <c r="BZ222" s="69"/>
      <c r="CA222" s="69"/>
      <c r="CB222" s="69"/>
      <c r="CC222" s="69"/>
      <c r="CD222" s="69"/>
      <c r="CE222" s="69"/>
      <c r="CF222" s="69"/>
      <c r="CG222" s="69"/>
      <c r="CH222" s="69"/>
      <c r="CI222" s="69"/>
      <c r="CJ222" s="69"/>
      <c r="CK222" s="69"/>
      <c r="CL222" s="69"/>
      <c r="CM222" s="69"/>
      <c r="CN222" s="69"/>
      <c r="CO222" s="69"/>
      <c r="CP222" s="69"/>
      <c r="CQ222" s="69"/>
      <c r="CR222" s="69"/>
      <c r="CS222" s="69"/>
      <c r="CT222" s="69"/>
      <c r="CU222" s="69"/>
      <c r="CV222" s="69"/>
      <c r="CW222" s="69"/>
    </row>
    <row r="223" ht="15.75" customHeight="1">
      <c r="A223" s="69"/>
      <c r="B223" s="69"/>
      <c r="C223" s="69"/>
      <c r="D223" s="4"/>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c r="BI223" s="69"/>
      <c r="BJ223" s="69"/>
      <c r="BK223" s="69"/>
      <c r="BL223" s="69"/>
      <c r="BM223" s="69"/>
      <c r="BN223" s="69"/>
      <c r="BO223" s="69"/>
      <c r="BP223" s="69"/>
      <c r="BQ223" s="69"/>
      <c r="BR223" s="69"/>
      <c r="BS223" s="69"/>
      <c r="BT223" s="69"/>
      <c r="BU223" s="69"/>
      <c r="BV223" s="69"/>
      <c r="BW223" s="69"/>
      <c r="BX223" s="69"/>
      <c r="BY223" s="69"/>
      <c r="BZ223" s="69"/>
      <c r="CA223" s="69"/>
      <c r="CB223" s="69"/>
      <c r="CC223" s="69"/>
      <c r="CD223" s="69"/>
      <c r="CE223" s="69"/>
      <c r="CF223" s="69"/>
      <c r="CG223" s="69"/>
      <c r="CH223" s="69"/>
      <c r="CI223" s="69"/>
      <c r="CJ223" s="69"/>
      <c r="CK223" s="69"/>
      <c r="CL223" s="69"/>
      <c r="CM223" s="69"/>
      <c r="CN223" s="69"/>
      <c r="CO223" s="69"/>
      <c r="CP223" s="69"/>
      <c r="CQ223" s="69"/>
      <c r="CR223" s="69"/>
      <c r="CS223" s="69"/>
      <c r="CT223" s="69"/>
      <c r="CU223" s="69"/>
      <c r="CV223" s="69"/>
      <c r="CW223" s="69"/>
    </row>
    <row r="224" ht="15.75" customHeight="1">
      <c r="A224" s="69"/>
      <c r="B224" s="69"/>
      <c r="C224" s="69"/>
      <c r="D224" s="4"/>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69"/>
      <c r="BR224" s="69"/>
      <c r="BS224" s="69"/>
      <c r="BT224" s="69"/>
      <c r="BU224" s="69"/>
      <c r="BV224" s="69"/>
      <c r="BW224" s="69"/>
      <c r="BX224" s="69"/>
      <c r="BY224" s="69"/>
      <c r="BZ224" s="69"/>
      <c r="CA224" s="69"/>
      <c r="CB224" s="69"/>
      <c r="CC224" s="69"/>
      <c r="CD224" s="69"/>
      <c r="CE224" s="69"/>
      <c r="CF224" s="69"/>
      <c r="CG224" s="69"/>
      <c r="CH224" s="69"/>
      <c r="CI224" s="69"/>
      <c r="CJ224" s="69"/>
      <c r="CK224" s="69"/>
      <c r="CL224" s="69"/>
      <c r="CM224" s="69"/>
      <c r="CN224" s="69"/>
      <c r="CO224" s="69"/>
      <c r="CP224" s="69"/>
      <c r="CQ224" s="69"/>
      <c r="CR224" s="69"/>
      <c r="CS224" s="69"/>
      <c r="CT224" s="69"/>
      <c r="CU224" s="69"/>
      <c r="CV224" s="69"/>
      <c r="CW224" s="69"/>
    </row>
    <row r="225" ht="15.75" customHeight="1">
      <c r="A225" s="69"/>
      <c r="B225" s="69"/>
      <c r="C225" s="69"/>
      <c r="D225" s="4"/>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c r="BI225" s="69"/>
      <c r="BJ225" s="69"/>
      <c r="BK225" s="69"/>
      <c r="BL225" s="69"/>
      <c r="BM225" s="69"/>
      <c r="BN225" s="69"/>
      <c r="BO225" s="69"/>
      <c r="BP225" s="69"/>
      <c r="BQ225" s="69"/>
      <c r="BR225" s="69"/>
      <c r="BS225" s="69"/>
      <c r="BT225" s="69"/>
      <c r="BU225" s="69"/>
      <c r="BV225" s="69"/>
      <c r="BW225" s="69"/>
      <c r="BX225" s="69"/>
      <c r="BY225" s="69"/>
      <c r="BZ225" s="69"/>
      <c r="CA225" s="69"/>
      <c r="CB225" s="69"/>
      <c r="CC225" s="69"/>
      <c r="CD225" s="69"/>
      <c r="CE225" s="69"/>
      <c r="CF225" s="69"/>
      <c r="CG225" s="69"/>
      <c r="CH225" s="69"/>
      <c r="CI225" s="69"/>
      <c r="CJ225" s="69"/>
      <c r="CK225" s="69"/>
      <c r="CL225" s="69"/>
      <c r="CM225" s="69"/>
      <c r="CN225" s="69"/>
      <c r="CO225" s="69"/>
      <c r="CP225" s="69"/>
      <c r="CQ225" s="69"/>
      <c r="CR225" s="69"/>
      <c r="CS225" s="69"/>
      <c r="CT225" s="69"/>
      <c r="CU225" s="69"/>
      <c r="CV225" s="69"/>
      <c r="CW225" s="69"/>
    </row>
    <row r="226" ht="15.75" customHeight="1">
      <c r="A226" s="69"/>
      <c r="B226" s="69"/>
      <c r="C226" s="69"/>
      <c r="D226" s="4"/>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c r="BN226" s="69"/>
      <c r="BO226" s="69"/>
      <c r="BP226" s="69"/>
      <c r="BQ226" s="69"/>
      <c r="BR226" s="69"/>
      <c r="BS226" s="69"/>
      <c r="BT226" s="69"/>
      <c r="BU226" s="69"/>
      <c r="BV226" s="69"/>
      <c r="BW226" s="69"/>
      <c r="BX226" s="69"/>
      <c r="BY226" s="69"/>
      <c r="BZ226" s="69"/>
      <c r="CA226" s="69"/>
      <c r="CB226" s="69"/>
      <c r="CC226" s="69"/>
      <c r="CD226" s="69"/>
      <c r="CE226" s="69"/>
      <c r="CF226" s="69"/>
      <c r="CG226" s="69"/>
      <c r="CH226" s="69"/>
      <c r="CI226" s="69"/>
      <c r="CJ226" s="69"/>
      <c r="CK226" s="69"/>
      <c r="CL226" s="69"/>
      <c r="CM226" s="69"/>
      <c r="CN226" s="69"/>
      <c r="CO226" s="69"/>
      <c r="CP226" s="69"/>
      <c r="CQ226" s="69"/>
      <c r="CR226" s="69"/>
      <c r="CS226" s="69"/>
      <c r="CT226" s="69"/>
      <c r="CU226" s="69"/>
      <c r="CV226" s="69"/>
      <c r="CW226" s="69"/>
    </row>
    <row r="227" ht="15.75" customHeight="1">
      <c r="A227" s="69"/>
      <c r="B227" s="69"/>
      <c r="C227" s="69"/>
      <c r="D227" s="4"/>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c r="BI227" s="69"/>
      <c r="BJ227" s="69"/>
      <c r="BK227" s="69"/>
      <c r="BL227" s="69"/>
      <c r="BM227" s="69"/>
      <c r="BN227" s="69"/>
      <c r="BO227" s="69"/>
      <c r="BP227" s="69"/>
      <c r="BQ227" s="69"/>
      <c r="BR227" s="69"/>
      <c r="BS227" s="69"/>
      <c r="BT227" s="69"/>
      <c r="BU227" s="69"/>
      <c r="BV227" s="69"/>
      <c r="BW227" s="69"/>
      <c r="BX227" s="69"/>
      <c r="BY227" s="69"/>
      <c r="BZ227" s="69"/>
      <c r="CA227" s="69"/>
      <c r="CB227" s="69"/>
      <c r="CC227" s="69"/>
      <c r="CD227" s="69"/>
      <c r="CE227" s="69"/>
      <c r="CF227" s="69"/>
      <c r="CG227" s="69"/>
      <c r="CH227" s="69"/>
      <c r="CI227" s="69"/>
      <c r="CJ227" s="69"/>
      <c r="CK227" s="69"/>
      <c r="CL227" s="69"/>
      <c r="CM227" s="69"/>
      <c r="CN227" s="69"/>
      <c r="CO227" s="69"/>
      <c r="CP227" s="69"/>
      <c r="CQ227" s="69"/>
      <c r="CR227" s="69"/>
      <c r="CS227" s="69"/>
      <c r="CT227" s="69"/>
      <c r="CU227" s="69"/>
      <c r="CV227" s="69"/>
      <c r="CW227" s="69"/>
    </row>
    <row r="228" ht="15.75" customHeight="1">
      <c r="A228" s="69"/>
      <c r="B228" s="69"/>
      <c r="C228" s="69"/>
      <c r="D228" s="4"/>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c r="BN228" s="69"/>
      <c r="BO228" s="69"/>
      <c r="BP228" s="69"/>
      <c r="BQ228" s="69"/>
      <c r="BR228" s="69"/>
      <c r="BS228" s="69"/>
      <c r="BT228" s="69"/>
      <c r="BU228" s="69"/>
      <c r="BV228" s="69"/>
      <c r="BW228" s="69"/>
      <c r="BX228" s="69"/>
      <c r="BY228" s="69"/>
      <c r="BZ228" s="69"/>
      <c r="CA228" s="69"/>
      <c r="CB228" s="69"/>
      <c r="CC228" s="69"/>
      <c r="CD228" s="69"/>
      <c r="CE228" s="69"/>
      <c r="CF228" s="69"/>
      <c r="CG228" s="69"/>
      <c r="CH228" s="69"/>
      <c r="CI228" s="69"/>
      <c r="CJ228" s="69"/>
      <c r="CK228" s="69"/>
      <c r="CL228" s="69"/>
      <c r="CM228" s="69"/>
      <c r="CN228" s="69"/>
      <c r="CO228" s="69"/>
      <c r="CP228" s="69"/>
      <c r="CQ228" s="69"/>
      <c r="CR228" s="69"/>
      <c r="CS228" s="69"/>
      <c r="CT228" s="69"/>
      <c r="CU228" s="69"/>
      <c r="CV228" s="69"/>
      <c r="CW228" s="69"/>
    </row>
    <row r="229" ht="15.75" customHeight="1">
      <c r="A229" s="69"/>
      <c r="B229" s="69"/>
      <c r="C229" s="69"/>
      <c r="D229" s="4"/>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c r="BI229" s="69"/>
      <c r="BJ229" s="69"/>
      <c r="BK229" s="69"/>
      <c r="BL229" s="69"/>
      <c r="BM229" s="69"/>
      <c r="BN229" s="69"/>
      <c r="BO229" s="69"/>
      <c r="BP229" s="69"/>
      <c r="BQ229" s="69"/>
      <c r="BR229" s="69"/>
      <c r="BS229" s="69"/>
      <c r="BT229" s="69"/>
      <c r="BU229" s="69"/>
      <c r="BV229" s="69"/>
      <c r="BW229" s="69"/>
      <c r="BX229" s="69"/>
      <c r="BY229" s="69"/>
      <c r="BZ229" s="69"/>
      <c r="CA229" s="69"/>
      <c r="CB229" s="69"/>
      <c r="CC229" s="69"/>
      <c r="CD229" s="69"/>
      <c r="CE229" s="69"/>
      <c r="CF229" s="69"/>
      <c r="CG229" s="69"/>
      <c r="CH229" s="69"/>
      <c r="CI229" s="69"/>
      <c r="CJ229" s="69"/>
      <c r="CK229" s="69"/>
      <c r="CL229" s="69"/>
      <c r="CM229" s="69"/>
      <c r="CN229" s="69"/>
      <c r="CO229" s="69"/>
      <c r="CP229" s="69"/>
      <c r="CQ229" s="69"/>
      <c r="CR229" s="69"/>
      <c r="CS229" s="69"/>
      <c r="CT229" s="69"/>
      <c r="CU229" s="69"/>
      <c r="CV229" s="69"/>
      <c r="CW229" s="69"/>
    </row>
    <row r="230" ht="15.75" customHeight="1">
      <c r="A230" s="69"/>
      <c r="B230" s="69"/>
      <c r="C230" s="69"/>
      <c r="D230" s="4"/>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69"/>
      <c r="BS230" s="69"/>
      <c r="BT230" s="69"/>
      <c r="BU230" s="69"/>
      <c r="BV230" s="69"/>
      <c r="BW230" s="69"/>
      <c r="BX230" s="69"/>
      <c r="BY230" s="69"/>
      <c r="BZ230" s="69"/>
      <c r="CA230" s="69"/>
      <c r="CB230" s="69"/>
      <c r="CC230" s="69"/>
      <c r="CD230" s="69"/>
      <c r="CE230" s="69"/>
      <c r="CF230" s="69"/>
      <c r="CG230" s="69"/>
      <c r="CH230" s="69"/>
      <c r="CI230" s="69"/>
      <c r="CJ230" s="69"/>
      <c r="CK230" s="69"/>
      <c r="CL230" s="69"/>
      <c r="CM230" s="69"/>
      <c r="CN230" s="69"/>
      <c r="CO230" s="69"/>
      <c r="CP230" s="69"/>
      <c r="CQ230" s="69"/>
      <c r="CR230" s="69"/>
      <c r="CS230" s="69"/>
      <c r="CT230" s="69"/>
      <c r="CU230" s="69"/>
      <c r="CV230" s="69"/>
      <c r="CW230" s="69"/>
    </row>
    <row r="231" ht="15.75" customHeight="1">
      <c r="A231" s="69"/>
      <c r="B231" s="69"/>
      <c r="C231" s="69"/>
      <c r="D231" s="4"/>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69"/>
      <c r="BT231" s="69"/>
      <c r="BU231" s="69"/>
      <c r="BV231" s="69"/>
      <c r="BW231" s="69"/>
      <c r="BX231" s="69"/>
      <c r="BY231" s="69"/>
      <c r="BZ231" s="69"/>
      <c r="CA231" s="69"/>
      <c r="CB231" s="69"/>
      <c r="CC231" s="69"/>
      <c r="CD231" s="69"/>
      <c r="CE231" s="69"/>
      <c r="CF231" s="69"/>
      <c r="CG231" s="69"/>
      <c r="CH231" s="69"/>
      <c r="CI231" s="69"/>
      <c r="CJ231" s="69"/>
      <c r="CK231" s="69"/>
      <c r="CL231" s="69"/>
      <c r="CM231" s="69"/>
      <c r="CN231" s="69"/>
      <c r="CO231" s="69"/>
      <c r="CP231" s="69"/>
      <c r="CQ231" s="69"/>
      <c r="CR231" s="69"/>
      <c r="CS231" s="69"/>
      <c r="CT231" s="69"/>
      <c r="CU231" s="69"/>
      <c r="CV231" s="69"/>
      <c r="CW231" s="69"/>
    </row>
    <row r="232" ht="15.75" customHeight="1">
      <c r="A232" s="69"/>
      <c r="B232" s="69"/>
      <c r="C232" s="69"/>
      <c r="D232" s="4"/>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69"/>
      <c r="BT232" s="69"/>
      <c r="BU232" s="69"/>
      <c r="BV232" s="69"/>
      <c r="BW232" s="69"/>
      <c r="BX232" s="69"/>
      <c r="BY232" s="69"/>
      <c r="BZ232" s="69"/>
      <c r="CA232" s="69"/>
      <c r="CB232" s="69"/>
      <c r="CC232" s="69"/>
      <c r="CD232" s="69"/>
      <c r="CE232" s="69"/>
      <c r="CF232" s="69"/>
      <c r="CG232" s="69"/>
      <c r="CH232" s="69"/>
      <c r="CI232" s="69"/>
      <c r="CJ232" s="69"/>
      <c r="CK232" s="69"/>
      <c r="CL232" s="69"/>
      <c r="CM232" s="69"/>
      <c r="CN232" s="69"/>
      <c r="CO232" s="69"/>
      <c r="CP232" s="69"/>
      <c r="CQ232" s="69"/>
      <c r="CR232" s="69"/>
      <c r="CS232" s="69"/>
      <c r="CT232" s="69"/>
      <c r="CU232" s="69"/>
      <c r="CV232" s="69"/>
      <c r="CW232" s="69"/>
    </row>
    <row r="233" ht="15.75" customHeight="1">
      <c r="A233" s="69"/>
      <c r="B233" s="69"/>
      <c r="C233" s="69"/>
      <c r="D233" s="4"/>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69"/>
      <c r="BT233" s="69"/>
      <c r="BU233" s="69"/>
      <c r="BV233" s="69"/>
      <c r="BW233" s="69"/>
      <c r="BX233" s="69"/>
      <c r="BY233" s="69"/>
      <c r="BZ233" s="69"/>
      <c r="CA233" s="69"/>
      <c r="CB233" s="69"/>
      <c r="CC233" s="69"/>
      <c r="CD233" s="69"/>
      <c r="CE233" s="69"/>
      <c r="CF233" s="69"/>
      <c r="CG233" s="69"/>
      <c r="CH233" s="69"/>
      <c r="CI233" s="69"/>
      <c r="CJ233" s="69"/>
      <c r="CK233" s="69"/>
      <c r="CL233" s="69"/>
      <c r="CM233" s="69"/>
      <c r="CN233" s="69"/>
      <c r="CO233" s="69"/>
      <c r="CP233" s="69"/>
      <c r="CQ233" s="69"/>
      <c r="CR233" s="69"/>
      <c r="CS233" s="69"/>
      <c r="CT233" s="69"/>
      <c r="CU233" s="69"/>
      <c r="CV233" s="69"/>
      <c r="CW233" s="69"/>
    </row>
    <row r="234" ht="15.75" customHeight="1">
      <c r="A234" s="69"/>
      <c r="B234" s="69"/>
      <c r="C234" s="69"/>
      <c r="D234" s="4"/>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69"/>
      <c r="BS234" s="69"/>
      <c r="BT234" s="69"/>
      <c r="BU234" s="69"/>
      <c r="BV234" s="69"/>
      <c r="BW234" s="69"/>
      <c r="BX234" s="69"/>
      <c r="BY234" s="69"/>
      <c r="BZ234" s="69"/>
      <c r="CA234" s="69"/>
      <c r="CB234" s="69"/>
      <c r="CC234" s="69"/>
      <c r="CD234" s="69"/>
      <c r="CE234" s="69"/>
      <c r="CF234" s="69"/>
      <c r="CG234" s="69"/>
      <c r="CH234" s="69"/>
      <c r="CI234" s="69"/>
      <c r="CJ234" s="69"/>
      <c r="CK234" s="69"/>
      <c r="CL234" s="69"/>
      <c r="CM234" s="69"/>
      <c r="CN234" s="69"/>
      <c r="CO234" s="69"/>
      <c r="CP234" s="69"/>
      <c r="CQ234" s="69"/>
      <c r="CR234" s="69"/>
      <c r="CS234" s="69"/>
      <c r="CT234" s="69"/>
      <c r="CU234" s="69"/>
      <c r="CV234" s="69"/>
      <c r="CW234" s="69"/>
    </row>
    <row r="235" ht="15.75" customHeight="1">
      <c r="A235" s="69"/>
      <c r="B235" s="69"/>
      <c r="C235" s="69"/>
      <c r="D235" s="4"/>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69"/>
      <c r="BS235" s="69"/>
      <c r="BT235" s="69"/>
      <c r="BU235" s="69"/>
      <c r="BV235" s="69"/>
      <c r="BW235" s="69"/>
      <c r="BX235" s="69"/>
      <c r="BY235" s="69"/>
      <c r="BZ235" s="69"/>
      <c r="CA235" s="69"/>
      <c r="CB235" s="69"/>
      <c r="CC235" s="69"/>
      <c r="CD235" s="69"/>
      <c r="CE235" s="69"/>
      <c r="CF235" s="69"/>
      <c r="CG235" s="69"/>
      <c r="CH235" s="69"/>
      <c r="CI235" s="69"/>
      <c r="CJ235" s="69"/>
      <c r="CK235" s="69"/>
      <c r="CL235" s="69"/>
      <c r="CM235" s="69"/>
      <c r="CN235" s="69"/>
      <c r="CO235" s="69"/>
      <c r="CP235" s="69"/>
      <c r="CQ235" s="69"/>
      <c r="CR235" s="69"/>
      <c r="CS235" s="69"/>
      <c r="CT235" s="69"/>
      <c r="CU235" s="69"/>
      <c r="CV235" s="69"/>
      <c r="CW235" s="69"/>
    </row>
    <row r="236" ht="15.75" customHeight="1">
      <c r="A236" s="69"/>
      <c r="B236" s="69"/>
      <c r="C236" s="69"/>
      <c r="D236" s="4"/>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c r="BN236" s="69"/>
      <c r="BO236" s="69"/>
      <c r="BP236" s="69"/>
      <c r="BQ236" s="69"/>
      <c r="BR236" s="69"/>
      <c r="BS236" s="69"/>
      <c r="BT236" s="69"/>
      <c r="BU236" s="69"/>
      <c r="BV236" s="69"/>
      <c r="BW236" s="69"/>
      <c r="BX236" s="69"/>
      <c r="BY236" s="69"/>
      <c r="BZ236" s="69"/>
      <c r="CA236" s="69"/>
      <c r="CB236" s="69"/>
      <c r="CC236" s="69"/>
      <c r="CD236" s="69"/>
      <c r="CE236" s="69"/>
      <c r="CF236" s="69"/>
      <c r="CG236" s="69"/>
      <c r="CH236" s="69"/>
      <c r="CI236" s="69"/>
      <c r="CJ236" s="69"/>
      <c r="CK236" s="69"/>
      <c r="CL236" s="69"/>
      <c r="CM236" s="69"/>
      <c r="CN236" s="69"/>
      <c r="CO236" s="69"/>
      <c r="CP236" s="69"/>
      <c r="CQ236" s="69"/>
      <c r="CR236" s="69"/>
      <c r="CS236" s="69"/>
      <c r="CT236" s="69"/>
      <c r="CU236" s="69"/>
      <c r="CV236" s="69"/>
      <c r="CW236" s="69"/>
    </row>
    <row r="237" ht="15.75" customHeight="1">
      <c r="A237" s="69"/>
      <c r="B237" s="69"/>
      <c r="C237" s="69"/>
      <c r="D237" s="4"/>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c r="BI237" s="69"/>
      <c r="BJ237" s="69"/>
      <c r="BK237" s="69"/>
      <c r="BL237" s="69"/>
      <c r="BM237" s="69"/>
      <c r="BN237" s="69"/>
      <c r="BO237" s="69"/>
      <c r="BP237" s="69"/>
      <c r="BQ237" s="69"/>
      <c r="BR237" s="69"/>
      <c r="BS237" s="69"/>
      <c r="BT237" s="69"/>
      <c r="BU237" s="69"/>
      <c r="BV237" s="69"/>
      <c r="BW237" s="69"/>
      <c r="BX237" s="69"/>
      <c r="BY237" s="69"/>
      <c r="BZ237" s="69"/>
      <c r="CA237" s="69"/>
      <c r="CB237" s="69"/>
      <c r="CC237" s="69"/>
      <c r="CD237" s="69"/>
      <c r="CE237" s="69"/>
      <c r="CF237" s="69"/>
      <c r="CG237" s="69"/>
      <c r="CH237" s="69"/>
      <c r="CI237" s="69"/>
      <c r="CJ237" s="69"/>
      <c r="CK237" s="69"/>
      <c r="CL237" s="69"/>
      <c r="CM237" s="69"/>
      <c r="CN237" s="69"/>
      <c r="CO237" s="69"/>
      <c r="CP237" s="69"/>
      <c r="CQ237" s="69"/>
      <c r="CR237" s="69"/>
      <c r="CS237" s="69"/>
      <c r="CT237" s="69"/>
      <c r="CU237" s="69"/>
      <c r="CV237" s="69"/>
      <c r="CW237" s="69"/>
    </row>
    <row r="238" ht="15.75" customHeight="1">
      <c r="A238" s="69"/>
      <c r="B238" s="69"/>
      <c r="C238" s="69"/>
      <c r="D238" s="4"/>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69"/>
      <c r="BS238" s="69"/>
      <c r="BT238" s="69"/>
      <c r="BU238" s="69"/>
      <c r="BV238" s="69"/>
      <c r="BW238" s="69"/>
      <c r="BX238" s="69"/>
      <c r="BY238" s="69"/>
      <c r="BZ238" s="69"/>
      <c r="CA238" s="69"/>
      <c r="CB238" s="69"/>
      <c r="CC238" s="69"/>
      <c r="CD238" s="69"/>
      <c r="CE238" s="69"/>
      <c r="CF238" s="69"/>
      <c r="CG238" s="69"/>
      <c r="CH238" s="69"/>
      <c r="CI238" s="69"/>
      <c r="CJ238" s="69"/>
      <c r="CK238" s="69"/>
      <c r="CL238" s="69"/>
      <c r="CM238" s="69"/>
      <c r="CN238" s="69"/>
      <c r="CO238" s="69"/>
      <c r="CP238" s="69"/>
      <c r="CQ238" s="69"/>
      <c r="CR238" s="69"/>
      <c r="CS238" s="69"/>
      <c r="CT238" s="69"/>
      <c r="CU238" s="69"/>
      <c r="CV238" s="69"/>
      <c r="CW238" s="69"/>
    </row>
    <row r="239" ht="15.75" customHeight="1">
      <c r="A239" s="69"/>
      <c r="B239" s="69"/>
      <c r="C239" s="69"/>
      <c r="D239" s="4"/>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c r="BI239" s="69"/>
      <c r="BJ239" s="69"/>
      <c r="BK239" s="69"/>
      <c r="BL239" s="69"/>
      <c r="BM239" s="69"/>
      <c r="BN239" s="69"/>
      <c r="BO239" s="69"/>
      <c r="BP239" s="69"/>
      <c r="BQ239" s="69"/>
      <c r="BR239" s="69"/>
      <c r="BS239" s="69"/>
      <c r="BT239" s="69"/>
      <c r="BU239" s="69"/>
      <c r="BV239" s="69"/>
      <c r="BW239" s="69"/>
      <c r="BX239" s="69"/>
      <c r="BY239" s="69"/>
      <c r="BZ239" s="69"/>
      <c r="CA239" s="69"/>
      <c r="CB239" s="69"/>
      <c r="CC239" s="69"/>
      <c r="CD239" s="69"/>
      <c r="CE239" s="69"/>
      <c r="CF239" s="69"/>
      <c r="CG239" s="69"/>
      <c r="CH239" s="69"/>
      <c r="CI239" s="69"/>
      <c r="CJ239" s="69"/>
      <c r="CK239" s="69"/>
      <c r="CL239" s="69"/>
      <c r="CM239" s="69"/>
      <c r="CN239" s="69"/>
      <c r="CO239" s="69"/>
      <c r="CP239" s="69"/>
      <c r="CQ239" s="69"/>
      <c r="CR239" s="69"/>
      <c r="CS239" s="69"/>
      <c r="CT239" s="69"/>
      <c r="CU239" s="69"/>
      <c r="CV239" s="69"/>
      <c r="CW239" s="69"/>
    </row>
    <row r="240" ht="15.75" customHeight="1">
      <c r="A240" s="69"/>
      <c r="B240" s="69"/>
      <c r="C240" s="69"/>
      <c r="D240" s="4"/>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c r="BN240" s="69"/>
      <c r="BO240" s="69"/>
      <c r="BP240" s="69"/>
      <c r="BQ240" s="69"/>
      <c r="BR240" s="69"/>
      <c r="BS240" s="69"/>
      <c r="BT240" s="69"/>
      <c r="BU240" s="69"/>
      <c r="BV240" s="69"/>
      <c r="BW240" s="69"/>
      <c r="BX240" s="69"/>
      <c r="BY240" s="69"/>
      <c r="BZ240" s="69"/>
      <c r="CA240" s="69"/>
      <c r="CB240" s="69"/>
      <c r="CC240" s="69"/>
      <c r="CD240" s="69"/>
      <c r="CE240" s="69"/>
      <c r="CF240" s="69"/>
      <c r="CG240" s="69"/>
      <c r="CH240" s="69"/>
      <c r="CI240" s="69"/>
      <c r="CJ240" s="69"/>
      <c r="CK240" s="69"/>
      <c r="CL240" s="69"/>
      <c r="CM240" s="69"/>
      <c r="CN240" s="69"/>
      <c r="CO240" s="69"/>
      <c r="CP240" s="69"/>
      <c r="CQ240" s="69"/>
      <c r="CR240" s="69"/>
      <c r="CS240" s="69"/>
      <c r="CT240" s="69"/>
      <c r="CU240" s="69"/>
      <c r="CV240" s="69"/>
      <c r="CW240" s="69"/>
    </row>
    <row r="241" ht="15.75" customHeight="1">
      <c r="A241" s="69"/>
      <c r="B241" s="69"/>
      <c r="C241" s="69"/>
      <c r="D241" s="4"/>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c r="BI241" s="69"/>
      <c r="BJ241" s="69"/>
      <c r="BK241" s="69"/>
      <c r="BL241" s="69"/>
      <c r="BM241" s="69"/>
      <c r="BN241" s="69"/>
      <c r="BO241" s="69"/>
      <c r="BP241" s="69"/>
      <c r="BQ241" s="69"/>
      <c r="BR241" s="69"/>
      <c r="BS241" s="69"/>
      <c r="BT241" s="69"/>
      <c r="BU241" s="69"/>
      <c r="BV241" s="69"/>
      <c r="BW241" s="69"/>
      <c r="BX241" s="69"/>
      <c r="BY241" s="69"/>
      <c r="BZ241" s="69"/>
      <c r="CA241" s="69"/>
      <c r="CB241" s="69"/>
      <c r="CC241" s="69"/>
      <c r="CD241" s="69"/>
      <c r="CE241" s="69"/>
      <c r="CF241" s="69"/>
      <c r="CG241" s="69"/>
      <c r="CH241" s="69"/>
      <c r="CI241" s="69"/>
      <c r="CJ241" s="69"/>
      <c r="CK241" s="69"/>
      <c r="CL241" s="69"/>
      <c r="CM241" s="69"/>
      <c r="CN241" s="69"/>
      <c r="CO241" s="69"/>
      <c r="CP241" s="69"/>
      <c r="CQ241" s="69"/>
      <c r="CR241" s="69"/>
      <c r="CS241" s="69"/>
      <c r="CT241" s="69"/>
      <c r="CU241" s="69"/>
      <c r="CV241" s="69"/>
      <c r="CW241" s="69"/>
    </row>
    <row r="242" ht="15.75" customHeight="1">
      <c r="A242" s="69"/>
      <c r="B242" s="69"/>
      <c r="C242" s="69"/>
      <c r="D242" s="4"/>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69"/>
      <c r="BS242" s="69"/>
      <c r="BT242" s="69"/>
      <c r="BU242" s="69"/>
      <c r="BV242" s="69"/>
      <c r="BW242" s="69"/>
      <c r="BX242" s="69"/>
      <c r="BY242" s="69"/>
      <c r="BZ242" s="69"/>
      <c r="CA242" s="69"/>
      <c r="CB242" s="69"/>
      <c r="CC242" s="69"/>
      <c r="CD242" s="69"/>
      <c r="CE242" s="69"/>
      <c r="CF242" s="69"/>
      <c r="CG242" s="69"/>
      <c r="CH242" s="69"/>
      <c r="CI242" s="69"/>
      <c r="CJ242" s="69"/>
      <c r="CK242" s="69"/>
      <c r="CL242" s="69"/>
      <c r="CM242" s="69"/>
      <c r="CN242" s="69"/>
      <c r="CO242" s="69"/>
      <c r="CP242" s="69"/>
      <c r="CQ242" s="69"/>
      <c r="CR242" s="69"/>
      <c r="CS242" s="69"/>
      <c r="CT242" s="69"/>
      <c r="CU242" s="69"/>
      <c r="CV242" s="69"/>
      <c r="CW242" s="69"/>
    </row>
    <row r="243" ht="15.75" customHeight="1">
      <c r="A243" s="69"/>
      <c r="B243" s="69"/>
      <c r="C243" s="69"/>
      <c r="D243" s="4"/>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c r="BI243" s="69"/>
      <c r="BJ243" s="69"/>
      <c r="BK243" s="69"/>
      <c r="BL243" s="69"/>
      <c r="BM243" s="69"/>
      <c r="BN243" s="69"/>
      <c r="BO243" s="69"/>
      <c r="BP243" s="69"/>
      <c r="BQ243" s="69"/>
      <c r="BR243" s="69"/>
      <c r="BS243" s="69"/>
      <c r="BT243" s="69"/>
      <c r="BU243" s="69"/>
      <c r="BV243" s="69"/>
      <c r="BW243" s="69"/>
      <c r="BX243" s="69"/>
      <c r="BY243" s="69"/>
      <c r="BZ243" s="69"/>
      <c r="CA243" s="69"/>
      <c r="CB243" s="69"/>
      <c r="CC243" s="69"/>
      <c r="CD243" s="69"/>
      <c r="CE243" s="69"/>
      <c r="CF243" s="69"/>
      <c r="CG243" s="69"/>
      <c r="CH243" s="69"/>
      <c r="CI243" s="69"/>
      <c r="CJ243" s="69"/>
      <c r="CK243" s="69"/>
      <c r="CL243" s="69"/>
      <c r="CM243" s="69"/>
      <c r="CN243" s="69"/>
      <c r="CO243" s="69"/>
      <c r="CP243" s="69"/>
      <c r="CQ243" s="69"/>
      <c r="CR243" s="69"/>
      <c r="CS243" s="69"/>
      <c r="CT243" s="69"/>
      <c r="CU243" s="69"/>
      <c r="CV243" s="69"/>
      <c r="CW243" s="69"/>
    </row>
    <row r="244" ht="15.75" customHeight="1">
      <c r="A244" s="69"/>
      <c r="B244" s="69"/>
      <c r="C244" s="69"/>
      <c r="D244" s="4"/>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c r="BN244" s="69"/>
      <c r="BO244" s="69"/>
      <c r="BP244" s="69"/>
      <c r="BQ244" s="69"/>
      <c r="BR244" s="69"/>
      <c r="BS244" s="69"/>
      <c r="BT244" s="69"/>
      <c r="BU244" s="69"/>
      <c r="BV244" s="69"/>
      <c r="BW244" s="69"/>
      <c r="BX244" s="69"/>
      <c r="BY244" s="69"/>
      <c r="BZ244" s="69"/>
      <c r="CA244" s="69"/>
      <c r="CB244" s="69"/>
      <c r="CC244" s="69"/>
      <c r="CD244" s="69"/>
      <c r="CE244" s="69"/>
      <c r="CF244" s="69"/>
      <c r="CG244" s="69"/>
      <c r="CH244" s="69"/>
      <c r="CI244" s="69"/>
      <c r="CJ244" s="69"/>
      <c r="CK244" s="69"/>
      <c r="CL244" s="69"/>
      <c r="CM244" s="69"/>
      <c r="CN244" s="69"/>
      <c r="CO244" s="69"/>
      <c r="CP244" s="69"/>
      <c r="CQ244" s="69"/>
      <c r="CR244" s="69"/>
      <c r="CS244" s="69"/>
      <c r="CT244" s="69"/>
      <c r="CU244" s="69"/>
      <c r="CV244" s="69"/>
      <c r="CW244" s="69"/>
    </row>
    <row r="245" ht="15.75" customHeight="1">
      <c r="A245" s="69"/>
      <c r="B245" s="69"/>
      <c r="C245" s="69"/>
      <c r="D245" s="4"/>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c r="AZ245" s="69"/>
      <c r="BA245" s="69"/>
      <c r="BB245" s="69"/>
      <c r="BC245" s="69"/>
      <c r="BD245" s="69"/>
      <c r="BE245" s="69"/>
      <c r="BF245" s="69"/>
      <c r="BG245" s="69"/>
      <c r="BH245" s="69"/>
      <c r="BI245" s="69"/>
      <c r="BJ245" s="69"/>
      <c r="BK245" s="69"/>
      <c r="BL245" s="69"/>
      <c r="BM245" s="69"/>
      <c r="BN245" s="69"/>
      <c r="BO245" s="69"/>
      <c r="BP245" s="69"/>
      <c r="BQ245" s="69"/>
      <c r="BR245" s="69"/>
      <c r="BS245" s="69"/>
      <c r="BT245" s="69"/>
      <c r="BU245" s="69"/>
      <c r="BV245" s="69"/>
      <c r="BW245" s="69"/>
      <c r="BX245" s="69"/>
      <c r="BY245" s="69"/>
      <c r="BZ245" s="69"/>
      <c r="CA245" s="69"/>
      <c r="CB245" s="69"/>
      <c r="CC245" s="69"/>
      <c r="CD245" s="69"/>
      <c r="CE245" s="69"/>
      <c r="CF245" s="69"/>
      <c r="CG245" s="69"/>
      <c r="CH245" s="69"/>
      <c r="CI245" s="69"/>
      <c r="CJ245" s="69"/>
      <c r="CK245" s="69"/>
      <c r="CL245" s="69"/>
      <c r="CM245" s="69"/>
      <c r="CN245" s="69"/>
      <c r="CO245" s="69"/>
      <c r="CP245" s="69"/>
      <c r="CQ245" s="69"/>
      <c r="CR245" s="69"/>
      <c r="CS245" s="69"/>
      <c r="CT245" s="69"/>
      <c r="CU245" s="69"/>
      <c r="CV245" s="69"/>
      <c r="CW245" s="69"/>
    </row>
    <row r="246" ht="15.75" customHeight="1">
      <c r="A246" s="69"/>
      <c r="B246" s="69"/>
      <c r="C246" s="69"/>
      <c r="D246" s="4"/>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c r="BN246" s="69"/>
      <c r="BO246" s="69"/>
      <c r="BP246" s="69"/>
      <c r="BQ246" s="69"/>
      <c r="BR246" s="69"/>
      <c r="BS246" s="69"/>
      <c r="BT246" s="69"/>
      <c r="BU246" s="69"/>
      <c r="BV246" s="69"/>
      <c r="BW246" s="69"/>
      <c r="BX246" s="69"/>
      <c r="BY246" s="69"/>
      <c r="BZ246" s="69"/>
      <c r="CA246" s="69"/>
      <c r="CB246" s="69"/>
      <c r="CC246" s="69"/>
      <c r="CD246" s="69"/>
      <c r="CE246" s="69"/>
      <c r="CF246" s="69"/>
      <c r="CG246" s="69"/>
      <c r="CH246" s="69"/>
      <c r="CI246" s="69"/>
      <c r="CJ246" s="69"/>
      <c r="CK246" s="69"/>
      <c r="CL246" s="69"/>
      <c r="CM246" s="69"/>
      <c r="CN246" s="69"/>
      <c r="CO246" s="69"/>
      <c r="CP246" s="69"/>
      <c r="CQ246" s="69"/>
      <c r="CR246" s="69"/>
      <c r="CS246" s="69"/>
      <c r="CT246" s="69"/>
      <c r="CU246" s="69"/>
      <c r="CV246" s="69"/>
      <c r="CW246" s="69"/>
    </row>
    <row r="247" ht="15.75" customHeight="1">
      <c r="A247" s="69"/>
      <c r="B247" s="69"/>
      <c r="C247" s="69"/>
      <c r="D247" s="4"/>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69"/>
      <c r="BS247" s="69"/>
      <c r="BT247" s="69"/>
      <c r="BU247" s="69"/>
      <c r="BV247" s="69"/>
      <c r="BW247" s="69"/>
      <c r="BX247" s="69"/>
      <c r="BY247" s="69"/>
      <c r="BZ247" s="69"/>
      <c r="CA247" s="69"/>
      <c r="CB247" s="69"/>
      <c r="CC247" s="69"/>
      <c r="CD247" s="69"/>
      <c r="CE247" s="69"/>
      <c r="CF247" s="69"/>
      <c r="CG247" s="69"/>
      <c r="CH247" s="69"/>
      <c r="CI247" s="69"/>
      <c r="CJ247" s="69"/>
      <c r="CK247" s="69"/>
      <c r="CL247" s="69"/>
      <c r="CM247" s="69"/>
      <c r="CN247" s="69"/>
      <c r="CO247" s="69"/>
      <c r="CP247" s="69"/>
      <c r="CQ247" s="69"/>
      <c r="CR247" s="69"/>
      <c r="CS247" s="69"/>
      <c r="CT247" s="69"/>
      <c r="CU247" s="69"/>
      <c r="CV247" s="69"/>
      <c r="CW247" s="69"/>
    </row>
    <row r="248" ht="15.75" customHeight="1">
      <c r="A248" s="69"/>
      <c r="B248" s="69"/>
      <c r="C248" s="69"/>
      <c r="D248" s="4"/>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c r="BN248" s="69"/>
      <c r="BO248" s="69"/>
      <c r="BP248" s="69"/>
      <c r="BQ248" s="69"/>
      <c r="BR248" s="69"/>
      <c r="BS248" s="69"/>
      <c r="BT248" s="69"/>
      <c r="BU248" s="69"/>
      <c r="BV248" s="69"/>
      <c r="BW248" s="69"/>
      <c r="BX248" s="69"/>
      <c r="BY248" s="69"/>
      <c r="BZ248" s="69"/>
      <c r="CA248" s="69"/>
      <c r="CB248" s="69"/>
      <c r="CC248" s="69"/>
      <c r="CD248" s="69"/>
      <c r="CE248" s="69"/>
      <c r="CF248" s="69"/>
      <c r="CG248" s="69"/>
      <c r="CH248" s="69"/>
      <c r="CI248" s="69"/>
      <c r="CJ248" s="69"/>
      <c r="CK248" s="69"/>
      <c r="CL248" s="69"/>
      <c r="CM248" s="69"/>
      <c r="CN248" s="69"/>
      <c r="CO248" s="69"/>
      <c r="CP248" s="69"/>
      <c r="CQ248" s="69"/>
      <c r="CR248" s="69"/>
      <c r="CS248" s="69"/>
      <c r="CT248" s="69"/>
      <c r="CU248" s="69"/>
      <c r="CV248" s="69"/>
      <c r="CW248" s="69"/>
    </row>
    <row r="249" ht="15.75" customHeight="1">
      <c r="A249" s="69"/>
      <c r="B249" s="69"/>
      <c r="C249" s="69"/>
      <c r="D249" s="4"/>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c r="AZ249" s="69"/>
      <c r="BA249" s="69"/>
      <c r="BB249" s="69"/>
      <c r="BC249" s="69"/>
      <c r="BD249" s="69"/>
      <c r="BE249" s="69"/>
      <c r="BF249" s="69"/>
      <c r="BG249" s="69"/>
      <c r="BH249" s="69"/>
      <c r="BI249" s="69"/>
      <c r="BJ249" s="69"/>
      <c r="BK249" s="69"/>
      <c r="BL249" s="69"/>
      <c r="BM249" s="69"/>
      <c r="BN249" s="69"/>
      <c r="BO249" s="69"/>
      <c r="BP249" s="69"/>
      <c r="BQ249" s="69"/>
      <c r="BR249" s="69"/>
      <c r="BS249" s="69"/>
      <c r="BT249" s="69"/>
      <c r="BU249" s="69"/>
      <c r="BV249" s="69"/>
      <c r="BW249" s="69"/>
      <c r="BX249" s="69"/>
      <c r="BY249" s="69"/>
      <c r="BZ249" s="69"/>
      <c r="CA249" s="69"/>
      <c r="CB249" s="69"/>
      <c r="CC249" s="69"/>
      <c r="CD249" s="69"/>
      <c r="CE249" s="69"/>
      <c r="CF249" s="69"/>
      <c r="CG249" s="69"/>
      <c r="CH249" s="69"/>
      <c r="CI249" s="69"/>
      <c r="CJ249" s="69"/>
      <c r="CK249" s="69"/>
      <c r="CL249" s="69"/>
      <c r="CM249" s="69"/>
      <c r="CN249" s="69"/>
      <c r="CO249" s="69"/>
      <c r="CP249" s="69"/>
      <c r="CQ249" s="69"/>
      <c r="CR249" s="69"/>
      <c r="CS249" s="69"/>
      <c r="CT249" s="69"/>
      <c r="CU249" s="69"/>
      <c r="CV249" s="69"/>
      <c r="CW249" s="69"/>
    </row>
    <row r="250" ht="15.75" customHeight="1">
      <c r="A250" s="69"/>
      <c r="B250" s="69"/>
      <c r="C250" s="69"/>
      <c r="D250" s="4"/>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69"/>
      <c r="BQ250" s="69"/>
      <c r="BR250" s="69"/>
      <c r="BS250" s="69"/>
      <c r="BT250" s="69"/>
      <c r="BU250" s="69"/>
      <c r="BV250" s="69"/>
      <c r="BW250" s="69"/>
      <c r="BX250" s="69"/>
      <c r="BY250" s="69"/>
      <c r="BZ250" s="69"/>
      <c r="CA250" s="69"/>
      <c r="CB250" s="69"/>
      <c r="CC250" s="69"/>
      <c r="CD250" s="69"/>
      <c r="CE250" s="69"/>
      <c r="CF250" s="69"/>
      <c r="CG250" s="69"/>
      <c r="CH250" s="69"/>
      <c r="CI250" s="69"/>
      <c r="CJ250" s="69"/>
      <c r="CK250" s="69"/>
      <c r="CL250" s="69"/>
      <c r="CM250" s="69"/>
      <c r="CN250" s="69"/>
      <c r="CO250" s="69"/>
      <c r="CP250" s="69"/>
      <c r="CQ250" s="69"/>
      <c r="CR250" s="69"/>
      <c r="CS250" s="69"/>
      <c r="CT250" s="69"/>
      <c r="CU250" s="69"/>
      <c r="CV250" s="69"/>
      <c r="CW250" s="69"/>
    </row>
    <row r="251" ht="15.75" customHeight="1">
      <c r="A251" s="69"/>
      <c r="B251" s="69"/>
      <c r="C251" s="69"/>
      <c r="D251" s="4"/>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69"/>
      <c r="BQ251" s="69"/>
      <c r="BR251" s="69"/>
      <c r="BS251" s="69"/>
      <c r="BT251" s="69"/>
      <c r="BU251" s="69"/>
      <c r="BV251" s="69"/>
      <c r="BW251" s="69"/>
      <c r="BX251" s="69"/>
      <c r="BY251" s="69"/>
      <c r="BZ251" s="69"/>
      <c r="CA251" s="69"/>
      <c r="CB251" s="69"/>
      <c r="CC251" s="69"/>
      <c r="CD251" s="69"/>
      <c r="CE251" s="69"/>
      <c r="CF251" s="69"/>
      <c r="CG251" s="69"/>
      <c r="CH251" s="69"/>
      <c r="CI251" s="69"/>
      <c r="CJ251" s="69"/>
      <c r="CK251" s="69"/>
      <c r="CL251" s="69"/>
      <c r="CM251" s="69"/>
      <c r="CN251" s="69"/>
      <c r="CO251" s="69"/>
      <c r="CP251" s="69"/>
      <c r="CQ251" s="69"/>
      <c r="CR251" s="69"/>
      <c r="CS251" s="69"/>
      <c r="CT251" s="69"/>
      <c r="CU251" s="69"/>
      <c r="CV251" s="69"/>
      <c r="CW251" s="69"/>
    </row>
    <row r="252" ht="15.75" customHeight="1">
      <c r="A252" s="69"/>
      <c r="B252" s="69"/>
      <c r="C252" s="69"/>
      <c r="D252" s="4"/>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69"/>
      <c r="BS252" s="69"/>
      <c r="BT252" s="69"/>
      <c r="BU252" s="69"/>
      <c r="BV252" s="69"/>
      <c r="BW252" s="69"/>
      <c r="BX252" s="69"/>
      <c r="BY252" s="69"/>
      <c r="BZ252" s="69"/>
      <c r="CA252" s="69"/>
      <c r="CB252" s="69"/>
      <c r="CC252" s="69"/>
      <c r="CD252" s="69"/>
      <c r="CE252" s="69"/>
      <c r="CF252" s="69"/>
      <c r="CG252" s="69"/>
      <c r="CH252" s="69"/>
      <c r="CI252" s="69"/>
      <c r="CJ252" s="69"/>
      <c r="CK252" s="69"/>
      <c r="CL252" s="69"/>
      <c r="CM252" s="69"/>
      <c r="CN252" s="69"/>
      <c r="CO252" s="69"/>
      <c r="CP252" s="69"/>
      <c r="CQ252" s="69"/>
      <c r="CR252" s="69"/>
      <c r="CS252" s="69"/>
      <c r="CT252" s="69"/>
      <c r="CU252" s="69"/>
      <c r="CV252" s="69"/>
      <c r="CW252" s="69"/>
    </row>
    <row r="253" ht="15.75" customHeight="1">
      <c r="A253" s="69"/>
      <c r="B253" s="69"/>
      <c r="C253" s="69"/>
      <c r="D253" s="4"/>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c r="BA253" s="69"/>
      <c r="BB253" s="69"/>
      <c r="BC253" s="69"/>
      <c r="BD253" s="69"/>
      <c r="BE253" s="69"/>
      <c r="BF253" s="69"/>
      <c r="BG253" s="69"/>
      <c r="BH253" s="69"/>
      <c r="BI253" s="69"/>
      <c r="BJ253" s="69"/>
      <c r="BK253" s="69"/>
      <c r="BL253" s="69"/>
      <c r="BM253" s="69"/>
      <c r="BN253" s="69"/>
      <c r="BO253" s="69"/>
      <c r="BP253" s="69"/>
      <c r="BQ253" s="69"/>
      <c r="BR253" s="69"/>
      <c r="BS253" s="69"/>
      <c r="BT253" s="69"/>
      <c r="BU253" s="69"/>
      <c r="BV253" s="69"/>
      <c r="BW253" s="69"/>
      <c r="BX253" s="69"/>
      <c r="BY253" s="69"/>
      <c r="BZ253" s="69"/>
      <c r="CA253" s="69"/>
      <c r="CB253" s="69"/>
      <c r="CC253" s="69"/>
      <c r="CD253" s="69"/>
      <c r="CE253" s="69"/>
      <c r="CF253" s="69"/>
      <c r="CG253" s="69"/>
      <c r="CH253" s="69"/>
      <c r="CI253" s="69"/>
      <c r="CJ253" s="69"/>
      <c r="CK253" s="69"/>
      <c r="CL253" s="69"/>
      <c r="CM253" s="69"/>
      <c r="CN253" s="69"/>
      <c r="CO253" s="69"/>
      <c r="CP253" s="69"/>
      <c r="CQ253" s="69"/>
      <c r="CR253" s="69"/>
      <c r="CS253" s="69"/>
      <c r="CT253" s="69"/>
      <c r="CU253" s="69"/>
      <c r="CV253" s="69"/>
      <c r="CW253" s="69"/>
    </row>
    <row r="254" ht="15.75" customHeight="1">
      <c r="A254" s="69"/>
      <c r="B254" s="69"/>
      <c r="C254" s="69"/>
      <c r="D254" s="4"/>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c r="BN254" s="69"/>
      <c r="BO254" s="69"/>
      <c r="BP254" s="69"/>
      <c r="BQ254" s="69"/>
      <c r="BR254" s="69"/>
      <c r="BS254" s="69"/>
      <c r="BT254" s="69"/>
      <c r="BU254" s="69"/>
      <c r="BV254" s="69"/>
      <c r="BW254" s="69"/>
      <c r="BX254" s="69"/>
      <c r="BY254" s="69"/>
      <c r="BZ254" s="69"/>
      <c r="CA254" s="69"/>
      <c r="CB254" s="69"/>
      <c r="CC254" s="69"/>
      <c r="CD254" s="69"/>
      <c r="CE254" s="69"/>
      <c r="CF254" s="69"/>
      <c r="CG254" s="69"/>
      <c r="CH254" s="69"/>
      <c r="CI254" s="69"/>
      <c r="CJ254" s="69"/>
      <c r="CK254" s="69"/>
      <c r="CL254" s="69"/>
      <c r="CM254" s="69"/>
      <c r="CN254" s="69"/>
      <c r="CO254" s="69"/>
      <c r="CP254" s="69"/>
      <c r="CQ254" s="69"/>
      <c r="CR254" s="69"/>
      <c r="CS254" s="69"/>
      <c r="CT254" s="69"/>
      <c r="CU254" s="69"/>
      <c r="CV254" s="69"/>
      <c r="CW254" s="69"/>
    </row>
    <row r="255" ht="15.75" customHeight="1">
      <c r="A255" s="69"/>
      <c r="B255" s="69"/>
      <c r="C255" s="69"/>
      <c r="D255" s="4"/>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c r="AZ255" s="69"/>
      <c r="BA255" s="69"/>
      <c r="BB255" s="69"/>
      <c r="BC255" s="69"/>
      <c r="BD255" s="69"/>
      <c r="BE255" s="69"/>
      <c r="BF255" s="69"/>
      <c r="BG255" s="69"/>
      <c r="BH255" s="69"/>
      <c r="BI255" s="69"/>
      <c r="BJ255" s="69"/>
      <c r="BK255" s="69"/>
      <c r="BL255" s="69"/>
      <c r="BM255" s="69"/>
      <c r="BN255" s="69"/>
      <c r="BO255" s="69"/>
      <c r="BP255" s="69"/>
      <c r="BQ255" s="69"/>
      <c r="BR255" s="69"/>
      <c r="BS255" s="69"/>
      <c r="BT255" s="69"/>
      <c r="BU255" s="69"/>
      <c r="BV255" s="69"/>
      <c r="BW255" s="69"/>
      <c r="BX255" s="69"/>
      <c r="BY255" s="69"/>
      <c r="BZ255" s="69"/>
      <c r="CA255" s="69"/>
      <c r="CB255" s="69"/>
      <c r="CC255" s="69"/>
      <c r="CD255" s="69"/>
      <c r="CE255" s="69"/>
      <c r="CF255" s="69"/>
      <c r="CG255" s="69"/>
      <c r="CH255" s="69"/>
      <c r="CI255" s="69"/>
      <c r="CJ255" s="69"/>
      <c r="CK255" s="69"/>
      <c r="CL255" s="69"/>
      <c r="CM255" s="69"/>
      <c r="CN255" s="69"/>
      <c r="CO255" s="69"/>
      <c r="CP255" s="69"/>
      <c r="CQ255" s="69"/>
      <c r="CR255" s="69"/>
      <c r="CS255" s="69"/>
      <c r="CT255" s="69"/>
      <c r="CU255" s="69"/>
      <c r="CV255" s="69"/>
      <c r="CW255" s="69"/>
    </row>
    <row r="256" ht="15.75" customHeight="1">
      <c r="A256" s="69"/>
      <c r="B256" s="69"/>
      <c r="C256" s="69"/>
      <c r="D256" s="4"/>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c r="BN256" s="69"/>
      <c r="BO256" s="69"/>
      <c r="BP256" s="69"/>
      <c r="BQ256" s="69"/>
      <c r="BR256" s="69"/>
      <c r="BS256" s="69"/>
      <c r="BT256" s="69"/>
      <c r="BU256" s="69"/>
      <c r="BV256" s="69"/>
      <c r="BW256" s="69"/>
      <c r="BX256" s="69"/>
      <c r="BY256" s="69"/>
      <c r="BZ256" s="69"/>
      <c r="CA256" s="69"/>
      <c r="CB256" s="69"/>
      <c r="CC256" s="69"/>
      <c r="CD256" s="69"/>
      <c r="CE256" s="69"/>
      <c r="CF256" s="69"/>
      <c r="CG256" s="69"/>
      <c r="CH256" s="69"/>
      <c r="CI256" s="69"/>
      <c r="CJ256" s="69"/>
      <c r="CK256" s="69"/>
      <c r="CL256" s="69"/>
      <c r="CM256" s="69"/>
      <c r="CN256" s="69"/>
      <c r="CO256" s="69"/>
      <c r="CP256" s="69"/>
      <c r="CQ256" s="69"/>
      <c r="CR256" s="69"/>
      <c r="CS256" s="69"/>
      <c r="CT256" s="69"/>
      <c r="CU256" s="69"/>
      <c r="CV256" s="69"/>
      <c r="CW256" s="69"/>
    </row>
    <row r="257" ht="15.75" customHeight="1">
      <c r="A257" s="69"/>
      <c r="B257" s="69"/>
      <c r="C257" s="69"/>
      <c r="D257" s="4"/>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c r="AZ257" s="69"/>
      <c r="BA257" s="69"/>
      <c r="BB257" s="69"/>
      <c r="BC257" s="69"/>
      <c r="BD257" s="69"/>
      <c r="BE257" s="69"/>
      <c r="BF257" s="69"/>
      <c r="BG257" s="69"/>
      <c r="BH257" s="69"/>
      <c r="BI257" s="69"/>
      <c r="BJ257" s="69"/>
      <c r="BK257" s="69"/>
      <c r="BL257" s="69"/>
      <c r="BM257" s="69"/>
      <c r="BN257" s="69"/>
      <c r="BO257" s="69"/>
      <c r="BP257" s="69"/>
      <c r="BQ257" s="69"/>
      <c r="BR257" s="69"/>
      <c r="BS257" s="69"/>
      <c r="BT257" s="69"/>
      <c r="BU257" s="69"/>
      <c r="BV257" s="69"/>
      <c r="BW257" s="69"/>
      <c r="BX257" s="69"/>
      <c r="BY257" s="69"/>
      <c r="BZ257" s="69"/>
      <c r="CA257" s="69"/>
      <c r="CB257" s="69"/>
      <c r="CC257" s="69"/>
      <c r="CD257" s="69"/>
      <c r="CE257" s="69"/>
      <c r="CF257" s="69"/>
      <c r="CG257" s="69"/>
      <c r="CH257" s="69"/>
      <c r="CI257" s="69"/>
      <c r="CJ257" s="69"/>
      <c r="CK257" s="69"/>
      <c r="CL257" s="69"/>
      <c r="CM257" s="69"/>
      <c r="CN257" s="69"/>
      <c r="CO257" s="69"/>
      <c r="CP257" s="69"/>
      <c r="CQ257" s="69"/>
      <c r="CR257" s="69"/>
      <c r="CS257" s="69"/>
      <c r="CT257" s="69"/>
      <c r="CU257" s="69"/>
      <c r="CV257" s="69"/>
      <c r="CW257" s="69"/>
    </row>
    <row r="258" ht="15.75" customHeight="1">
      <c r="A258" s="69"/>
      <c r="B258" s="69"/>
      <c r="C258" s="69"/>
      <c r="D258" s="4"/>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c r="BN258" s="69"/>
      <c r="BO258" s="69"/>
      <c r="BP258" s="69"/>
      <c r="BQ258" s="69"/>
      <c r="BR258" s="69"/>
      <c r="BS258" s="69"/>
      <c r="BT258" s="69"/>
      <c r="BU258" s="69"/>
      <c r="BV258" s="69"/>
      <c r="BW258" s="69"/>
      <c r="BX258" s="69"/>
      <c r="BY258" s="69"/>
      <c r="BZ258" s="69"/>
      <c r="CA258" s="69"/>
      <c r="CB258" s="69"/>
      <c r="CC258" s="69"/>
      <c r="CD258" s="69"/>
      <c r="CE258" s="69"/>
      <c r="CF258" s="69"/>
      <c r="CG258" s="69"/>
      <c r="CH258" s="69"/>
      <c r="CI258" s="69"/>
      <c r="CJ258" s="69"/>
      <c r="CK258" s="69"/>
      <c r="CL258" s="69"/>
      <c r="CM258" s="69"/>
      <c r="CN258" s="69"/>
      <c r="CO258" s="69"/>
      <c r="CP258" s="69"/>
      <c r="CQ258" s="69"/>
      <c r="CR258" s="69"/>
      <c r="CS258" s="69"/>
      <c r="CT258" s="69"/>
      <c r="CU258" s="69"/>
      <c r="CV258" s="69"/>
      <c r="CW258" s="69"/>
    </row>
    <row r="259" ht="15.75" customHeight="1">
      <c r="A259" s="69"/>
      <c r="B259" s="69"/>
      <c r="C259" s="69"/>
      <c r="D259" s="4"/>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c r="AZ259" s="69"/>
      <c r="BA259" s="69"/>
      <c r="BB259" s="69"/>
      <c r="BC259" s="69"/>
      <c r="BD259" s="69"/>
      <c r="BE259" s="69"/>
      <c r="BF259" s="69"/>
      <c r="BG259" s="69"/>
      <c r="BH259" s="69"/>
      <c r="BI259" s="69"/>
      <c r="BJ259" s="69"/>
      <c r="BK259" s="69"/>
      <c r="BL259" s="69"/>
      <c r="BM259" s="69"/>
      <c r="BN259" s="69"/>
      <c r="BO259" s="69"/>
      <c r="BP259" s="69"/>
      <c r="BQ259" s="69"/>
      <c r="BR259" s="69"/>
      <c r="BS259" s="69"/>
      <c r="BT259" s="69"/>
      <c r="BU259" s="69"/>
      <c r="BV259" s="69"/>
      <c r="BW259" s="69"/>
      <c r="BX259" s="69"/>
      <c r="BY259" s="69"/>
      <c r="BZ259" s="69"/>
      <c r="CA259" s="69"/>
      <c r="CB259" s="69"/>
      <c r="CC259" s="69"/>
      <c r="CD259" s="69"/>
      <c r="CE259" s="69"/>
      <c r="CF259" s="69"/>
      <c r="CG259" s="69"/>
      <c r="CH259" s="69"/>
      <c r="CI259" s="69"/>
      <c r="CJ259" s="69"/>
      <c r="CK259" s="69"/>
      <c r="CL259" s="69"/>
      <c r="CM259" s="69"/>
      <c r="CN259" s="69"/>
      <c r="CO259" s="69"/>
      <c r="CP259" s="69"/>
      <c r="CQ259" s="69"/>
      <c r="CR259" s="69"/>
      <c r="CS259" s="69"/>
      <c r="CT259" s="69"/>
      <c r="CU259" s="69"/>
      <c r="CV259" s="69"/>
      <c r="CW259" s="69"/>
    </row>
    <row r="260" ht="15.75" customHeight="1">
      <c r="A260" s="69"/>
      <c r="B260" s="69"/>
      <c r="C260" s="69"/>
      <c r="D260" s="4"/>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c r="BN260" s="69"/>
      <c r="BO260" s="69"/>
      <c r="BP260" s="69"/>
      <c r="BQ260" s="69"/>
      <c r="BR260" s="69"/>
      <c r="BS260" s="69"/>
      <c r="BT260" s="69"/>
      <c r="BU260" s="69"/>
      <c r="BV260" s="69"/>
      <c r="BW260" s="69"/>
      <c r="BX260" s="69"/>
      <c r="BY260" s="69"/>
      <c r="BZ260" s="69"/>
      <c r="CA260" s="69"/>
      <c r="CB260" s="69"/>
      <c r="CC260" s="69"/>
      <c r="CD260" s="69"/>
      <c r="CE260" s="69"/>
      <c r="CF260" s="69"/>
      <c r="CG260" s="69"/>
      <c r="CH260" s="69"/>
      <c r="CI260" s="69"/>
      <c r="CJ260" s="69"/>
      <c r="CK260" s="69"/>
      <c r="CL260" s="69"/>
      <c r="CM260" s="69"/>
      <c r="CN260" s="69"/>
      <c r="CO260" s="69"/>
      <c r="CP260" s="69"/>
      <c r="CQ260" s="69"/>
      <c r="CR260" s="69"/>
      <c r="CS260" s="69"/>
      <c r="CT260" s="69"/>
      <c r="CU260" s="69"/>
      <c r="CV260" s="69"/>
      <c r="CW260" s="69"/>
    </row>
    <row r="261" ht="15.75" customHeight="1">
      <c r="A261" s="69"/>
      <c r="B261" s="69"/>
      <c r="C261" s="69"/>
      <c r="D261" s="4"/>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c r="AZ261" s="69"/>
      <c r="BA261" s="69"/>
      <c r="BB261" s="69"/>
      <c r="BC261" s="69"/>
      <c r="BD261" s="69"/>
      <c r="BE261" s="69"/>
      <c r="BF261" s="69"/>
      <c r="BG261" s="69"/>
      <c r="BH261" s="69"/>
      <c r="BI261" s="69"/>
      <c r="BJ261" s="69"/>
      <c r="BK261" s="69"/>
      <c r="BL261" s="69"/>
      <c r="BM261" s="69"/>
      <c r="BN261" s="69"/>
      <c r="BO261" s="69"/>
      <c r="BP261" s="69"/>
      <c r="BQ261" s="69"/>
      <c r="BR261" s="69"/>
      <c r="BS261" s="69"/>
      <c r="BT261" s="69"/>
      <c r="BU261" s="69"/>
      <c r="BV261" s="69"/>
      <c r="BW261" s="69"/>
      <c r="BX261" s="69"/>
      <c r="BY261" s="69"/>
      <c r="BZ261" s="69"/>
      <c r="CA261" s="69"/>
      <c r="CB261" s="69"/>
      <c r="CC261" s="69"/>
      <c r="CD261" s="69"/>
      <c r="CE261" s="69"/>
      <c r="CF261" s="69"/>
      <c r="CG261" s="69"/>
      <c r="CH261" s="69"/>
      <c r="CI261" s="69"/>
      <c r="CJ261" s="69"/>
      <c r="CK261" s="69"/>
      <c r="CL261" s="69"/>
      <c r="CM261" s="69"/>
      <c r="CN261" s="69"/>
      <c r="CO261" s="69"/>
      <c r="CP261" s="69"/>
      <c r="CQ261" s="69"/>
      <c r="CR261" s="69"/>
      <c r="CS261" s="69"/>
      <c r="CT261" s="69"/>
      <c r="CU261" s="69"/>
      <c r="CV261" s="69"/>
      <c r="CW261" s="69"/>
    </row>
    <row r="262" ht="15.75" customHeight="1">
      <c r="A262" s="69"/>
      <c r="B262" s="69"/>
      <c r="C262" s="69"/>
      <c r="D262" s="4"/>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c r="BN262" s="69"/>
      <c r="BO262" s="69"/>
      <c r="BP262" s="69"/>
      <c r="BQ262" s="69"/>
      <c r="BR262" s="69"/>
      <c r="BS262" s="69"/>
      <c r="BT262" s="69"/>
      <c r="BU262" s="69"/>
      <c r="BV262" s="69"/>
      <c r="BW262" s="69"/>
      <c r="BX262" s="69"/>
      <c r="BY262" s="69"/>
      <c r="BZ262" s="69"/>
      <c r="CA262" s="69"/>
      <c r="CB262" s="69"/>
      <c r="CC262" s="69"/>
      <c r="CD262" s="69"/>
      <c r="CE262" s="69"/>
      <c r="CF262" s="69"/>
      <c r="CG262" s="69"/>
      <c r="CH262" s="69"/>
      <c r="CI262" s="69"/>
      <c r="CJ262" s="69"/>
      <c r="CK262" s="69"/>
      <c r="CL262" s="69"/>
      <c r="CM262" s="69"/>
      <c r="CN262" s="69"/>
      <c r="CO262" s="69"/>
      <c r="CP262" s="69"/>
      <c r="CQ262" s="69"/>
      <c r="CR262" s="69"/>
      <c r="CS262" s="69"/>
      <c r="CT262" s="69"/>
      <c r="CU262" s="69"/>
      <c r="CV262" s="69"/>
      <c r="CW262" s="69"/>
    </row>
    <row r="263" ht="15.75" customHeight="1">
      <c r="A263" s="69"/>
      <c r="B263" s="69"/>
      <c r="C263" s="69"/>
      <c r="D263" s="4"/>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c r="AZ263" s="69"/>
      <c r="BA263" s="69"/>
      <c r="BB263" s="69"/>
      <c r="BC263" s="69"/>
      <c r="BD263" s="69"/>
      <c r="BE263" s="69"/>
      <c r="BF263" s="69"/>
      <c r="BG263" s="69"/>
      <c r="BH263" s="69"/>
      <c r="BI263" s="69"/>
      <c r="BJ263" s="69"/>
      <c r="BK263" s="69"/>
      <c r="BL263" s="69"/>
      <c r="BM263" s="69"/>
      <c r="BN263" s="69"/>
      <c r="BO263" s="69"/>
      <c r="BP263" s="69"/>
      <c r="BQ263" s="69"/>
      <c r="BR263" s="69"/>
      <c r="BS263" s="69"/>
      <c r="BT263" s="69"/>
      <c r="BU263" s="69"/>
      <c r="BV263" s="69"/>
      <c r="BW263" s="69"/>
      <c r="BX263" s="69"/>
      <c r="BY263" s="69"/>
      <c r="BZ263" s="69"/>
      <c r="CA263" s="69"/>
      <c r="CB263" s="69"/>
      <c r="CC263" s="69"/>
      <c r="CD263" s="69"/>
      <c r="CE263" s="69"/>
      <c r="CF263" s="69"/>
      <c r="CG263" s="69"/>
      <c r="CH263" s="69"/>
      <c r="CI263" s="69"/>
      <c r="CJ263" s="69"/>
      <c r="CK263" s="69"/>
      <c r="CL263" s="69"/>
      <c r="CM263" s="69"/>
      <c r="CN263" s="69"/>
      <c r="CO263" s="69"/>
      <c r="CP263" s="69"/>
      <c r="CQ263" s="69"/>
      <c r="CR263" s="69"/>
      <c r="CS263" s="69"/>
      <c r="CT263" s="69"/>
      <c r="CU263" s="69"/>
      <c r="CV263" s="69"/>
      <c r="CW263" s="69"/>
    </row>
    <row r="264" ht="15.75" customHeight="1">
      <c r="A264" s="69"/>
      <c r="B264" s="69"/>
      <c r="C264" s="69"/>
      <c r="D264" s="4"/>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c r="BO264" s="69"/>
      <c r="BP264" s="69"/>
      <c r="BQ264" s="69"/>
      <c r="BR264" s="69"/>
      <c r="BS264" s="69"/>
      <c r="BT264" s="69"/>
      <c r="BU264" s="69"/>
      <c r="BV264" s="69"/>
      <c r="BW264" s="69"/>
      <c r="BX264" s="69"/>
      <c r="BY264" s="69"/>
      <c r="BZ264" s="69"/>
      <c r="CA264" s="69"/>
      <c r="CB264" s="69"/>
      <c r="CC264" s="69"/>
      <c r="CD264" s="69"/>
      <c r="CE264" s="69"/>
      <c r="CF264" s="69"/>
      <c r="CG264" s="69"/>
      <c r="CH264" s="69"/>
      <c r="CI264" s="69"/>
      <c r="CJ264" s="69"/>
      <c r="CK264" s="69"/>
      <c r="CL264" s="69"/>
      <c r="CM264" s="69"/>
      <c r="CN264" s="69"/>
      <c r="CO264" s="69"/>
      <c r="CP264" s="69"/>
      <c r="CQ264" s="69"/>
      <c r="CR264" s="69"/>
      <c r="CS264" s="69"/>
      <c r="CT264" s="69"/>
      <c r="CU264" s="69"/>
      <c r="CV264" s="69"/>
      <c r="CW264" s="69"/>
    </row>
    <row r="265" ht="15.75" customHeight="1">
      <c r="A265" s="69"/>
      <c r="B265" s="69"/>
      <c r="C265" s="69"/>
      <c r="D265" s="4"/>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c r="BO265" s="69"/>
      <c r="BP265" s="69"/>
      <c r="BQ265" s="69"/>
      <c r="BR265" s="69"/>
      <c r="BS265" s="69"/>
      <c r="BT265" s="69"/>
      <c r="BU265" s="69"/>
      <c r="BV265" s="69"/>
      <c r="BW265" s="69"/>
      <c r="BX265" s="69"/>
      <c r="BY265" s="69"/>
      <c r="BZ265" s="69"/>
      <c r="CA265" s="69"/>
      <c r="CB265" s="69"/>
      <c r="CC265" s="69"/>
      <c r="CD265" s="69"/>
      <c r="CE265" s="69"/>
      <c r="CF265" s="69"/>
      <c r="CG265" s="69"/>
      <c r="CH265" s="69"/>
      <c r="CI265" s="69"/>
      <c r="CJ265" s="69"/>
      <c r="CK265" s="69"/>
      <c r="CL265" s="69"/>
      <c r="CM265" s="69"/>
      <c r="CN265" s="69"/>
      <c r="CO265" s="69"/>
      <c r="CP265" s="69"/>
      <c r="CQ265" s="69"/>
      <c r="CR265" s="69"/>
      <c r="CS265" s="69"/>
      <c r="CT265" s="69"/>
      <c r="CU265" s="69"/>
      <c r="CV265" s="69"/>
      <c r="CW265" s="69"/>
    </row>
    <row r="266" ht="15.75" customHeight="1">
      <c r="A266" s="69"/>
      <c r="B266" s="69"/>
      <c r="C266" s="69"/>
      <c r="D266" s="4"/>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c r="BO266" s="69"/>
      <c r="BP266" s="69"/>
      <c r="BQ266" s="69"/>
      <c r="BR266" s="69"/>
      <c r="BS266" s="69"/>
      <c r="BT266" s="69"/>
      <c r="BU266" s="69"/>
      <c r="BV266" s="69"/>
      <c r="BW266" s="69"/>
      <c r="BX266" s="69"/>
      <c r="BY266" s="69"/>
      <c r="BZ266" s="69"/>
      <c r="CA266" s="69"/>
      <c r="CB266" s="69"/>
      <c r="CC266" s="69"/>
      <c r="CD266" s="69"/>
      <c r="CE266" s="69"/>
      <c r="CF266" s="69"/>
      <c r="CG266" s="69"/>
      <c r="CH266" s="69"/>
      <c r="CI266" s="69"/>
      <c r="CJ266" s="69"/>
      <c r="CK266" s="69"/>
      <c r="CL266" s="69"/>
      <c r="CM266" s="69"/>
      <c r="CN266" s="69"/>
      <c r="CO266" s="69"/>
      <c r="CP266" s="69"/>
      <c r="CQ266" s="69"/>
      <c r="CR266" s="69"/>
      <c r="CS266" s="69"/>
      <c r="CT266" s="69"/>
      <c r="CU266" s="69"/>
      <c r="CV266" s="69"/>
      <c r="CW266" s="69"/>
    </row>
    <row r="267" ht="15.75" customHeight="1">
      <c r="A267" s="69"/>
      <c r="B267" s="69"/>
      <c r="C267" s="69"/>
      <c r="D267" s="4"/>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c r="BO267" s="69"/>
      <c r="BP267" s="69"/>
      <c r="BQ267" s="69"/>
      <c r="BR267" s="69"/>
      <c r="BS267" s="69"/>
      <c r="BT267" s="69"/>
      <c r="BU267" s="69"/>
      <c r="BV267" s="69"/>
      <c r="BW267" s="69"/>
      <c r="BX267" s="69"/>
      <c r="BY267" s="69"/>
      <c r="BZ267" s="69"/>
      <c r="CA267" s="69"/>
      <c r="CB267" s="69"/>
      <c r="CC267" s="69"/>
      <c r="CD267" s="69"/>
      <c r="CE267" s="69"/>
      <c r="CF267" s="69"/>
      <c r="CG267" s="69"/>
      <c r="CH267" s="69"/>
      <c r="CI267" s="69"/>
      <c r="CJ267" s="69"/>
      <c r="CK267" s="69"/>
      <c r="CL267" s="69"/>
      <c r="CM267" s="69"/>
      <c r="CN267" s="69"/>
      <c r="CO267" s="69"/>
      <c r="CP267" s="69"/>
      <c r="CQ267" s="69"/>
      <c r="CR267" s="69"/>
      <c r="CS267" s="69"/>
      <c r="CT267" s="69"/>
      <c r="CU267" s="69"/>
      <c r="CV267" s="69"/>
      <c r="CW267" s="69"/>
    </row>
    <row r="268" ht="15.75" customHeight="1">
      <c r="A268" s="69"/>
      <c r="B268" s="69"/>
      <c r="C268" s="69"/>
      <c r="D268" s="4"/>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c r="BO268" s="69"/>
      <c r="BP268" s="69"/>
      <c r="BQ268" s="69"/>
      <c r="BR268" s="69"/>
      <c r="BS268" s="69"/>
      <c r="BT268" s="69"/>
      <c r="BU268" s="69"/>
      <c r="BV268" s="69"/>
      <c r="BW268" s="69"/>
      <c r="BX268" s="69"/>
      <c r="BY268" s="69"/>
      <c r="BZ268" s="69"/>
      <c r="CA268" s="69"/>
      <c r="CB268" s="69"/>
      <c r="CC268" s="69"/>
      <c r="CD268" s="69"/>
      <c r="CE268" s="69"/>
      <c r="CF268" s="69"/>
      <c r="CG268" s="69"/>
      <c r="CH268" s="69"/>
      <c r="CI268" s="69"/>
      <c r="CJ268" s="69"/>
      <c r="CK268" s="69"/>
      <c r="CL268" s="69"/>
      <c r="CM268" s="69"/>
      <c r="CN268" s="69"/>
      <c r="CO268" s="69"/>
      <c r="CP268" s="69"/>
      <c r="CQ268" s="69"/>
      <c r="CR268" s="69"/>
      <c r="CS268" s="69"/>
      <c r="CT268" s="69"/>
      <c r="CU268" s="69"/>
      <c r="CV268" s="69"/>
      <c r="CW268" s="69"/>
    </row>
    <row r="269" ht="15.75" customHeight="1">
      <c r="A269" s="69"/>
      <c r="B269" s="69"/>
      <c r="C269" s="69"/>
      <c r="D269" s="4"/>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c r="AZ269" s="69"/>
      <c r="BA269" s="69"/>
      <c r="BB269" s="69"/>
      <c r="BC269" s="69"/>
      <c r="BD269" s="69"/>
      <c r="BE269" s="69"/>
      <c r="BF269" s="69"/>
      <c r="BG269" s="69"/>
      <c r="BH269" s="69"/>
      <c r="BI269" s="69"/>
      <c r="BJ269" s="69"/>
      <c r="BK269" s="69"/>
      <c r="BL269" s="69"/>
      <c r="BM269" s="69"/>
      <c r="BN269" s="69"/>
      <c r="BO269" s="69"/>
      <c r="BP269" s="69"/>
      <c r="BQ269" s="69"/>
      <c r="BR269" s="69"/>
      <c r="BS269" s="69"/>
      <c r="BT269" s="69"/>
      <c r="BU269" s="69"/>
      <c r="BV269" s="69"/>
      <c r="BW269" s="69"/>
      <c r="BX269" s="69"/>
      <c r="BY269" s="69"/>
      <c r="BZ269" s="69"/>
      <c r="CA269" s="69"/>
      <c r="CB269" s="69"/>
      <c r="CC269" s="69"/>
      <c r="CD269" s="69"/>
      <c r="CE269" s="69"/>
      <c r="CF269" s="69"/>
      <c r="CG269" s="69"/>
      <c r="CH269" s="69"/>
      <c r="CI269" s="69"/>
      <c r="CJ269" s="69"/>
      <c r="CK269" s="69"/>
      <c r="CL269" s="69"/>
      <c r="CM269" s="69"/>
      <c r="CN269" s="69"/>
      <c r="CO269" s="69"/>
      <c r="CP269" s="69"/>
      <c r="CQ269" s="69"/>
      <c r="CR269" s="69"/>
      <c r="CS269" s="69"/>
      <c r="CT269" s="69"/>
      <c r="CU269" s="69"/>
      <c r="CV269" s="69"/>
      <c r="CW269" s="69"/>
    </row>
    <row r="270" ht="15.75" customHeight="1">
      <c r="A270" s="69"/>
      <c r="B270" s="69"/>
      <c r="C270" s="69"/>
      <c r="D270" s="4"/>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c r="BN270" s="69"/>
      <c r="BO270" s="69"/>
      <c r="BP270" s="69"/>
      <c r="BQ270" s="69"/>
      <c r="BR270" s="69"/>
      <c r="BS270" s="69"/>
      <c r="BT270" s="69"/>
      <c r="BU270" s="69"/>
      <c r="BV270" s="69"/>
      <c r="BW270" s="69"/>
      <c r="BX270" s="69"/>
      <c r="BY270" s="69"/>
      <c r="BZ270" s="69"/>
      <c r="CA270" s="69"/>
      <c r="CB270" s="69"/>
      <c r="CC270" s="69"/>
      <c r="CD270" s="69"/>
      <c r="CE270" s="69"/>
      <c r="CF270" s="69"/>
      <c r="CG270" s="69"/>
      <c r="CH270" s="69"/>
      <c r="CI270" s="69"/>
      <c r="CJ270" s="69"/>
      <c r="CK270" s="69"/>
      <c r="CL270" s="69"/>
      <c r="CM270" s="69"/>
      <c r="CN270" s="69"/>
      <c r="CO270" s="69"/>
      <c r="CP270" s="69"/>
      <c r="CQ270" s="69"/>
      <c r="CR270" s="69"/>
      <c r="CS270" s="69"/>
      <c r="CT270" s="69"/>
      <c r="CU270" s="69"/>
      <c r="CV270" s="69"/>
      <c r="CW270" s="69"/>
    </row>
    <row r="271" ht="15.75" customHeight="1">
      <c r="A271" s="69"/>
      <c r="B271" s="69"/>
      <c r="C271" s="69"/>
      <c r="D271" s="4"/>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c r="AZ271" s="69"/>
      <c r="BA271" s="69"/>
      <c r="BB271" s="69"/>
      <c r="BC271" s="69"/>
      <c r="BD271" s="69"/>
      <c r="BE271" s="69"/>
      <c r="BF271" s="69"/>
      <c r="BG271" s="69"/>
      <c r="BH271" s="69"/>
      <c r="BI271" s="69"/>
      <c r="BJ271" s="69"/>
      <c r="BK271" s="69"/>
      <c r="BL271" s="69"/>
      <c r="BM271" s="69"/>
      <c r="BN271" s="69"/>
      <c r="BO271" s="69"/>
      <c r="BP271" s="69"/>
      <c r="BQ271" s="69"/>
      <c r="BR271" s="69"/>
      <c r="BS271" s="69"/>
      <c r="BT271" s="69"/>
      <c r="BU271" s="69"/>
      <c r="BV271" s="69"/>
      <c r="BW271" s="69"/>
      <c r="BX271" s="69"/>
      <c r="BY271" s="69"/>
      <c r="BZ271" s="69"/>
      <c r="CA271" s="69"/>
      <c r="CB271" s="69"/>
      <c r="CC271" s="69"/>
      <c r="CD271" s="69"/>
      <c r="CE271" s="69"/>
      <c r="CF271" s="69"/>
      <c r="CG271" s="69"/>
      <c r="CH271" s="69"/>
      <c r="CI271" s="69"/>
      <c r="CJ271" s="69"/>
      <c r="CK271" s="69"/>
      <c r="CL271" s="69"/>
      <c r="CM271" s="69"/>
      <c r="CN271" s="69"/>
      <c r="CO271" s="69"/>
      <c r="CP271" s="69"/>
      <c r="CQ271" s="69"/>
      <c r="CR271" s="69"/>
      <c r="CS271" s="69"/>
      <c r="CT271" s="69"/>
      <c r="CU271" s="69"/>
      <c r="CV271" s="69"/>
      <c r="CW271" s="69"/>
    </row>
    <row r="272" ht="15.75" customHeight="1">
      <c r="A272" s="69"/>
      <c r="B272" s="69"/>
      <c r="C272" s="69"/>
      <c r="D272" s="4"/>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69"/>
      <c r="BS272" s="69"/>
      <c r="BT272" s="69"/>
      <c r="BU272" s="69"/>
      <c r="BV272" s="69"/>
      <c r="BW272" s="69"/>
      <c r="BX272" s="69"/>
      <c r="BY272" s="69"/>
      <c r="BZ272" s="69"/>
      <c r="CA272" s="69"/>
      <c r="CB272" s="69"/>
      <c r="CC272" s="69"/>
      <c r="CD272" s="69"/>
      <c r="CE272" s="69"/>
      <c r="CF272" s="69"/>
      <c r="CG272" s="69"/>
      <c r="CH272" s="69"/>
      <c r="CI272" s="69"/>
      <c r="CJ272" s="69"/>
      <c r="CK272" s="69"/>
      <c r="CL272" s="69"/>
      <c r="CM272" s="69"/>
      <c r="CN272" s="69"/>
      <c r="CO272" s="69"/>
      <c r="CP272" s="69"/>
      <c r="CQ272" s="69"/>
      <c r="CR272" s="69"/>
      <c r="CS272" s="69"/>
      <c r="CT272" s="69"/>
      <c r="CU272" s="69"/>
      <c r="CV272" s="69"/>
      <c r="CW272" s="69"/>
    </row>
  </sheetData>
  <mergeCells count="8">
    <mergeCell ref="A1:B2"/>
    <mergeCell ref="A3:B3"/>
    <mergeCell ref="A4:B4"/>
    <mergeCell ref="A6:H6"/>
    <mergeCell ref="A62:C62"/>
    <mergeCell ref="A63:H63"/>
    <mergeCell ref="A64:H64"/>
    <mergeCell ref="A72:C72"/>
  </mergeCell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71"/>
    <col customWidth="1" min="2" max="2" width="51.29"/>
    <col customWidth="1" min="3" max="3" width="11.71"/>
    <col customWidth="1" min="4" max="4" width="12.0"/>
    <col customWidth="1" min="5" max="105" width="12.71"/>
  </cols>
  <sheetData>
    <row r="1" ht="15.0" customHeight="1">
      <c r="A1" s="1" t="s">
        <v>172</v>
      </c>
      <c r="C1" s="3"/>
      <c r="D1" s="3"/>
      <c r="E1" s="3"/>
      <c r="F1" s="3"/>
      <c r="G1" s="3"/>
      <c r="H1" s="3"/>
      <c r="I1" s="3"/>
      <c r="J1" s="3"/>
      <c r="K1" s="3"/>
      <c r="L1" s="3"/>
      <c r="M1" s="3"/>
      <c r="N1" s="3"/>
      <c r="O1" s="3"/>
      <c r="P1" s="3"/>
      <c r="Q1" s="3"/>
      <c r="R1" s="3"/>
      <c r="S1" s="3"/>
      <c r="T1" s="3"/>
      <c r="U1" s="3"/>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row>
    <row r="2">
      <c r="C2" s="3"/>
      <c r="D2" s="3"/>
      <c r="E2" s="3"/>
      <c r="F2" s="3"/>
      <c r="G2" s="3"/>
      <c r="H2" s="3"/>
      <c r="I2" s="3"/>
      <c r="J2" s="3"/>
      <c r="K2" s="3"/>
      <c r="L2" s="3"/>
      <c r="M2" s="3"/>
      <c r="N2" s="3"/>
      <c r="O2" s="3"/>
      <c r="P2" s="3"/>
      <c r="Q2" s="3"/>
      <c r="R2" s="3"/>
      <c r="S2" s="3"/>
      <c r="T2" s="3"/>
      <c r="U2" s="3"/>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row>
    <row r="3">
      <c r="A3" s="7" t="s">
        <v>173</v>
      </c>
      <c r="C3" s="3"/>
      <c r="D3" s="3"/>
      <c r="E3" s="3"/>
      <c r="F3" s="3"/>
      <c r="G3" s="8"/>
      <c r="H3" s="8"/>
      <c r="I3" s="8"/>
      <c r="J3" s="8"/>
      <c r="K3" s="8"/>
      <c r="L3" s="8"/>
      <c r="M3" s="8"/>
      <c r="N3" s="8"/>
      <c r="O3" s="8"/>
      <c r="P3" s="8"/>
      <c r="Q3" s="8"/>
      <c r="R3" s="8"/>
      <c r="S3" s="8"/>
      <c r="T3" s="8"/>
      <c r="U3" s="8"/>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row>
    <row r="4">
      <c r="A4" s="7" t="s">
        <v>5</v>
      </c>
      <c r="C4" s="3"/>
      <c r="D4" s="3"/>
      <c r="E4" s="3"/>
      <c r="F4" s="3"/>
      <c r="G4" s="8"/>
      <c r="H4" s="8"/>
      <c r="I4" s="8"/>
      <c r="J4" s="8"/>
      <c r="K4" s="8"/>
      <c r="L4" s="8"/>
      <c r="M4" s="8"/>
      <c r="N4" s="8"/>
      <c r="O4" s="8"/>
      <c r="P4" s="8"/>
      <c r="Q4" s="8"/>
      <c r="R4" s="8"/>
      <c r="S4" s="8"/>
      <c r="T4" s="8"/>
      <c r="U4" s="8"/>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row>
    <row r="5">
      <c r="A5" s="7"/>
      <c r="B5" s="4"/>
      <c r="C5" s="9"/>
      <c r="D5" s="8"/>
      <c r="E5" s="8"/>
      <c r="F5" s="8"/>
      <c r="G5" s="8"/>
      <c r="H5" s="8"/>
      <c r="I5" s="8"/>
      <c r="J5" s="8"/>
      <c r="K5" s="8"/>
      <c r="L5" s="8"/>
      <c r="M5" s="8"/>
      <c r="N5" s="8"/>
      <c r="O5" s="8"/>
      <c r="P5" s="8"/>
      <c r="Q5" s="8"/>
      <c r="R5" s="8"/>
      <c r="S5" s="8"/>
      <c r="T5" s="8"/>
      <c r="U5" s="8"/>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row>
    <row r="6">
      <c r="A6" s="118" t="s">
        <v>174</v>
      </c>
      <c r="B6" s="67"/>
      <c r="C6" s="67"/>
      <c r="D6" s="67"/>
      <c r="E6" s="67"/>
      <c r="F6" s="67"/>
      <c r="G6" s="67"/>
      <c r="H6" s="68"/>
      <c r="I6" s="94"/>
      <c r="J6" s="94"/>
      <c r="K6" s="94"/>
      <c r="L6" s="94"/>
      <c r="M6" s="94"/>
      <c r="N6" s="94"/>
      <c r="O6" s="94"/>
      <c r="P6" s="94"/>
      <c r="Q6" s="94"/>
      <c r="R6" s="94"/>
      <c r="S6" s="94"/>
      <c r="T6" s="94"/>
      <c r="U6" s="94"/>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c r="CV6" s="69"/>
      <c r="CW6" s="69"/>
      <c r="CX6" s="69"/>
      <c r="CY6" s="69"/>
      <c r="CZ6" s="69"/>
      <c r="DA6" s="69"/>
      <c r="DB6" s="69"/>
      <c r="DC6" s="69"/>
      <c r="DD6" s="69"/>
      <c r="DE6" s="69"/>
      <c r="DF6" s="69"/>
      <c r="DG6" s="69"/>
      <c r="DH6" s="69"/>
      <c r="DI6" s="69"/>
      <c r="DJ6" s="69"/>
      <c r="DK6" s="69"/>
      <c r="DL6" s="69"/>
      <c r="DM6" s="69"/>
      <c r="DN6" s="69"/>
      <c r="DO6" s="69"/>
      <c r="DP6" s="69"/>
      <c r="DQ6" s="69"/>
      <c r="DR6" s="69"/>
      <c r="DS6" s="69"/>
      <c r="DT6" s="69"/>
      <c r="DU6" s="69"/>
    </row>
    <row r="7">
      <c r="A7" s="95" t="s">
        <v>6</v>
      </c>
      <c r="B7" s="96" t="s">
        <v>7</v>
      </c>
      <c r="C7" s="97" t="s">
        <v>8</v>
      </c>
      <c r="D7" s="96" t="s">
        <v>9</v>
      </c>
      <c r="E7" s="96" t="s">
        <v>10</v>
      </c>
      <c r="F7" s="96" t="s">
        <v>11</v>
      </c>
      <c r="G7" s="96" t="s">
        <v>12</v>
      </c>
      <c r="H7" s="96" t="s">
        <v>13</v>
      </c>
      <c r="I7" s="98">
        <v>44123.0</v>
      </c>
      <c r="J7" s="98">
        <v>44120.0</v>
      </c>
      <c r="K7" s="98">
        <v>44119.0</v>
      </c>
      <c r="L7" s="98">
        <v>44118.0</v>
      </c>
      <c r="M7" s="98">
        <v>44117.0</v>
      </c>
      <c r="N7" s="98">
        <v>44116.0</v>
      </c>
      <c r="O7" s="98">
        <v>44114.0</v>
      </c>
      <c r="P7" s="98">
        <v>44113.0</v>
      </c>
      <c r="Q7" s="98">
        <v>44112.0</v>
      </c>
      <c r="R7" s="98">
        <v>44111.0</v>
      </c>
      <c r="S7" s="98">
        <v>44110.0</v>
      </c>
      <c r="T7" s="98">
        <v>44109.0</v>
      </c>
      <c r="U7" s="98">
        <v>44105.0</v>
      </c>
      <c r="V7" s="98">
        <v>44104.0</v>
      </c>
      <c r="W7" s="98">
        <v>44103.0</v>
      </c>
      <c r="X7" s="98">
        <v>44102.0</v>
      </c>
      <c r="Y7" s="98">
        <v>44100.0</v>
      </c>
      <c r="Z7" s="98">
        <v>44099.0</v>
      </c>
      <c r="AA7" s="98">
        <v>44098.0</v>
      </c>
      <c r="AB7" s="98">
        <v>44097.0</v>
      </c>
      <c r="AC7" s="98">
        <v>44096.0</v>
      </c>
      <c r="AD7" s="98">
        <v>44095.0</v>
      </c>
      <c r="AE7" s="98">
        <v>44092.0</v>
      </c>
      <c r="AF7" s="98">
        <v>44091.0</v>
      </c>
      <c r="AG7" s="98">
        <v>44090.0</v>
      </c>
      <c r="AH7" s="98">
        <v>44089.0</v>
      </c>
      <c r="AI7" s="98">
        <v>44088.0</v>
      </c>
      <c r="AJ7" s="98">
        <v>44086.0</v>
      </c>
      <c r="AK7" s="98">
        <v>44085.0</v>
      </c>
      <c r="AL7" s="98">
        <v>44084.0</v>
      </c>
      <c r="AM7" s="98">
        <v>44083.0</v>
      </c>
      <c r="AN7" s="98">
        <v>44082.0</v>
      </c>
      <c r="AO7" s="98">
        <v>44081.0</v>
      </c>
      <c r="AP7" s="98">
        <v>44079.0</v>
      </c>
      <c r="AQ7" s="98">
        <v>44078.0</v>
      </c>
      <c r="AR7" s="98">
        <v>44077.0</v>
      </c>
      <c r="AS7" s="98">
        <v>44076.0</v>
      </c>
      <c r="AT7" s="98">
        <v>44071.0</v>
      </c>
      <c r="AU7" s="98">
        <v>44070.0</v>
      </c>
      <c r="AV7" s="98">
        <v>44069.0</v>
      </c>
      <c r="AW7" s="98">
        <v>44068.0</v>
      </c>
      <c r="AX7" s="98">
        <v>44067.0</v>
      </c>
      <c r="AY7" s="98">
        <v>44065.0</v>
      </c>
      <c r="AZ7" s="98">
        <v>44064.0</v>
      </c>
      <c r="BA7" s="98">
        <v>44063.0</v>
      </c>
      <c r="BB7" s="98">
        <v>44062.0</v>
      </c>
      <c r="BC7" s="98">
        <v>44061.0</v>
      </c>
      <c r="BD7" s="98">
        <v>44060.0</v>
      </c>
      <c r="BE7" s="98">
        <v>44057.0</v>
      </c>
      <c r="BF7" s="98">
        <v>44056.0</v>
      </c>
      <c r="BG7" s="98">
        <v>44055.0</v>
      </c>
      <c r="BH7" s="98">
        <v>44054.0</v>
      </c>
      <c r="BI7" s="98">
        <v>44053.0</v>
      </c>
      <c r="BJ7" s="98">
        <v>44051.0</v>
      </c>
      <c r="BK7" s="98">
        <v>44050.0</v>
      </c>
      <c r="BL7" s="98">
        <v>44049.0</v>
      </c>
      <c r="BM7" s="98">
        <v>44048.0</v>
      </c>
      <c r="BN7" s="98">
        <v>44047.0</v>
      </c>
      <c r="BO7" s="98">
        <v>44045.0</v>
      </c>
      <c r="BP7" s="98">
        <v>44046.0</v>
      </c>
      <c r="BQ7" s="98">
        <v>44043.0</v>
      </c>
      <c r="BR7" s="98">
        <v>44042.0</v>
      </c>
      <c r="BS7" s="98">
        <v>44041.0</v>
      </c>
      <c r="BT7" s="98">
        <v>44040.0</v>
      </c>
      <c r="BU7" s="98">
        <v>44039.0</v>
      </c>
      <c r="BV7" s="98">
        <v>44037.0</v>
      </c>
      <c r="BW7" s="98">
        <v>44036.0</v>
      </c>
      <c r="BX7" s="98">
        <v>44035.0</v>
      </c>
      <c r="BY7" s="98">
        <v>44034.0</v>
      </c>
      <c r="BZ7" s="98">
        <v>44033.0</v>
      </c>
      <c r="CA7" s="98">
        <v>44032.0</v>
      </c>
      <c r="CB7" s="98">
        <v>44029.0</v>
      </c>
      <c r="CC7" s="98">
        <v>44028.0</v>
      </c>
      <c r="CD7" s="98">
        <v>44027.0</v>
      </c>
      <c r="CE7" s="98">
        <v>44026.0</v>
      </c>
      <c r="CF7" s="98">
        <v>44025.0</v>
      </c>
      <c r="CG7" s="98">
        <v>44023.0</v>
      </c>
      <c r="CH7" s="98">
        <v>44022.0</v>
      </c>
      <c r="CI7" s="98">
        <v>44021.0</v>
      </c>
      <c r="CJ7" s="98">
        <v>44020.0</v>
      </c>
      <c r="CK7" s="98">
        <v>44019.0</v>
      </c>
      <c r="CL7" s="98">
        <v>44018.0</v>
      </c>
      <c r="CM7" s="98">
        <v>44015.0</v>
      </c>
      <c r="CN7" s="98">
        <v>44014.0</v>
      </c>
      <c r="CO7" s="98">
        <v>44013.0</v>
      </c>
      <c r="CP7" s="98">
        <v>44012.0</v>
      </c>
      <c r="CQ7" s="98">
        <v>44011.0</v>
      </c>
      <c r="CR7" s="98">
        <v>44009.0</v>
      </c>
      <c r="CS7" s="98">
        <v>44008.0</v>
      </c>
      <c r="CT7" s="98">
        <v>44007.0</v>
      </c>
      <c r="CU7" s="98">
        <v>44006.0</v>
      </c>
      <c r="CV7" s="98">
        <v>44005.0</v>
      </c>
      <c r="CW7" s="98">
        <v>44004.0</v>
      </c>
      <c r="CX7" s="98">
        <v>44001.0</v>
      </c>
      <c r="CY7" s="98">
        <v>44000.0</v>
      </c>
      <c r="CZ7" s="98">
        <v>43999.0</v>
      </c>
      <c r="DA7" s="98">
        <v>43998.0</v>
      </c>
      <c r="DB7" s="3"/>
      <c r="DC7" s="3"/>
      <c r="DD7" s="3"/>
      <c r="DE7" s="3"/>
      <c r="DF7" s="3"/>
      <c r="DG7" s="3"/>
      <c r="DH7" s="3"/>
      <c r="DI7" s="3"/>
      <c r="DJ7" s="3"/>
      <c r="DK7" s="3"/>
      <c r="DL7" s="3"/>
      <c r="DM7" s="3"/>
      <c r="DN7" s="3"/>
      <c r="DO7" s="3"/>
      <c r="DP7" s="3"/>
      <c r="DQ7" s="3"/>
      <c r="DR7" s="3"/>
      <c r="DS7" s="3"/>
      <c r="DT7" s="3"/>
      <c r="DU7" s="3"/>
    </row>
    <row r="8" ht="15.0" customHeight="1">
      <c r="A8" s="99">
        <v>1.0</v>
      </c>
      <c r="B8" s="106" t="s">
        <v>175</v>
      </c>
      <c r="C8" s="101" t="s">
        <v>86</v>
      </c>
      <c r="D8" s="102" t="s">
        <v>51</v>
      </c>
      <c r="E8" s="102">
        <v>8.0</v>
      </c>
      <c r="F8" s="102">
        <v>9.0</v>
      </c>
      <c r="G8" s="6">
        <v>43998.0</v>
      </c>
      <c r="H8" s="6">
        <v>43998.0</v>
      </c>
      <c r="I8" s="103">
        <v>1.0</v>
      </c>
      <c r="J8" s="103">
        <v>1.0</v>
      </c>
      <c r="K8" s="103">
        <v>1.0</v>
      </c>
      <c r="L8" s="103">
        <v>1.0</v>
      </c>
      <c r="M8" s="103">
        <v>1.0</v>
      </c>
      <c r="N8" s="103">
        <v>1.0</v>
      </c>
      <c r="O8" s="103">
        <v>1.0</v>
      </c>
      <c r="P8" s="103">
        <v>1.0</v>
      </c>
      <c r="Q8" s="103">
        <v>1.0</v>
      </c>
      <c r="R8" s="103">
        <v>1.0</v>
      </c>
      <c r="S8" s="103">
        <v>1.0</v>
      </c>
      <c r="T8" s="103">
        <v>1.0</v>
      </c>
      <c r="U8" s="103">
        <v>1.0</v>
      </c>
      <c r="V8" s="103">
        <v>1.0</v>
      </c>
      <c r="W8" s="103">
        <v>1.0</v>
      </c>
      <c r="X8" s="103">
        <v>1.0</v>
      </c>
      <c r="Y8" s="103">
        <v>1.0</v>
      </c>
      <c r="Z8" s="103">
        <v>1.0</v>
      </c>
      <c r="AA8" s="103">
        <v>1.0</v>
      </c>
      <c r="AB8" s="103">
        <v>1.0</v>
      </c>
      <c r="AC8" s="103">
        <v>1.0</v>
      </c>
      <c r="AD8" s="103">
        <v>1.0</v>
      </c>
      <c r="AE8" s="103">
        <v>1.0</v>
      </c>
      <c r="AF8" s="103">
        <v>1.0</v>
      </c>
      <c r="AG8" s="103">
        <v>1.0</v>
      </c>
      <c r="AH8" s="103">
        <v>1.0</v>
      </c>
      <c r="AI8" s="103">
        <v>1.0</v>
      </c>
      <c r="AJ8" s="103">
        <v>1.0</v>
      </c>
      <c r="AK8" s="103">
        <v>1.0</v>
      </c>
      <c r="AL8" s="103">
        <v>1.0</v>
      </c>
      <c r="AM8" s="103">
        <v>1.0</v>
      </c>
      <c r="AN8" s="103">
        <v>1.0</v>
      </c>
      <c r="AO8" s="103">
        <v>1.0</v>
      </c>
      <c r="AP8" s="103">
        <v>1.0</v>
      </c>
      <c r="AQ8" s="103">
        <v>1.0</v>
      </c>
      <c r="AR8" s="103">
        <v>1.0</v>
      </c>
      <c r="AS8" s="103">
        <v>1.0</v>
      </c>
      <c r="AT8" s="103">
        <v>1.0</v>
      </c>
      <c r="AU8" s="103">
        <v>1.0</v>
      </c>
      <c r="AV8" s="103">
        <v>1.0</v>
      </c>
      <c r="AW8" s="103">
        <v>1.0</v>
      </c>
      <c r="AX8" s="103">
        <v>1.0</v>
      </c>
      <c r="AY8" s="103">
        <v>1.0</v>
      </c>
      <c r="AZ8" s="103">
        <v>1.0</v>
      </c>
      <c r="BA8" s="103">
        <v>1.0</v>
      </c>
      <c r="BB8" s="103">
        <v>1.0</v>
      </c>
      <c r="BC8" s="103">
        <v>1.0</v>
      </c>
      <c r="BD8" s="103">
        <v>1.0</v>
      </c>
      <c r="BE8" s="103">
        <v>1.0</v>
      </c>
      <c r="BF8" s="103">
        <v>1.0</v>
      </c>
      <c r="BG8" s="103">
        <v>1.0</v>
      </c>
      <c r="BH8" s="103">
        <v>1.0</v>
      </c>
      <c r="BI8" s="103">
        <v>1.0</v>
      </c>
      <c r="BJ8" s="103">
        <v>1.0</v>
      </c>
      <c r="BK8" s="103">
        <v>1.0</v>
      </c>
      <c r="BL8" s="103">
        <v>1.0</v>
      </c>
      <c r="BM8" s="103">
        <v>1.0</v>
      </c>
      <c r="BN8" s="103">
        <v>1.0</v>
      </c>
      <c r="BO8" s="103">
        <v>1.0</v>
      </c>
      <c r="BP8" s="103">
        <v>1.0</v>
      </c>
      <c r="BQ8" s="103">
        <v>1.0</v>
      </c>
      <c r="BR8" s="103">
        <v>1.0</v>
      </c>
      <c r="BS8" s="103">
        <v>1.0</v>
      </c>
      <c r="BT8" s="103">
        <v>1.0</v>
      </c>
      <c r="BU8" s="103">
        <v>1.0</v>
      </c>
      <c r="BV8" s="103">
        <v>1.0</v>
      </c>
      <c r="BW8" s="103">
        <v>1.0</v>
      </c>
      <c r="BX8" s="103">
        <v>1.0</v>
      </c>
      <c r="BY8" s="103">
        <v>1.0</v>
      </c>
      <c r="BZ8" s="103">
        <v>1.0</v>
      </c>
      <c r="CA8" s="103">
        <v>1.0</v>
      </c>
      <c r="CB8" s="103">
        <v>1.0</v>
      </c>
      <c r="CC8" s="103">
        <v>1.0</v>
      </c>
      <c r="CD8" s="103">
        <v>1.0</v>
      </c>
      <c r="CE8" s="103">
        <v>1.0</v>
      </c>
      <c r="CF8" s="103">
        <v>1.0</v>
      </c>
      <c r="CG8" s="103">
        <v>1.0</v>
      </c>
      <c r="CH8" s="103">
        <v>1.0</v>
      </c>
      <c r="CI8" s="103">
        <v>1.0</v>
      </c>
      <c r="CJ8" s="103">
        <v>1.0</v>
      </c>
      <c r="CK8" s="103">
        <v>1.0</v>
      </c>
      <c r="CL8" s="103">
        <v>1.0</v>
      </c>
      <c r="CM8" s="103">
        <v>1.0</v>
      </c>
      <c r="CN8" s="103">
        <v>1.0</v>
      </c>
      <c r="CO8" s="103">
        <v>1.0</v>
      </c>
      <c r="CP8" s="103">
        <v>1.0</v>
      </c>
      <c r="CQ8" s="103">
        <v>1.0</v>
      </c>
      <c r="CR8" s="103">
        <v>1.0</v>
      </c>
      <c r="CS8" s="103">
        <v>1.0</v>
      </c>
      <c r="CT8" s="103">
        <v>1.0</v>
      </c>
      <c r="CU8" s="103">
        <v>1.0</v>
      </c>
      <c r="CV8" s="103">
        <v>1.0</v>
      </c>
      <c r="CW8" s="103">
        <v>1.0</v>
      </c>
      <c r="CX8" s="103">
        <v>1.0</v>
      </c>
      <c r="CY8" s="103">
        <v>1.0</v>
      </c>
      <c r="CZ8" s="103">
        <v>1.0</v>
      </c>
      <c r="DA8" s="103">
        <v>1.0</v>
      </c>
      <c r="DB8" s="3"/>
      <c r="DC8" s="3"/>
      <c r="DD8" s="3"/>
      <c r="DE8" s="3"/>
      <c r="DF8" s="3"/>
      <c r="DG8" s="3"/>
      <c r="DH8" s="3"/>
      <c r="DI8" s="3"/>
      <c r="DJ8" s="3"/>
      <c r="DK8" s="3"/>
      <c r="DL8" s="3"/>
      <c r="DM8" s="3"/>
      <c r="DN8" s="3"/>
      <c r="DO8" s="3"/>
      <c r="DP8" s="3"/>
      <c r="DQ8" s="3"/>
      <c r="DR8" s="3"/>
      <c r="DS8" s="3"/>
      <c r="DT8" s="3"/>
      <c r="DU8" s="3"/>
    </row>
    <row r="9">
      <c r="A9" s="99">
        <v>2.0</v>
      </c>
      <c r="B9" s="100" t="s">
        <v>176</v>
      </c>
      <c r="C9" s="101" t="s">
        <v>86</v>
      </c>
      <c r="D9" s="102" t="s">
        <v>17</v>
      </c>
      <c r="E9" s="102">
        <v>8.0</v>
      </c>
      <c r="F9" s="102">
        <v>20.0</v>
      </c>
      <c r="G9" s="6">
        <v>43998.0</v>
      </c>
      <c r="H9" s="6">
        <v>44012.0</v>
      </c>
      <c r="I9" s="103">
        <v>1.0</v>
      </c>
      <c r="J9" s="103">
        <v>1.0</v>
      </c>
      <c r="K9" s="103">
        <v>1.0</v>
      </c>
      <c r="L9" s="103">
        <v>1.0</v>
      </c>
      <c r="M9" s="103">
        <v>1.0</v>
      </c>
      <c r="N9" s="103">
        <v>1.0</v>
      </c>
      <c r="O9" s="103">
        <v>1.0</v>
      </c>
      <c r="P9" s="103">
        <v>1.0</v>
      </c>
      <c r="Q9" s="103">
        <v>1.0</v>
      </c>
      <c r="R9" s="103">
        <v>1.0</v>
      </c>
      <c r="S9" s="103">
        <v>1.0</v>
      </c>
      <c r="T9" s="103">
        <v>1.0</v>
      </c>
      <c r="U9" s="103">
        <v>1.0</v>
      </c>
      <c r="V9" s="103">
        <v>1.0</v>
      </c>
      <c r="W9" s="103">
        <v>1.0</v>
      </c>
      <c r="X9" s="103">
        <v>1.0</v>
      </c>
      <c r="Y9" s="103">
        <v>1.0</v>
      </c>
      <c r="Z9" s="103">
        <v>1.0</v>
      </c>
      <c r="AA9" s="103">
        <v>1.0</v>
      </c>
      <c r="AB9" s="103">
        <v>1.0</v>
      </c>
      <c r="AC9" s="103">
        <v>1.0</v>
      </c>
      <c r="AD9" s="103">
        <v>1.0</v>
      </c>
      <c r="AE9" s="103">
        <v>1.0</v>
      </c>
      <c r="AF9" s="103">
        <v>1.0</v>
      </c>
      <c r="AG9" s="103">
        <v>1.0</v>
      </c>
      <c r="AH9" s="103">
        <v>1.0</v>
      </c>
      <c r="AI9" s="103">
        <v>1.0</v>
      </c>
      <c r="AJ9" s="103">
        <v>1.0</v>
      </c>
      <c r="AK9" s="103">
        <v>1.0</v>
      </c>
      <c r="AL9" s="103">
        <v>1.0</v>
      </c>
      <c r="AM9" s="103">
        <v>1.0</v>
      </c>
      <c r="AN9" s="103">
        <v>1.0</v>
      </c>
      <c r="AO9" s="103">
        <v>1.0</v>
      </c>
      <c r="AP9" s="103">
        <v>1.0</v>
      </c>
      <c r="AQ9" s="103">
        <v>1.0</v>
      </c>
      <c r="AR9" s="103">
        <v>1.0</v>
      </c>
      <c r="AS9" s="103">
        <v>1.0</v>
      </c>
      <c r="AT9" s="103">
        <v>1.0</v>
      </c>
      <c r="AU9" s="103">
        <v>1.0</v>
      </c>
      <c r="AV9" s="103">
        <v>1.0</v>
      </c>
      <c r="AW9" s="103">
        <v>1.0</v>
      </c>
      <c r="AX9" s="103">
        <v>1.0</v>
      </c>
      <c r="AY9" s="103">
        <v>1.0</v>
      </c>
      <c r="AZ9" s="103">
        <v>1.0</v>
      </c>
      <c r="BA9" s="103">
        <v>1.0</v>
      </c>
      <c r="BB9" s="103">
        <v>1.0</v>
      </c>
      <c r="BC9" s="103">
        <v>1.0</v>
      </c>
      <c r="BD9" s="103">
        <v>1.0</v>
      </c>
      <c r="BE9" s="103">
        <v>1.0</v>
      </c>
      <c r="BF9" s="103">
        <v>1.0</v>
      </c>
      <c r="BG9" s="103">
        <v>1.0</v>
      </c>
      <c r="BH9" s="103">
        <v>1.0</v>
      </c>
      <c r="BI9" s="103">
        <v>1.0</v>
      </c>
      <c r="BJ9" s="103">
        <v>1.0</v>
      </c>
      <c r="BK9" s="103">
        <v>1.0</v>
      </c>
      <c r="BL9" s="103">
        <v>1.0</v>
      </c>
      <c r="BM9" s="103">
        <v>1.0</v>
      </c>
      <c r="BN9" s="103">
        <v>1.0</v>
      </c>
      <c r="BO9" s="103">
        <v>1.0</v>
      </c>
      <c r="BP9" s="103">
        <v>1.0</v>
      </c>
      <c r="BQ9" s="103">
        <v>1.0</v>
      </c>
      <c r="BR9" s="103">
        <v>1.0</v>
      </c>
      <c r="BS9" s="103">
        <v>1.0</v>
      </c>
      <c r="BT9" s="103">
        <v>1.0</v>
      </c>
      <c r="BU9" s="103">
        <v>1.0</v>
      </c>
      <c r="BV9" s="103">
        <v>1.0</v>
      </c>
      <c r="BW9" s="103">
        <v>1.0</v>
      </c>
      <c r="BX9" s="103">
        <v>1.0</v>
      </c>
      <c r="BY9" s="103">
        <v>1.0</v>
      </c>
      <c r="BZ9" s="103">
        <v>1.0</v>
      </c>
      <c r="CA9" s="103">
        <v>1.0</v>
      </c>
      <c r="CB9" s="103">
        <v>1.0</v>
      </c>
      <c r="CC9" s="103">
        <v>1.0</v>
      </c>
      <c r="CD9" s="103">
        <v>1.0</v>
      </c>
      <c r="CE9" s="103">
        <v>1.0</v>
      </c>
      <c r="CF9" s="103">
        <v>1.0</v>
      </c>
      <c r="CG9" s="103">
        <v>1.0</v>
      </c>
      <c r="CH9" s="103">
        <v>1.0</v>
      </c>
      <c r="CI9" s="103">
        <v>1.0</v>
      </c>
      <c r="CJ9" s="103">
        <v>1.0</v>
      </c>
      <c r="CK9" s="103">
        <v>1.0</v>
      </c>
      <c r="CL9" s="103">
        <v>1.0</v>
      </c>
      <c r="CM9" s="103">
        <v>1.0</v>
      </c>
      <c r="CN9" s="103">
        <v>1.0</v>
      </c>
      <c r="CO9" s="103">
        <v>1.0</v>
      </c>
      <c r="CP9" s="103">
        <v>1.0</v>
      </c>
      <c r="CQ9" s="103">
        <v>0.9</v>
      </c>
      <c r="CR9" s="103">
        <v>0.8</v>
      </c>
      <c r="CS9" s="103">
        <v>0.8</v>
      </c>
      <c r="CT9" s="103">
        <v>0.75</v>
      </c>
      <c r="CU9" s="103">
        <v>0.75</v>
      </c>
      <c r="CV9" s="103">
        <v>0.75</v>
      </c>
      <c r="CW9" s="103">
        <v>0.75</v>
      </c>
      <c r="CX9" s="103">
        <v>0.75</v>
      </c>
      <c r="CY9" s="103">
        <v>0.75</v>
      </c>
      <c r="CZ9" s="103">
        <v>0.75</v>
      </c>
      <c r="DA9" s="103">
        <v>0.5</v>
      </c>
      <c r="DB9" s="3"/>
      <c r="DC9" s="3"/>
      <c r="DD9" s="3"/>
      <c r="DE9" s="3"/>
      <c r="DF9" s="3"/>
      <c r="DG9" s="3"/>
      <c r="DH9" s="3"/>
      <c r="DI9" s="3"/>
      <c r="DJ9" s="3"/>
      <c r="DK9" s="3"/>
      <c r="DL9" s="3"/>
      <c r="DM9" s="3"/>
      <c r="DN9" s="3"/>
      <c r="DO9" s="3"/>
      <c r="DP9" s="3"/>
      <c r="DQ9" s="3"/>
      <c r="DR9" s="3"/>
      <c r="DS9" s="3"/>
      <c r="DT9" s="3"/>
      <c r="DU9" s="3"/>
    </row>
    <row r="10">
      <c r="A10" s="99">
        <v>3.0</v>
      </c>
      <c r="B10" s="100" t="s">
        <v>14</v>
      </c>
      <c r="C10" s="101" t="s">
        <v>86</v>
      </c>
      <c r="D10" s="102" t="s">
        <v>42</v>
      </c>
      <c r="E10" s="102">
        <v>8.0</v>
      </c>
      <c r="F10" s="102">
        <v>7.0</v>
      </c>
      <c r="G10" s="6">
        <v>43998.0</v>
      </c>
      <c r="H10" s="6">
        <v>43998.0</v>
      </c>
      <c r="I10" s="103">
        <v>1.0</v>
      </c>
      <c r="J10" s="103">
        <v>1.0</v>
      </c>
      <c r="K10" s="103">
        <v>1.0</v>
      </c>
      <c r="L10" s="103">
        <v>1.0</v>
      </c>
      <c r="M10" s="103">
        <v>1.0</v>
      </c>
      <c r="N10" s="103">
        <v>1.0</v>
      </c>
      <c r="O10" s="103">
        <v>1.0</v>
      </c>
      <c r="P10" s="103">
        <v>1.0</v>
      </c>
      <c r="Q10" s="103">
        <v>1.0</v>
      </c>
      <c r="R10" s="103">
        <v>1.0</v>
      </c>
      <c r="S10" s="103">
        <v>1.0</v>
      </c>
      <c r="T10" s="103">
        <v>1.0</v>
      </c>
      <c r="U10" s="103">
        <v>1.0</v>
      </c>
      <c r="V10" s="103">
        <v>1.0</v>
      </c>
      <c r="W10" s="103">
        <v>1.0</v>
      </c>
      <c r="X10" s="103">
        <v>1.0</v>
      </c>
      <c r="Y10" s="103">
        <v>1.0</v>
      </c>
      <c r="Z10" s="103">
        <v>1.0</v>
      </c>
      <c r="AA10" s="103">
        <v>1.0</v>
      </c>
      <c r="AB10" s="103">
        <v>1.0</v>
      </c>
      <c r="AC10" s="103">
        <v>1.0</v>
      </c>
      <c r="AD10" s="103">
        <v>1.0</v>
      </c>
      <c r="AE10" s="103">
        <v>1.0</v>
      </c>
      <c r="AF10" s="103">
        <v>1.0</v>
      </c>
      <c r="AG10" s="103">
        <v>1.0</v>
      </c>
      <c r="AH10" s="103">
        <v>1.0</v>
      </c>
      <c r="AI10" s="103">
        <v>1.0</v>
      </c>
      <c r="AJ10" s="103">
        <v>1.0</v>
      </c>
      <c r="AK10" s="103">
        <v>1.0</v>
      </c>
      <c r="AL10" s="103">
        <v>1.0</v>
      </c>
      <c r="AM10" s="103">
        <v>1.0</v>
      </c>
      <c r="AN10" s="103">
        <v>1.0</v>
      </c>
      <c r="AO10" s="103">
        <v>1.0</v>
      </c>
      <c r="AP10" s="103">
        <v>1.0</v>
      </c>
      <c r="AQ10" s="103">
        <v>1.0</v>
      </c>
      <c r="AR10" s="103">
        <v>1.0</v>
      </c>
      <c r="AS10" s="103">
        <v>1.0</v>
      </c>
      <c r="AT10" s="103">
        <v>1.0</v>
      </c>
      <c r="AU10" s="103">
        <v>1.0</v>
      </c>
      <c r="AV10" s="103">
        <v>1.0</v>
      </c>
      <c r="AW10" s="103">
        <v>1.0</v>
      </c>
      <c r="AX10" s="103">
        <v>1.0</v>
      </c>
      <c r="AY10" s="103">
        <v>1.0</v>
      </c>
      <c r="AZ10" s="103">
        <v>1.0</v>
      </c>
      <c r="BA10" s="103">
        <v>1.0</v>
      </c>
      <c r="BB10" s="103">
        <v>1.0</v>
      </c>
      <c r="BC10" s="103">
        <v>1.0</v>
      </c>
      <c r="BD10" s="103">
        <v>1.0</v>
      </c>
      <c r="BE10" s="103">
        <v>1.0</v>
      </c>
      <c r="BF10" s="103">
        <v>1.0</v>
      </c>
      <c r="BG10" s="103">
        <v>1.0</v>
      </c>
      <c r="BH10" s="103">
        <v>1.0</v>
      </c>
      <c r="BI10" s="103">
        <v>1.0</v>
      </c>
      <c r="BJ10" s="103">
        <v>1.0</v>
      </c>
      <c r="BK10" s="103">
        <v>1.0</v>
      </c>
      <c r="BL10" s="103">
        <v>1.0</v>
      </c>
      <c r="BM10" s="103">
        <v>1.0</v>
      </c>
      <c r="BN10" s="103">
        <v>1.0</v>
      </c>
      <c r="BO10" s="103">
        <v>1.0</v>
      </c>
      <c r="BP10" s="103">
        <v>1.0</v>
      </c>
      <c r="BQ10" s="103">
        <v>1.0</v>
      </c>
      <c r="BR10" s="103">
        <v>1.0</v>
      </c>
      <c r="BS10" s="103">
        <v>1.0</v>
      </c>
      <c r="BT10" s="103">
        <v>1.0</v>
      </c>
      <c r="BU10" s="103">
        <v>1.0</v>
      </c>
      <c r="BV10" s="103">
        <v>1.0</v>
      </c>
      <c r="BW10" s="103">
        <v>1.0</v>
      </c>
      <c r="BX10" s="103">
        <v>1.0</v>
      </c>
      <c r="BY10" s="103">
        <v>1.0</v>
      </c>
      <c r="BZ10" s="103">
        <v>1.0</v>
      </c>
      <c r="CA10" s="103">
        <v>1.0</v>
      </c>
      <c r="CB10" s="103">
        <v>1.0</v>
      </c>
      <c r="CC10" s="103">
        <v>1.0</v>
      </c>
      <c r="CD10" s="103">
        <v>1.0</v>
      </c>
      <c r="CE10" s="103">
        <v>1.0</v>
      </c>
      <c r="CF10" s="103">
        <v>1.0</v>
      </c>
      <c r="CG10" s="103">
        <v>1.0</v>
      </c>
      <c r="CH10" s="103">
        <v>1.0</v>
      </c>
      <c r="CI10" s="103">
        <v>1.0</v>
      </c>
      <c r="CJ10" s="103">
        <v>1.0</v>
      </c>
      <c r="CK10" s="103">
        <v>1.0</v>
      </c>
      <c r="CL10" s="103">
        <v>1.0</v>
      </c>
      <c r="CM10" s="103">
        <v>1.0</v>
      </c>
      <c r="CN10" s="103">
        <v>1.0</v>
      </c>
      <c r="CO10" s="103">
        <v>1.0</v>
      </c>
      <c r="CP10" s="103">
        <v>1.0</v>
      </c>
      <c r="CQ10" s="103">
        <v>1.0</v>
      </c>
      <c r="CR10" s="103">
        <v>1.0</v>
      </c>
      <c r="CS10" s="103">
        <v>1.0</v>
      </c>
      <c r="CT10" s="103">
        <v>1.0</v>
      </c>
      <c r="CU10" s="103">
        <v>1.0</v>
      </c>
      <c r="CV10" s="103">
        <v>1.0</v>
      </c>
      <c r="CW10" s="103">
        <v>1.0</v>
      </c>
      <c r="CX10" s="103">
        <v>1.0</v>
      </c>
      <c r="CY10" s="103">
        <v>1.0</v>
      </c>
      <c r="CZ10" s="103">
        <v>1.0</v>
      </c>
      <c r="DA10" s="6"/>
      <c r="DB10" s="3"/>
      <c r="DC10" s="3"/>
      <c r="DD10" s="3"/>
      <c r="DE10" s="3"/>
      <c r="DF10" s="3"/>
      <c r="DG10" s="3"/>
      <c r="DH10" s="3"/>
      <c r="DI10" s="3"/>
      <c r="DJ10" s="3"/>
      <c r="DK10" s="3"/>
      <c r="DL10" s="3"/>
      <c r="DM10" s="3"/>
      <c r="DN10" s="3"/>
      <c r="DO10" s="3"/>
      <c r="DP10" s="3"/>
      <c r="DQ10" s="3"/>
      <c r="DR10" s="3"/>
      <c r="DS10" s="3"/>
      <c r="DT10" s="3"/>
      <c r="DU10" s="3"/>
    </row>
    <row r="11">
      <c r="A11" s="99">
        <v>4.0</v>
      </c>
      <c r="B11" s="100" t="s">
        <v>14</v>
      </c>
      <c r="C11" s="101" t="s">
        <v>86</v>
      </c>
      <c r="D11" s="102" t="s">
        <v>51</v>
      </c>
      <c r="E11" s="102">
        <v>8.0</v>
      </c>
      <c r="F11" s="102">
        <v>8.0</v>
      </c>
      <c r="G11" s="6">
        <v>43999.0</v>
      </c>
      <c r="H11" s="6">
        <v>43999.0</v>
      </c>
      <c r="I11" s="103">
        <v>1.0</v>
      </c>
      <c r="J11" s="103">
        <v>1.0</v>
      </c>
      <c r="K11" s="103">
        <v>1.0</v>
      </c>
      <c r="L11" s="103">
        <v>1.0</v>
      </c>
      <c r="M11" s="103">
        <v>1.0</v>
      </c>
      <c r="N11" s="103">
        <v>1.0</v>
      </c>
      <c r="O11" s="103">
        <v>1.0</v>
      </c>
      <c r="P11" s="103">
        <v>1.0</v>
      </c>
      <c r="Q11" s="103">
        <v>1.0</v>
      </c>
      <c r="R11" s="103">
        <v>1.0</v>
      </c>
      <c r="S11" s="103">
        <v>1.0</v>
      </c>
      <c r="T11" s="103">
        <v>1.0</v>
      </c>
      <c r="U11" s="103">
        <v>1.0</v>
      </c>
      <c r="V11" s="103">
        <v>1.0</v>
      </c>
      <c r="W11" s="103">
        <v>1.0</v>
      </c>
      <c r="X11" s="103">
        <v>1.0</v>
      </c>
      <c r="Y11" s="103">
        <v>1.0</v>
      </c>
      <c r="Z11" s="103">
        <v>1.0</v>
      </c>
      <c r="AA11" s="103">
        <v>1.0</v>
      </c>
      <c r="AB11" s="103">
        <v>1.0</v>
      </c>
      <c r="AC11" s="103">
        <v>1.0</v>
      </c>
      <c r="AD11" s="103">
        <v>1.0</v>
      </c>
      <c r="AE11" s="103">
        <v>1.0</v>
      </c>
      <c r="AF11" s="103">
        <v>1.0</v>
      </c>
      <c r="AG11" s="103">
        <v>1.0</v>
      </c>
      <c r="AH11" s="103">
        <v>1.0</v>
      </c>
      <c r="AI11" s="103">
        <v>1.0</v>
      </c>
      <c r="AJ11" s="103">
        <v>1.0</v>
      </c>
      <c r="AK11" s="103">
        <v>1.0</v>
      </c>
      <c r="AL11" s="103">
        <v>1.0</v>
      </c>
      <c r="AM11" s="103">
        <v>1.0</v>
      </c>
      <c r="AN11" s="103">
        <v>1.0</v>
      </c>
      <c r="AO11" s="103">
        <v>1.0</v>
      </c>
      <c r="AP11" s="103">
        <v>1.0</v>
      </c>
      <c r="AQ11" s="103">
        <v>1.0</v>
      </c>
      <c r="AR11" s="103">
        <v>1.0</v>
      </c>
      <c r="AS11" s="103">
        <v>1.0</v>
      </c>
      <c r="AT11" s="103">
        <v>1.0</v>
      </c>
      <c r="AU11" s="103">
        <v>1.0</v>
      </c>
      <c r="AV11" s="103">
        <v>1.0</v>
      </c>
      <c r="AW11" s="103">
        <v>1.0</v>
      </c>
      <c r="AX11" s="103">
        <v>1.0</v>
      </c>
      <c r="AY11" s="103">
        <v>1.0</v>
      </c>
      <c r="AZ11" s="103">
        <v>1.0</v>
      </c>
      <c r="BA11" s="103">
        <v>1.0</v>
      </c>
      <c r="BB11" s="103">
        <v>1.0</v>
      </c>
      <c r="BC11" s="103">
        <v>1.0</v>
      </c>
      <c r="BD11" s="103">
        <v>1.0</v>
      </c>
      <c r="BE11" s="103">
        <v>1.0</v>
      </c>
      <c r="BF11" s="103">
        <v>1.0</v>
      </c>
      <c r="BG11" s="103">
        <v>1.0</v>
      </c>
      <c r="BH11" s="103">
        <v>1.0</v>
      </c>
      <c r="BI11" s="103">
        <v>1.0</v>
      </c>
      <c r="BJ11" s="103">
        <v>1.0</v>
      </c>
      <c r="BK11" s="103">
        <v>1.0</v>
      </c>
      <c r="BL11" s="103">
        <v>1.0</v>
      </c>
      <c r="BM11" s="103">
        <v>1.0</v>
      </c>
      <c r="BN11" s="103">
        <v>1.0</v>
      </c>
      <c r="BO11" s="103">
        <v>1.0</v>
      </c>
      <c r="BP11" s="103">
        <v>1.0</v>
      </c>
      <c r="BQ11" s="103">
        <v>1.0</v>
      </c>
      <c r="BR11" s="103">
        <v>1.0</v>
      </c>
      <c r="BS11" s="103">
        <v>1.0</v>
      </c>
      <c r="BT11" s="103">
        <v>1.0</v>
      </c>
      <c r="BU11" s="103">
        <v>1.0</v>
      </c>
      <c r="BV11" s="103">
        <v>1.0</v>
      </c>
      <c r="BW11" s="103">
        <v>1.0</v>
      </c>
      <c r="BX11" s="103">
        <v>1.0</v>
      </c>
      <c r="BY11" s="103">
        <v>1.0</v>
      </c>
      <c r="BZ11" s="103">
        <v>1.0</v>
      </c>
      <c r="CA11" s="103">
        <v>1.0</v>
      </c>
      <c r="CB11" s="103">
        <v>1.0</v>
      </c>
      <c r="CC11" s="103">
        <v>1.0</v>
      </c>
      <c r="CD11" s="103">
        <v>1.0</v>
      </c>
      <c r="CE11" s="103">
        <v>1.0</v>
      </c>
      <c r="CF11" s="103">
        <v>1.0</v>
      </c>
      <c r="CG11" s="103">
        <v>1.0</v>
      </c>
      <c r="CH11" s="103">
        <v>1.0</v>
      </c>
      <c r="CI11" s="103">
        <v>1.0</v>
      </c>
      <c r="CJ11" s="103">
        <v>1.0</v>
      </c>
      <c r="CK11" s="103">
        <v>1.0</v>
      </c>
      <c r="CL11" s="103">
        <v>1.0</v>
      </c>
      <c r="CM11" s="103">
        <v>1.0</v>
      </c>
      <c r="CN11" s="103">
        <v>1.0</v>
      </c>
      <c r="CO11" s="103">
        <v>1.0</v>
      </c>
      <c r="CP11" s="103">
        <v>1.0</v>
      </c>
      <c r="CQ11" s="103">
        <v>1.0</v>
      </c>
      <c r="CR11" s="103">
        <v>1.0</v>
      </c>
      <c r="CS11" s="103">
        <v>1.0</v>
      </c>
      <c r="CT11" s="103">
        <v>1.0</v>
      </c>
      <c r="CU11" s="103">
        <v>1.0</v>
      </c>
      <c r="CV11" s="103">
        <v>1.0</v>
      </c>
      <c r="CW11" s="103">
        <v>1.0</v>
      </c>
      <c r="CX11" s="103">
        <v>1.0</v>
      </c>
      <c r="CY11" s="103">
        <v>1.0</v>
      </c>
      <c r="CZ11" s="103">
        <v>1.0</v>
      </c>
      <c r="DA11" s="103"/>
      <c r="DB11" s="3"/>
      <c r="DC11" s="3"/>
      <c r="DD11" s="3"/>
      <c r="DE11" s="3"/>
      <c r="DF11" s="3"/>
      <c r="DG11" s="3"/>
      <c r="DH11" s="3"/>
      <c r="DI11" s="3"/>
      <c r="DJ11" s="3"/>
      <c r="DK11" s="3"/>
      <c r="DL11" s="3"/>
      <c r="DM11" s="3"/>
      <c r="DN11" s="3"/>
      <c r="DO11" s="3"/>
      <c r="DP11" s="3"/>
      <c r="DQ11" s="3"/>
      <c r="DR11" s="3"/>
      <c r="DS11" s="3"/>
      <c r="DT11" s="3"/>
      <c r="DU11" s="3"/>
    </row>
    <row r="12" ht="15.0" customHeight="1">
      <c r="A12" s="99">
        <v>5.0</v>
      </c>
      <c r="B12" s="106" t="s">
        <v>177</v>
      </c>
      <c r="C12" s="101" t="s">
        <v>86</v>
      </c>
      <c r="D12" s="102" t="s">
        <v>51</v>
      </c>
      <c r="E12" s="102">
        <v>8.0</v>
      </c>
      <c r="F12" s="102">
        <v>9.0</v>
      </c>
      <c r="G12" s="6">
        <v>44000.0</v>
      </c>
      <c r="H12" s="6">
        <v>44000.0</v>
      </c>
      <c r="I12" s="103">
        <v>1.0</v>
      </c>
      <c r="J12" s="103">
        <v>1.0</v>
      </c>
      <c r="K12" s="103">
        <v>1.0</v>
      </c>
      <c r="L12" s="103">
        <v>1.0</v>
      </c>
      <c r="M12" s="103">
        <v>1.0</v>
      </c>
      <c r="N12" s="103">
        <v>1.0</v>
      </c>
      <c r="O12" s="103">
        <v>1.0</v>
      </c>
      <c r="P12" s="103">
        <v>1.0</v>
      </c>
      <c r="Q12" s="103">
        <v>1.0</v>
      </c>
      <c r="R12" s="103">
        <v>1.0</v>
      </c>
      <c r="S12" s="103">
        <v>1.0</v>
      </c>
      <c r="T12" s="103">
        <v>1.0</v>
      </c>
      <c r="U12" s="103">
        <v>1.0</v>
      </c>
      <c r="V12" s="103">
        <v>1.0</v>
      </c>
      <c r="W12" s="103">
        <v>1.0</v>
      </c>
      <c r="X12" s="103">
        <v>1.0</v>
      </c>
      <c r="Y12" s="103">
        <v>1.0</v>
      </c>
      <c r="Z12" s="103">
        <v>1.0</v>
      </c>
      <c r="AA12" s="103">
        <v>1.0</v>
      </c>
      <c r="AB12" s="103">
        <v>1.0</v>
      </c>
      <c r="AC12" s="103">
        <v>1.0</v>
      </c>
      <c r="AD12" s="103">
        <v>1.0</v>
      </c>
      <c r="AE12" s="103">
        <v>1.0</v>
      </c>
      <c r="AF12" s="103">
        <v>1.0</v>
      </c>
      <c r="AG12" s="103">
        <v>1.0</v>
      </c>
      <c r="AH12" s="103">
        <v>1.0</v>
      </c>
      <c r="AI12" s="103">
        <v>1.0</v>
      </c>
      <c r="AJ12" s="103">
        <v>1.0</v>
      </c>
      <c r="AK12" s="103">
        <v>1.0</v>
      </c>
      <c r="AL12" s="103">
        <v>1.0</v>
      </c>
      <c r="AM12" s="103">
        <v>1.0</v>
      </c>
      <c r="AN12" s="103">
        <v>1.0</v>
      </c>
      <c r="AO12" s="103">
        <v>1.0</v>
      </c>
      <c r="AP12" s="103">
        <v>1.0</v>
      </c>
      <c r="AQ12" s="103">
        <v>1.0</v>
      </c>
      <c r="AR12" s="103">
        <v>1.0</v>
      </c>
      <c r="AS12" s="103">
        <v>1.0</v>
      </c>
      <c r="AT12" s="103">
        <v>1.0</v>
      </c>
      <c r="AU12" s="103">
        <v>1.0</v>
      </c>
      <c r="AV12" s="103">
        <v>1.0</v>
      </c>
      <c r="AW12" s="103">
        <v>1.0</v>
      </c>
      <c r="AX12" s="103">
        <v>1.0</v>
      </c>
      <c r="AY12" s="103">
        <v>1.0</v>
      </c>
      <c r="AZ12" s="103">
        <v>1.0</v>
      </c>
      <c r="BA12" s="103">
        <v>1.0</v>
      </c>
      <c r="BB12" s="103">
        <v>1.0</v>
      </c>
      <c r="BC12" s="103">
        <v>1.0</v>
      </c>
      <c r="BD12" s="103">
        <v>1.0</v>
      </c>
      <c r="BE12" s="103">
        <v>1.0</v>
      </c>
      <c r="BF12" s="103">
        <v>1.0</v>
      </c>
      <c r="BG12" s="103">
        <v>1.0</v>
      </c>
      <c r="BH12" s="103">
        <v>1.0</v>
      </c>
      <c r="BI12" s="103">
        <v>1.0</v>
      </c>
      <c r="BJ12" s="103">
        <v>1.0</v>
      </c>
      <c r="BK12" s="103">
        <v>1.0</v>
      </c>
      <c r="BL12" s="103">
        <v>1.0</v>
      </c>
      <c r="BM12" s="103">
        <v>1.0</v>
      </c>
      <c r="BN12" s="103">
        <v>1.0</v>
      </c>
      <c r="BO12" s="103">
        <v>1.0</v>
      </c>
      <c r="BP12" s="103">
        <v>1.0</v>
      </c>
      <c r="BQ12" s="103">
        <v>1.0</v>
      </c>
      <c r="BR12" s="103">
        <v>1.0</v>
      </c>
      <c r="BS12" s="103">
        <v>1.0</v>
      </c>
      <c r="BT12" s="103">
        <v>1.0</v>
      </c>
      <c r="BU12" s="103">
        <v>1.0</v>
      </c>
      <c r="BV12" s="103">
        <v>1.0</v>
      </c>
      <c r="BW12" s="103">
        <v>1.0</v>
      </c>
      <c r="BX12" s="103">
        <v>1.0</v>
      </c>
      <c r="BY12" s="103">
        <v>1.0</v>
      </c>
      <c r="BZ12" s="103">
        <v>1.0</v>
      </c>
      <c r="CA12" s="103">
        <v>1.0</v>
      </c>
      <c r="CB12" s="103">
        <v>1.0</v>
      </c>
      <c r="CC12" s="103">
        <v>1.0</v>
      </c>
      <c r="CD12" s="103">
        <v>1.0</v>
      </c>
      <c r="CE12" s="103">
        <v>1.0</v>
      </c>
      <c r="CF12" s="103">
        <v>1.0</v>
      </c>
      <c r="CG12" s="103">
        <v>1.0</v>
      </c>
      <c r="CH12" s="103">
        <v>1.0</v>
      </c>
      <c r="CI12" s="103">
        <v>1.0</v>
      </c>
      <c r="CJ12" s="103">
        <v>1.0</v>
      </c>
      <c r="CK12" s="103">
        <v>1.0</v>
      </c>
      <c r="CL12" s="103">
        <v>1.0</v>
      </c>
      <c r="CM12" s="103">
        <v>1.0</v>
      </c>
      <c r="CN12" s="103">
        <v>1.0</v>
      </c>
      <c r="CO12" s="103">
        <v>1.0</v>
      </c>
      <c r="CP12" s="103">
        <v>1.0</v>
      </c>
      <c r="CQ12" s="103">
        <v>1.0</v>
      </c>
      <c r="CR12" s="103">
        <v>1.0</v>
      </c>
      <c r="CS12" s="103">
        <v>1.0</v>
      </c>
      <c r="CT12" s="103">
        <v>1.0</v>
      </c>
      <c r="CU12" s="103">
        <v>1.0</v>
      </c>
      <c r="CV12" s="103">
        <v>1.0</v>
      </c>
      <c r="CW12" s="103">
        <v>1.0</v>
      </c>
      <c r="CX12" s="103">
        <v>1.0</v>
      </c>
      <c r="CY12" s="103">
        <v>1.0</v>
      </c>
      <c r="CZ12" s="103"/>
      <c r="DA12" s="103"/>
      <c r="DB12" s="3"/>
      <c r="DC12" s="3"/>
      <c r="DD12" s="3"/>
      <c r="DE12" s="3"/>
      <c r="DF12" s="3"/>
      <c r="DG12" s="3"/>
      <c r="DH12" s="3"/>
      <c r="DI12" s="3"/>
      <c r="DJ12" s="3"/>
      <c r="DK12" s="3"/>
      <c r="DL12" s="3"/>
      <c r="DM12" s="3"/>
      <c r="DN12" s="3"/>
      <c r="DO12" s="3"/>
      <c r="DP12" s="3"/>
      <c r="DQ12" s="3"/>
      <c r="DR12" s="3"/>
      <c r="DS12" s="3"/>
      <c r="DT12" s="3"/>
      <c r="DU12" s="3"/>
    </row>
    <row r="13" ht="15.0" customHeight="1">
      <c r="A13" s="99">
        <v>6.0</v>
      </c>
      <c r="B13" s="106" t="s">
        <v>178</v>
      </c>
      <c r="C13" s="101" t="s">
        <v>86</v>
      </c>
      <c r="D13" s="102" t="s">
        <v>51</v>
      </c>
      <c r="E13" s="102">
        <v>8.0</v>
      </c>
      <c r="F13" s="102">
        <v>8.0</v>
      </c>
      <c r="G13" s="6">
        <v>44001.0</v>
      </c>
      <c r="H13" s="6">
        <v>44001.0</v>
      </c>
      <c r="I13" s="103">
        <v>1.0</v>
      </c>
      <c r="J13" s="103">
        <v>1.0</v>
      </c>
      <c r="K13" s="103">
        <v>1.0</v>
      </c>
      <c r="L13" s="103">
        <v>1.0</v>
      </c>
      <c r="M13" s="103">
        <v>1.0</v>
      </c>
      <c r="N13" s="103">
        <v>1.0</v>
      </c>
      <c r="O13" s="103">
        <v>1.0</v>
      </c>
      <c r="P13" s="103">
        <v>1.0</v>
      </c>
      <c r="Q13" s="103">
        <v>1.0</v>
      </c>
      <c r="R13" s="103">
        <v>1.0</v>
      </c>
      <c r="S13" s="103">
        <v>1.0</v>
      </c>
      <c r="T13" s="103">
        <v>1.0</v>
      </c>
      <c r="U13" s="103">
        <v>1.0</v>
      </c>
      <c r="V13" s="103">
        <v>1.0</v>
      </c>
      <c r="W13" s="103">
        <v>1.0</v>
      </c>
      <c r="X13" s="103">
        <v>1.0</v>
      </c>
      <c r="Y13" s="103">
        <v>1.0</v>
      </c>
      <c r="Z13" s="103">
        <v>1.0</v>
      </c>
      <c r="AA13" s="103">
        <v>1.0</v>
      </c>
      <c r="AB13" s="103">
        <v>1.0</v>
      </c>
      <c r="AC13" s="103">
        <v>1.0</v>
      </c>
      <c r="AD13" s="103">
        <v>1.0</v>
      </c>
      <c r="AE13" s="103">
        <v>1.0</v>
      </c>
      <c r="AF13" s="103">
        <v>1.0</v>
      </c>
      <c r="AG13" s="103">
        <v>1.0</v>
      </c>
      <c r="AH13" s="103">
        <v>1.0</v>
      </c>
      <c r="AI13" s="103">
        <v>1.0</v>
      </c>
      <c r="AJ13" s="103">
        <v>1.0</v>
      </c>
      <c r="AK13" s="103">
        <v>1.0</v>
      </c>
      <c r="AL13" s="103">
        <v>1.0</v>
      </c>
      <c r="AM13" s="103">
        <v>1.0</v>
      </c>
      <c r="AN13" s="103">
        <v>1.0</v>
      </c>
      <c r="AO13" s="103">
        <v>1.0</v>
      </c>
      <c r="AP13" s="103">
        <v>1.0</v>
      </c>
      <c r="AQ13" s="103">
        <v>1.0</v>
      </c>
      <c r="AR13" s="103">
        <v>1.0</v>
      </c>
      <c r="AS13" s="103">
        <v>1.0</v>
      </c>
      <c r="AT13" s="103">
        <v>1.0</v>
      </c>
      <c r="AU13" s="103">
        <v>1.0</v>
      </c>
      <c r="AV13" s="103">
        <v>1.0</v>
      </c>
      <c r="AW13" s="103">
        <v>1.0</v>
      </c>
      <c r="AX13" s="103">
        <v>1.0</v>
      </c>
      <c r="AY13" s="103">
        <v>1.0</v>
      </c>
      <c r="AZ13" s="103">
        <v>1.0</v>
      </c>
      <c r="BA13" s="103">
        <v>1.0</v>
      </c>
      <c r="BB13" s="103">
        <v>1.0</v>
      </c>
      <c r="BC13" s="103">
        <v>1.0</v>
      </c>
      <c r="BD13" s="103">
        <v>1.0</v>
      </c>
      <c r="BE13" s="103">
        <v>1.0</v>
      </c>
      <c r="BF13" s="103">
        <v>1.0</v>
      </c>
      <c r="BG13" s="103">
        <v>1.0</v>
      </c>
      <c r="BH13" s="103">
        <v>1.0</v>
      </c>
      <c r="BI13" s="103">
        <v>1.0</v>
      </c>
      <c r="BJ13" s="103">
        <v>1.0</v>
      </c>
      <c r="BK13" s="103">
        <v>1.0</v>
      </c>
      <c r="BL13" s="103">
        <v>1.0</v>
      </c>
      <c r="BM13" s="103">
        <v>1.0</v>
      </c>
      <c r="BN13" s="103">
        <v>1.0</v>
      </c>
      <c r="BO13" s="103">
        <v>1.0</v>
      </c>
      <c r="BP13" s="103">
        <v>1.0</v>
      </c>
      <c r="BQ13" s="103">
        <v>1.0</v>
      </c>
      <c r="BR13" s="103">
        <v>1.0</v>
      </c>
      <c r="BS13" s="103">
        <v>1.0</v>
      </c>
      <c r="BT13" s="103">
        <v>1.0</v>
      </c>
      <c r="BU13" s="103">
        <v>1.0</v>
      </c>
      <c r="BV13" s="103">
        <v>1.0</v>
      </c>
      <c r="BW13" s="103">
        <v>1.0</v>
      </c>
      <c r="BX13" s="103">
        <v>1.0</v>
      </c>
      <c r="BY13" s="103">
        <v>1.0</v>
      </c>
      <c r="BZ13" s="103">
        <v>1.0</v>
      </c>
      <c r="CA13" s="103">
        <v>1.0</v>
      </c>
      <c r="CB13" s="103">
        <v>1.0</v>
      </c>
      <c r="CC13" s="103">
        <v>1.0</v>
      </c>
      <c r="CD13" s="103">
        <v>1.0</v>
      </c>
      <c r="CE13" s="103">
        <v>1.0</v>
      </c>
      <c r="CF13" s="103">
        <v>1.0</v>
      </c>
      <c r="CG13" s="103">
        <v>1.0</v>
      </c>
      <c r="CH13" s="103">
        <v>1.0</v>
      </c>
      <c r="CI13" s="103">
        <v>1.0</v>
      </c>
      <c r="CJ13" s="103">
        <v>1.0</v>
      </c>
      <c r="CK13" s="103">
        <v>1.0</v>
      </c>
      <c r="CL13" s="103">
        <v>1.0</v>
      </c>
      <c r="CM13" s="103">
        <v>1.0</v>
      </c>
      <c r="CN13" s="103">
        <v>1.0</v>
      </c>
      <c r="CO13" s="103">
        <v>1.0</v>
      </c>
      <c r="CP13" s="103">
        <v>1.0</v>
      </c>
      <c r="CQ13" s="103">
        <v>1.0</v>
      </c>
      <c r="CR13" s="103">
        <v>1.0</v>
      </c>
      <c r="CS13" s="103">
        <v>1.0</v>
      </c>
      <c r="CT13" s="103">
        <v>1.0</v>
      </c>
      <c r="CU13" s="103">
        <v>1.0</v>
      </c>
      <c r="CV13" s="103">
        <v>1.0</v>
      </c>
      <c r="CW13" s="103">
        <v>1.0</v>
      </c>
      <c r="CX13" s="103">
        <v>1.0</v>
      </c>
      <c r="CY13" s="103"/>
      <c r="CZ13" s="103"/>
      <c r="DA13" s="103"/>
      <c r="DB13" s="3"/>
      <c r="DC13" s="3"/>
      <c r="DD13" s="3"/>
      <c r="DE13" s="3"/>
      <c r="DF13" s="3"/>
      <c r="DG13" s="3"/>
      <c r="DH13" s="3"/>
      <c r="DI13" s="3"/>
      <c r="DJ13" s="3"/>
      <c r="DK13" s="3"/>
      <c r="DL13" s="3"/>
      <c r="DM13" s="3"/>
      <c r="DN13" s="3"/>
      <c r="DO13" s="3"/>
      <c r="DP13" s="3"/>
      <c r="DQ13" s="3"/>
      <c r="DR13" s="3"/>
      <c r="DS13" s="3"/>
      <c r="DT13" s="3"/>
      <c r="DU13" s="3"/>
    </row>
    <row r="14" ht="15.0" customHeight="1">
      <c r="A14" s="99">
        <v>7.0</v>
      </c>
      <c r="B14" s="106" t="s">
        <v>179</v>
      </c>
      <c r="C14" s="101" t="s">
        <v>86</v>
      </c>
      <c r="D14" s="102" t="s">
        <v>42</v>
      </c>
      <c r="E14" s="102">
        <v>24.0</v>
      </c>
      <c r="F14" s="102">
        <v>42.0</v>
      </c>
      <c r="G14" s="6">
        <v>43999.0</v>
      </c>
      <c r="H14" s="6">
        <v>44008.0</v>
      </c>
      <c r="I14" s="103">
        <v>1.0</v>
      </c>
      <c r="J14" s="103">
        <v>1.0</v>
      </c>
      <c r="K14" s="103">
        <v>1.0</v>
      </c>
      <c r="L14" s="103">
        <v>1.0</v>
      </c>
      <c r="M14" s="103">
        <v>1.0</v>
      </c>
      <c r="N14" s="103">
        <v>1.0</v>
      </c>
      <c r="O14" s="103">
        <v>1.0</v>
      </c>
      <c r="P14" s="103">
        <v>1.0</v>
      </c>
      <c r="Q14" s="103">
        <v>1.0</v>
      </c>
      <c r="R14" s="103">
        <v>1.0</v>
      </c>
      <c r="S14" s="103">
        <v>1.0</v>
      </c>
      <c r="T14" s="103">
        <v>1.0</v>
      </c>
      <c r="U14" s="103">
        <v>1.0</v>
      </c>
      <c r="V14" s="103">
        <v>1.0</v>
      </c>
      <c r="W14" s="103">
        <v>1.0</v>
      </c>
      <c r="X14" s="103">
        <v>1.0</v>
      </c>
      <c r="Y14" s="103">
        <v>1.0</v>
      </c>
      <c r="Z14" s="103">
        <v>1.0</v>
      </c>
      <c r="AA14" s="103">
        <v>1.0</v>
      </c>
      <c r="AB14" s="103">
        <v>1.0</v>
      </c>
      <c r="AC14" s="103">
        <v>1.0</v>
      </c>
      <c r="AD14" s="103">
        <v>1.0</v>
      </c>
      <c r="AE14" s="103">
        <v>1.0</v>
      </c>
      <c r="AF14" s="103">
        <v>1.0</v>
      </c>
      <c r="AG14" s="103">
        <v>1.0</v>
      </c>
      <c r="AH14" s="103">
        <v>1.0</v>
      </c>
      <c r="AI14" s="103">
        <v>1.0</v>
      </c>
      <c r="AJ14" s="103">
        <v>1.0</v>
      </c>
      <c r="AK14" s="103">
        <v>1.0</v>
      </c>
      <c r="AL14" s="103">
        <v>1.0</v>
      </c>
      <c r="AM14" s="103">
        <v>1.0</v>
      </c>
      <c r="AN14" s="103">
        <v>1.0</v>
      </c>
      <c r="AO14" s="103">
        <v>1.0</v>
      </c>
      <c r="AP14" s="103">
        <v>1.0</v>
      </c>
      <c r="AQ14" s="103">
        <v>1.0</v>
      </c>
      <c r="AR14" s="103">
        <v>1.0</v>
      </c>
      <c r="AS14" s="103">
        <v>1.0</v>
      </c>
      <c r="AT14" s="103">
        <v>1.0</v>
      </c>
      <c r="AU14" s="103">
        <v>1.0</v>
      </c>
      <c r="AV14" s="103">
        <v>1.0</v>
      </c>
      <c r="AW14" s="103">
        <v>1.0</v>
      </c>
      <c r="AX14" s="103">
        <v>1.0</v>
      </c>
      <c r="AY14" s="103">
        <v>1.0</v>
      </c>
      <c r="AZ14" s="103">
        <v>1.0</v>
      </c>
      <c r="BA14" s="103">
        <v>1.0</v>
      </c>
      <c r="BB14" s="103">
        <v>1.0</v>
      </c>
      <c r="BC14" s="103">
        <v>1.0</v>
      </c>
      <c r="BD14" s="103">
        <v>1.0</v>
      </c>
      <c r="BE14" s="103">
        <v>1.0</v>
      </c>
      <c r="BF14" s="103">
        <v>1.0</v>
      </c>
      <c r="BG14" s="103">
        <v>1.0</v>
      </c>
      <c r="BH14" s="103">
        <v>1.0</v>
      </c>
      <c r="BI14" s="103">
        <v>1.0</v>
      </c>
      <c r="BJ14" s="103">
        <v>1.0</v>
      </c>
      <c r="BK14" s="103">
        <v>1.0</v>
      </c>
      <c r="BL14" s="103">
        <v>1.0</v>
      </c>
      <c r="BM14" s="103">
        <v>1.0</v>
      </c>
      <c r="BN14" s="103">
        <v>1.0</v>
      </c>
      <c r="BO14" s="103">
        <v>1.0</v>
      </c>
      <c r="BP14" s="103">
        <v>1.0</v>
      </c>
      <c r="BQ14" s="103">
        <v>1.0</v>
      </c>
      <c r="BR14" s="103">
        <v>1.0</v>
      </c>
      <c r="BS14" s="103">
        <v>1.0</v>
      </c>
      <c r="BT14" s="103">
        <v>1.0</v>
      </c>
      <c r="BU14" s="103">
        <v>1.0</v>
      </c>
      <c r="BV14" s="103">
        <v>1.0</v>
      </c>
      <c r="BW14" s="103">
        <v>1.0</v>
      </c>
      <c r="BX14" s="103">
        <v>1.0</v>
      </c>
      <c r="BY14" s="103">
        <v>1.0</v>
      </c>
      <c r="BZ14" s="103">
        <v>1.0</v>
      </c>
      <c r="CA14" s="103">
        <v>1.0</v>
      </c>
      <c r="CB14" s="103">
        <v>1.0</v>
      </c>
      <c r="CC14" s="103">
        <v>1.0</v>
      </c>
      <c r="CD14" s="103">
        <v>1.0</v>
      </c>
      <c r="CE14" s="103">
        <v>1.0</v>
      </c>
      <c r="CF14" s="103">
        <v>1.0</v>
      </c>
      <c r="CG14" s="103">
        <v>1.0</v>
      </c>
      <c r="CH14" s="103">
        <v>1.0</v>
      </c>
      <c r="CI14" s="103">
        <v>1.0</v>
      </c>
      <c r="CJ14" s="103">
        <v>1.0</v>
      </c>
      <c r="CK14" s="103">
        <v>1.0</v>
      </c>
      <c r="CL14" s="103">
        <v>1.0</v>
      </c>
      <c r="CM14" s="103">
        <v>1.0</v>
      </c>
      <c r="CN14" s="103">
        <v>1.0</v>
      </c>
      <c r="CO14" s="103">
        <v>1.0</v>
      </c>
      <c r="CP14" s="103">
        <v>1.0</v>
      </c>
      <c r="CQ14" s="103">
        <v>1.0</v>
      </c>
      <c r="CR14" s="103">
        <v>1.0</v>
      </c>
      <c r="CS14" s="103">
        <v>1.0</v>
      </c>
      <c r="CT14" s="103">
        <v>0.9</v>
      </c>
      <c r="CU14" s="103">
        <v>0.8</v>
      </c>
      <c r="CV14" s="103">
        <v>0.75</v>
      </c>
      <c r="CW14" s="103">
        <v>0.6</v>
      </c>
      <c r="CX14" s="103">
        <v>0.45</v>
      </c>
      <c r="CY14" s="103">
        <v>0.3</v>
      </c>
      <c r="CZ14" s="103">
        <v>0.15</v>
      </c>
      <c r="DA14" s="103"/>
      <c r="DB14" s="3"/>
      <c r="DC14" s="3"/>
      <c r="DD14" s="3"/>
      <c r="DE14" s="3"/>
      <c r="DF14" s="3"/>
      <c r="DG14" s="3"/>
      <c r="DH14" s="3"/>
      <c r="DI14" s="3"/>
      <c r="DJ14" s="3"/>
      <c r="DK14" s="3"/>
      <c r="DL14" s="3"/>
      <c r="DM14" s="3"/>
      <c r="DN14" s="3"/>
      <c r="DO14" s="3"/>
      <c r="DP14" s="3"/>
      <c r="DQ14" s="3"/>
      <c r="DR14" s="3"/>
      <c r="DS14" s="3"/>
      <c r="DT14" s="3"/>
      <c r="DU14" s="3"/>
    </row>
    <row r="15" ht="15.0" customHeight="1">
      <c r="A15" s="99">
        <v>8.0</v>
      </c>
      <c r="B15" s="106" t="s">
        <v>179</v>
      </c>
      <c r="C15" s="101" t="s">
        <v>86</v>
      </c>
      <c r="D15" s="102" t="s">
        <v>55</v>
      </c>
      <c r="E15" s="102">
        <v>24.0</v>
      </c>
      <c r="F15" s="102">
        <v>8.0</v>
      </c>
      <c r="G15" s="6">
        <v>43999.0</v>
      </c>
      <c r="H15" s="6">
        <v>44012.0</v>
      </c>
      <c r="I15" s="103">
        <v>1.0</v>
      </c>
      <c r="J15" s="103">
        <v>1.0</v>
      </c>
      <c r="K15" s="103">
        <v>1.0</v>
      </c>
      <c r="L15" s="103">
        <v>1.0</v>
      </c>
      <c r="M15" s="103">
        <v>1.0</v>
      </c>
      <c r="N15" s="103">
        <v>1.0</v>
      </c>
      <c r="O15" s="103">
        <v>1.0</v>
      </c>
      <c r="P15" s="103">
        <v>1.0</v>
      </c>
      <c r="Q15" s="103">
        <v>1.0</v>
      </c>
      <c r="R15" s="103">
        <v>1.0</v>
      </c>
      <c r="S15" s="103">
        <v>1.0</v>
      </c>
      <c r="T15" s="103">
        <v>1.0</v>
      </c>
      <c r="U15" s="103">
        <v>1.0</v>
      </c>
      <c r="V15" s="103">
        <v>1.0</v>
      </c>
      <c r="W15" s="103">
        <v>1.0</v>
      </c>
      <c r="X15" s="103">
        <v>1.0</v>
      </c>
      <c r="Y15" s="103">
        <v>1.0</v>
      </c>
      <c r="Z15" s="103">
        <v>1.0</v>
      </c>
      <c r="AA15" s="103">
        <v>1.0</v>
      </c>
      <c r="AB15" s="103">
        <v>1.0</v>
      </c>
      <c r="AC15" s="103">
        <v>1.0</v>
      </c>
      <c r="AD15" s="103">
        <v>1.0</v>
      </c>
      <c r="AE15" s="103">
        <v>1.0</v>
      </c>
      <c r="AF15" s="103">
        <v>1.0</v>
      </c>
      <c r="AG15" s="103">
        <v>1.0</v>
      </c>
      <c r="AH15" s="103">
        <v>1.0</v>
      </c>
      <c r="AI15" s="103">
        <v>1.0</v>
      </c>
      <c r="AJ15" s="103">
        <v>1.0</v>
      </c>
      <c r="AK15" s="103">
        <v>1.0</v>
      </c>
      <c r="AL15" s="103">
        <v>1.0</v>
      </c>
      <c r="AM15" s="103">
        <v>1.0</v>
      </c>
      <c r="AN15" s="103">
        <v>1.0</v>
      </c>
      <c r="AO15" s="103">
        <v>1.0</v>
      </c>
      <c r="AP15" s="103">
        <v>1.0</v>
      </c>
      <c r="AQ15" s="103">
        <v>1.0</v>
      </c>
      <c r="AR15" s="103">
        <v>1.0</v>
      </c>
      <c r="AS15" s="103">
        <v>1.0</v>
      </c>
      <c r="AT15" s="103">
        <v>1.0</v>
      </c>
      <c r="AU15" s="103">
        <v>1.0</v>
      </c>
      <c r="AV15" s="103">
        <v>1.0</v>
      </c>
      <c r="AW15" s="103">
        <v>1.0</v>
      </c>
      <c r="AX15" s="103">
        <v>1.0</v>
      </c>
      <c r="AY15" s="103">
        <v>1.0</v>
      </c>
      <c r="AZ15" s="103">
        <v>1.0</v>
      </c>
      <c r="BA15" s="103">
        <v>1.0</v>
      </c>
      <c r="BB15" s="103">
        <v>1.0</v>
      </c>
      <c r="BC15" s="103">
        <v>1.0</v>
      </c>
      <c r="BD15" s="103">
        <v>1.0</v>
      </c>
      <c r="BE15" s="103">
        <v>1.0</v>
      </c>
      <c r="BF15" s="103">
        <v>1.0</v>
      </c>
      <c r="BG15" s="103">
        <v>1.0</v>
      </c>
      <c r="BH15" s="103">
        <v>1.0</v>
      </c>
      <c r="BI15" s="103">
        <v>1.0</v>
      </c>
      <c r="BJ15" s="103">
        <v>1.0</v>
      </c>
      <c r="BK15" s="103">
        <v>1.0</v>
      </c>
      <c r="BL15" s="103">
        <v>1.0</v>
      </c>
      <c r="BM15" s="103">
        <v>1.0</v>
      </c>
      <c r="BN15" s="103">
        <v>1.0</v>
      </c>
      <c r="BO15" s="103">
        <v>1.0</v>
      </c>
      <c r="BP15" s="103">
        <v>1.0</v>
      </c>
      <c r="BQ15" s="103">
        <v>1.0</v>
      </c>
      <c r="BR15" s="103">
        <v>1.0</v>
      </c>
      <c r="BS15" s="103">
        <v>1.0</v>
      </c>
      <c r="BT15" s="103">
        <v>1.0</v>
      </c>
      <c r="BU15" s="103">
        <v>1.0</v>
      </c>
      <c r="BV15" s="103">
        <v>1.0</v>
      </c>
      <c r="BW15" s="103">
        <v>1.0</v>
      </c>
      <c r="BX15" s="103">
        <v>1.0</v>
      </c>
      <c r="BY15" s="103">
        <v>1.0</v>
      </c>
      <c r="BZ15" s="103">
        <v>1.0</v>
      </c>
      <c r="CA15" s="103">
        <v>1.0</v>
      </c>
      <c r="CB15" s="103">
        <v>1.0</v>
      </c>
      <c r="CC15" s="103">
        <v>1.0</v>
      </c>
      <c r="CD15" s="103">
        <v>1.0</v>
      </c>
      <c r="CE15" s="103">
        <v>1.0</v>
      </c>
      <c r="CF15" s="103">
        <v>1.0</v>
      </c>
      <c r="CG15" s="103">
        <v>1.0</v>
      </c>
      <c r="CH15" s="103">
        <v>1.0</v>
      </c>
      <c r="CI15" s="103">
        <v>1.0</v>
      </c>
      <c r="CJ15" s="103">
        <v>1.0</v>
      </c>
      <c r="CK15" s="103">
        <v>1.0</v>
      </c>
      <c r="CL15" s="103">
        <v>1.0</v>
      </c>
      <c r="CM15" s="103">
        <v>1.0</v>
      </c>
      <c r="CN15" s="103">
        <v>1.0</v>
      </c>
      <c r="CO15" s="103">
        <v>1.0</v>
      </c>
      <c r="CP15" s="103">
        <v>1.0</v>
      </c>
      <c r="CQ15" s="103">
        <v>0.8</v>
      </c>
      <c r="CR15" s="103">
        <v>0.6</v>
      </c>
      <c r="CS15" s="103">
        <v>0.3</v>
      </c>
      <c r="CT15" s="103">
        <v>0.3</v>
      </c>
      <c r="CU15" s="103">
        <v>0.3</v>
      </c>
      <c r="CV15" s="103">
        <v>0.3</v>
      </c>
      <c r="CW15" s="103">
        <v>0.3</v>
      </c>
      <c r="CX15" s="103">
        <v>0.3</v>
      </c>
      <c r="CY15" s="103">
        <v>0.3</v>
      </c>
      <c r="CZ15" s="103">
        <v>0.15</v>
      </c>
      <c r="DA15" s="103"/>
      <c r="DB15" s="3"/>
      <c r="DC15" s="3"/>
      <c r="DD15" s="3"/>
      <c r="DE15" s="3"/>
      <c r="DF15" s="3"/>
      <c r="DG15" s="3"/>
      <c r="DH15" s="3"/>
      <c r="DI15" s="3"/>
      <c r="DJ15" s="3"/>
      <c r="DK15" s="3"/>
      <c r="DL15" s="3"/>
      <c r="DM15" s="3"/>
      <c r="DN15" s="3"/>
      <c r="DO15" s="3"/>
      <c r="DP15" s="3"/>
      <c r="DQ15" s="3"/>
      <c r="DR15" s="3"/>
      <c r="DS15" s="3"/>
      <c r="DT15" s="3"/>
      <c r="DU15" s="3"/>
    </row>
    <row r="16" ht="15.0" customHeight="1">
      <c r="A16" s="99">
        <v>9.0</v>
      </c>
      <c r="B16" s="106" t="s">
        <v>180</v>
      </c>
      <c r="C16" s="101" t="s">
        <v>86</v>
      </c>
      <c r="D16" s="102" t="s">
        <v>42</v>
      </c>
      <c r="E16" s="102">
        <v>16.0</v>
      </c>
      <c r="F16" s="102">
        <v>24.0</v>
      </c>
      <c r="G16" s="6">
        <v>44009.0</v>
      </c>
      <c r="H16" s="6">
        <v>44012.0</v>
      </c>
      <c r="I16" s="103">
        <v>1.0</v>
      </c>
      <c r="J16" s="103">
        <v>1.0</v>
      </c>
      <c r="K16" s="103">
        <v>1.0</v>
      </c>
      <c r="L16" s="103">
        <v>1.0</v>
      </c>
      <c r="M16" s="103">
        <v>1.0</v>
      </c>
      <c r="N16" s="103">
        <v>1.0</v>
      </c>
      <c r="O16" s="103">
        <v>1.0</v>
      </c>
      <c r="P16" s="103">
        <v>1.0</v>
      </c>
      <c r="Q16" s="103">
        <v>1.0</v>
      </c>
      <c r="R16" s="103">
        <v>1.0</v>
      </c>
      <c r="S16" s="103">
        <v>1.0</v>
      </c>
      <c r="T16" s="103">
        <v>1.0</v>
      </c>
      <c r="U16" s="103">
        <v>1.0</v>
      </c>
      <c r="V16" s="103">
        <v>1.0</v>
      </c>
      <c r="W16" s="103">
        <v>1.0</v>
      </c>
      <c r="X16" s="103">
        <v>1.0</v>
      </c>
      <c r="Y16" s="103">
        <v>1.0</v>
      </c>
      <c r="Z16" s="103">
        <v>1.0</v>
      </c>
      <c r="AA16" s="103">
        <v>1.0</v>
      </c>
      <c r="AB16" s="103">
        <v>1.0</v>
      </c>
      <c r="AC16" s="103">
        <v>1.0</v>
      </c>
      <c r="AD16" s="103">
        <v>1.0</v>
      </c>
      <c r="AE16" s="103">
        <v>1.0</v>
      </c>
      <c r="AF16" s="103">
        <v>1.0</v>
      </c>
      <c r="AG16" s="103">
        <v>1.0</v>
      </c>
      <c r="AH16" s="103">
        <v>1.0</v>
      </c>
      <c r="AI16" s="103">
        <v>1.0</v>
      </c>
      <c r="AJ16" s="103">
        <v>1.0</v>
      </c>
      <c r="AK16" s="103">
        <v>1.0</v>
      </c>
      <c r="AL16" s="103">
        <v>1.0</v>
      </c>
      <c r="AM16" s="103">
        <v>1.0</v>
      </c>
      <c r="AN16" s="103">
        <v>1.0</v>
      </c>
      <c r="AO16" s="103">
        <v>1.0</v>
      </c>
      <c r="AP16" s="103">
        <v>1.0</v>
      </c>
      <c r="AQ16" s="103">
        <v>1.0</v>
      </c>
      <c r="AR16" s="103">
        <v>1.0</v>
      </c>
      <c r="AS16" s="103">
        <v>1.0</v>
      </c>
      <c r="AT16" s="103">
        <v>1.0</v>
      </c>
      <c r="AU16" s="103">
        <v>1.0</v>
      </c>
      <c r="AV16" s="103">
        <v>1.0</v>
      </c>
      <c r="AW16" s="103">
        <v>1.0</v>
      </c>
      <c r="AX16" s="103">
        <v>1.0</v>
      </c>
      <c r="AY16" s="103">
        <v>1.0</v>
      </c>
      <c r="AZ16" s="103">
        <v>1.0</v>
      </c>
      <c r="BA16" s="103">
        <v>1.0</v>
      </c>
      <c r="BB16" s="103">
        <v>1.0</v>
      </c>
      <c r="BC16" s="103">
        <v>1.0</v>
      </c>
      <c r="BD16" s="103">
        <v>1.0</v>
      </c>
      <c r="BE16" s="103">
        <v>1.0</v>
      </c>
      <c r="BF16" s="103">
        <v>1.0</v>
      </c>
      <c r="BG16" s="103">
        <v>1.0</v>
      </c>
      <c r="BH16" s="103">
        <v>1.0</v>
      </c>
      <c r="BI16" s="103">
        <v>1.0</v>
      </c>
      <c r="BJ16" s="103">
        <v>1.0</v>
      </c>
      <c r="BK16" s="103">
        <v>1.0</v>
      </c>
      <c r="BL16" s="103">
        <v>1.0</v>
      </c>
      <c r="BM16" s="103">
        <v>1.0</v>
      </c>
      <c r="BN16" s="103">
        <v>1.0</v>
      </c>
      <c r="BO16" s="103">
        <v>1.0</v>
      </c>
      <c r="BP16" s="103">
        <v>1.0</v>
      </c>
      <c r="BQ16" s="103">
        <v>1.0</v>
      </c>
      <c r="BR16" s="103">
        <v>1.0</v>
      </c>
      <c r="BS16" s="103">
        <v>1.0</v>
      </c>
      <c r="BT16" s="103">
        <v>1.0</v>
      </c>
      <c r="BU16" s="103">
        <v>1.0</v>
      </c>
      <c r="BV16" s="103">
        <v>1.0</v>
      </c>
      <c r="BW16" s="103">
        <v>1.0</v>
      </c>
      <c r="BX16" s="103">
        <v>1.0</v>
      </c>
      <c r="BY16" s="103">
        <v>1.0</v>
      </c>
      <c r="BZ16" s="103">
        <v>1.0</v>
      </c>
      <c r="CA16" s="103">
        <v>1.0</v>
      </c>
      <c r="CB16" s="103">
        <v>1.0</v>
      </c>
      <c r="CC16" s="103">
        <v>1.0</v>
      </c>
      <c r="CD16" s="103">
        <v>1.0</v>
      </c>
      <c r="CE16" s="103">
        <v>1.0</v>
      </c>
      <c r="CF16" s="103">
        <v>1.0</v>
      </c>
      <c r="CG16" s="103">
        <v>1.0</v>
      </c>
      <c r="CH16" s="103">
        <v>1.0</v>
      </c>
      <c r="CI16" s="103">
        <v>1.0</v>
      </c>
      <c r="CJ16" s="103">
        <v>1.0</v>
      </c>
      <c r="CK16" s="103">
        <v>1.0</v>
      </c>
      <c r="CL16" s="103">
        <v>1.0</v>
      </c>
      <c r="CM16" s="103">
        <v>1.0</v>
      </c>
      <c r="CN16" s="103">
        <v>1.0</v>
      </c>
      <c r="CO16" s="103">
        <v>1.0</v>
      </c>
      <c r="CP16" s="103">
        <v>1.0</v>
      </c>
      <c r="CQ16" s="103">
        <v>0.7</v>
      </c>
      <c r="CR16" s="103">
        <v>0.35</v>
      </c>
      <c r="CS16" s="103"/>
      <c r="CT16" s="103"/>
      <c r="CU16" s="103"/>
      <c r="CV16" s="103"/>
      <c r="CW16" s="103"/>
      <c r="CX16" s="103"/>
      <c r="CY16" s="103"/>
      <c r="CZ16" s="103"/>
      <c r="DA16" s="103"/>
      <c r="DB16" s="3"/>
      <c r="DC16" s="3"/>
      <c r="DD16" s="3"/>
      <c r="DE16" s="3"/>
      <c r="DF16" s="3"/>
      <c r="DG16" s="3"/>
      <c r="DH16" s="3"/>
      <c r="DI16" s="3"/>
      <c r="DJ16" s="3"/>
      <c r="DK16" s="3"/>
      <c r="DL16" s="3"/>
      <c r="DM16" s="3"/>
      <c r="DN16" s="3"/>
      <c r="DO16" s="3"/>
      <c r="DP16" s="3"/>
      <c r="DQ16" s="3"/>
      <c r="DR16" s="3"/>
      <c r="DS16" s="3"/>
      <c r="DT16" s="3"/>
      <c r="DU16" s="3"/>
    </row>
    <row r="17" ht="15.0" customHeight="1">
      <c r="A17" s="99">
        <v>10.0</v>
      </c>
      <c r="B17" s="106" t="s">
        <v>181</v>
      </c>
      <c r="C17" s="101" t="s">
        <v>86</v>
      </c>
      <c r="D17" s="102" t="s">
        <v>55</v>
      </c>
      <c r="E17" s="102">
        <v>16.0</v>
      </c>
      <c r="F17" s="102">
        <v>19.0</v>
      </c>
      <c r="G17" s="6">
        <v>44008.0</v>
      </c>
      <c r="H17" s="6">
        <v>44013.0</v>
      </c>
      <c r="I17" s="103">
        <v>1.0</v>
      </c>
      <c r="J17" s="103">
        <v>1.0</v>
      </c>
      <c r="K17" s="103">
        <v>1.0</v>
      </c>
      <c r="L17" s="103">
        <v>1.0</v>
      </c>
      <c r="M17" s="103">
        <v>1.0</v>
      </c>
      <c r="N17" s="103">
        <v>1.0</v>
      </c>
      <c r="O17" s="103">
        <v>1.0</v>
      </c>
      <c r="P17" s="103">
        <v>1.0</v>
      </c>
      <c r="Q17" s="103">
        <v>1.0</v>
      </c>
      <c r="R17" s="103">
        <v>1.0</v>
      </c>
      <c r="S17" s="103">
        <v>1.0</v>
      </c>
      <c r="T17" s="103">
        <v>1.0</v>
      </c>
      <c r="U17" s="103">
        <v>1.0</v>
      </c>
      <c r="V17" s="103">
        <v>1.0</v>
      </c>
      <c r="W17" s="103">
        <v>1.0</v>
      </c>
      <c r="X17" s="103">
        <v>1.0</v>
      </c>
      <c r="Y17" s="103">
        <v>1.0</v>
      </c>
      <c r="Z17" s="103">
        <v>1.0</v>
      </c>
      <c r="AA17" s="103">
        <v>1.0</v>
      </c>
      <c r="AB17" s="103">
        <v>1.0</v>
      </c>
      <c r="AC17" s="103">
        <v>1.0</v>
      </c>
      <c r="AD17" s="103">
        <v>1.0</v>
      </c>
      <c r="AE17" s="103">
        <v>1.0</v>
      </c>
      <c r="AF17" s="103">
        <v>1.0</v>
      </c>
      <c r="AG17" s="103">
        <v>1.0</v>
      </c>
      <c r="AH17" s="103">
        <v>1.0</v>
      </c>
      <c r="AI17" s="103">
        <v>1.0</v>
      </c>
      <c r="AJ17" s="103">
        <v>1.0</v>
      </c>
      <c r="AK17" s="103">
        <v>1.0</v>
      </c>
      <c r="AL17" s="103">
        <v>1.0</v>
      </c>
      <c r="AM17" s="103">
        <v>1.0</v>
      </c>
      <c r="AN17" s="103">
        <v>1.0</v>
      </c>
      <c r="AO17" s="103">
        <v>1.0</v>
      </c>
      <c r="AP17" s="103">
        <v>1.0</v>
      </c>
      <c r="AQ17" s="103">
        <v>1.0</v>
      </c>
      <c r="AR17" s="103">
        <v>1.0</v>
      </c>
      <c r="AS17" s="103">
        <v>1.0</v>
      </c>
      <c r="AT17" s="103">
        <v>1.0</v>
      </c>
      <c r="AU17" s="103">
        <v>1.0</v>
      </c>
      <c r="AV17" s="103">
        <v>1.0</v>
      </c>
      <c r="AW17" s="103">
        <v>1.0</v>
      </c>
      <c r="AX17" s="103">
        <v>1.0</v>
      </c>
      <c r="AY17" s="103">
        <v>1.0</v>
      </c>
      <c r="AZ17" s="103">
        <v>1.0</v>
      </c>
      <c r="BA17" s="103">
        <v>1.0</v>
      </c>
      <c r="BB17" s="103">
        <v>1.0</v>
      </c>
      <c r="BC17" s="103">
        <v>1.0</v>
      </c>
      <c r="BD17" s="103">
        <v>1.0</v>
      </c>
      <c r="BE17" s="103">
        <v>1.0</v>
      </c>
      <c r="BF17" s="103">
        <v>1.0</v>
      </c>
      <c r="BG17" s="103">
        <v>1.0</v>
      </c>
      <c r="BH17" s="103">
        <v>1.0</v>
      </c>
      <c r="BI17" s="103">
        <v>1.0</v>
      </c>
      <c r="BJ17" s="103">
        <v>1.0</v>
      </c>
      <c r="BK17" s="103">
        <v>1.0</v>
      </c>
      <c r="BL17" s="103">
        <v>1.0</v>
      </c>
      <c r="BM17" s="103">
        <v>1.0</v>
      </c>
      <c r="BN17" s="103">
        <v>1.0</v>
      </c>
      <c r="BO17" s="103">
        <v>1.0</v>
      </c>
      <c r="BP17" s="103">
        <v>1.0</v>
      </c>
      <c r="BQ17" s="103">
        <v>1.0</v>
      </c>
      <c r="BR17" s="103">
        <v>1.0</v>
      </c>
      <c r="BS17" s="103">
        <v>1.0</v>
      </c>
      <c r="BT17" s="103">
        <v>1.0</v>
      </c>
      <c r="BU17" s="103">
        <v>1.0</v>
      </c>
      <c r="BV17" s="103">
        <v>1.0</v>
      </c>
      <c r="BW17" s="103">
        <v>1.0</v>
      </c>
      <c r="BX17" s="103">
        <v>1.0</v>
      </c>
      <c r="BY17" s="103">
        <v>1.0</v>
      </c>
      <c r="BZ17" s="103">
        <v>1.0</v>
      </c>
      <c r="CA17" s="103">
        <v>1.0</v>
      </c>
      <c r="CB17" s="103">
        <v>1.0</v>
      </c>
      <c r="CC17" s="103">
        <v>1.0</v>
      </c>
      <c r="CD17" s="103">
        <v>1.0</v>
      </c>
      <c r="CE17" s="103">
        <v>1.0</v>
      </c>
      <c r="CF17" s="103">
        <v>1.0</v>
      </c>
      <c r="CG17" s="103">
        <v>1.0</v>
      </c>
      <c r="CH17" s="103">
        <v>1.0</v>
      </c>
      <c r="CI17" s="103">
        <v>1.0</v>
      </c>
      <c r="CJ17" s="103">
        <v>1.0</v>
      </c>
      <c r="CK17" s="103">
        <v>1.0</v>
      </c>
      <c r="CL17" s="103">
        <v>1.0</v>
      </c>
      <c r="CM17" s="103">
        <v>1.0</v>
      </c>
      <c r="CN17" s="103">
        <v>1.0</v>
      </c>
      <c r="CO17" s="103">
        <v>1.0</v>
      </c>
      <c r="CP17" s="103">
        <v>0.8</v>
      </c>
      <c r="CQ17" s="103">
        <v>0.8</v>
      </c>
      <c r="CR17" s="103">
        <v>0.8</v>
      </c>
      <c r="CS17" s="103">
        <v>0.4</v>
      </c>
      <c r="CT17" s="103"/>
      <c r="CU17" s="103"/>
      <c r="CV17" s="103"/>
      <c r="CW17" s="103"/>
      <c r="CX17" s="103"/>
      <c r="CY17" s="103"/>
      <c r="CZ17" s="103"/>
      <c r="DA17" s="103"/>
      <c r="DB17" s="3"/>
      <c r="DC17" s="3"/>
      <c r="DD17" s="3"/>
      <c r="DE17" s="3"/>
      <c r="DF17" s="3"/>
      <c r="DG17" s="3"/>
      <c r="DH17" s="3"/>
      <c r="DI17" s="3"/>
      <c r="DJ17" s="3"/>
      <c r="DK17" s="3"/>
      <c r="DL17" s="3"/>
      <c r="DM17" s="3"/>
      <c r="DN17" s="3"/>
      <c r="DO17" s="3"/>
      <c r="DP17" s="3"/>
      <c r="DQ17" s="3"/>
      <c r="DR17" s="3"/>
      <c r="DS17" s="3"/>
      <c r="DT17" s="3"/>
      <c r="DU17" s="3"/>
    </row>
    <row r="18" ht="15.0" customHeight="1">
      <c r="A18" s="99">
        <v>11.0</v>
      </c>
      <c r="B18" s="106" t="s">
        <v>182</v>
      </c>
      <c r="C18" s="101" t="s">
        <v>86</v>
      </c>
      <c r="D18" s="102" t="s">
        <v>51</v>
      </c>
      <c r="E18" s="102">
        <v>8.0</v>
      </c>
      <c r="F18" s="102"/>
      <c r="G18" s="6"/>
      <c r="H18" s="6"/>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3"/>
      <c r="CU18" s="103"/>
      <c r="CV18" s="103"/>
      <c r="CW18" s="103"/>
      <c r="CX18" s="103"/>
      <c r="CY18" s="103"/>
      <c r="CZ18" s="103"/>
      <c r="DA18" s="103"/>
      <c r="DB18" s="3"/>
      <c r="DC18" s="3"/>
      <c r="DD18" s="3"/>
      <c r="DE18" s="3"/>
      <c r="DF18" s="3"/>
      <c r="DG18" s="3"/>
      <c r="DH18" s="3"/>
      <c r="DI18" s="3"/>
      <c r="DJ18" s="3"/>
      <c r="DK18" s="3"/>
      <c r="DL18" s="3"/>
      <c r="DM18" s="3"/>
      <c r="DN18" s="3"/>
      <c r="DO18" s="3"/>
      <c r="DP18" s="3"/>
      <c r="DQ18" s="3"/>
      <c r="DR18" s="3"/>
      <c r="DS18" s="3"/>
      <c r="DT18" s="3"/>
      <c r="DU18" s="3"/>
    </row>
    <row r="19" ht="15.0" customHeight="1">
      <c r="A19" s="108" t="s">
        <v>45</v>
      </c>
      <c r="B19" s="50"/>
      <c r="C19" s="51"/>
      <c r="D19" s="101"/>
      <c r="E19" s="109">
        <f t="shared" ref="E19:F19" si="1">SUM(E8:E18)</f>
        <v>136</v>
      </c>
      <c r="F19" s="109">
        <f t="shared" si="1"/>
        <v>154</v>
      </c>
      <c r="G19" s="110"/>
      <c r="H19" s="110"/>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c r="CY19" s="111"/>
      <c r="CZ19" s="111"/>
      <c r="DA19" s="111"/>
      <c r="DB19" s="3"/>
      <c r="DC19" s="3"/>
      <c r="DD19" s="3"/>
      <c r="DE19" s="3"/>
      <c r="DF19" s="3"/>
      <c r="DG19" s="3"/>
      <c r="DH19" s="3"/>
      <c r="DI19" s="3"/>
      <c r="DJ19" s="3"/>
      <c r="DK19" s="3"/>
      <c r="DL19" s="3"/>
      <c r="DM19" s="3"/>
      <c r="DN19" s="3"/>
      <c r="DO19" s="3"/>
      <c r="DP19" s="3"/>
      <c r="DQ19" s="3"/>
      <c r="DR19" s="3"/>
      <c r="DS19" s="3"/>
      <c r="DT19" s="3"/>
      <c r="DU19" s="3"/>
    </row>
    <row r="20">
      <c r="A20" s="118" t="s">
        <v>183</v>
      </c>
      <c r="B20" s="67"/>
      <c r="C20" s="67"/>
      <c r="D20" s="67"/>
      <c r="E20" s="67"/>
      <c r="F20" s="67"/>
      <c r="G20" s="67"/>
      <c r="H20" s="68"/>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4"/>
      <c r="CD20" s="94"/>
      <c r="CE20" s="94"/>
      <c r="CF20" s="94"/>
      <c r="CG20" s="94"/>
      <c r="CH20" s="94"/>
      <c r="CI20" s="94"/>
      <c r="CJ20" s="94"/>
      <c r="CK20" s="94"/>
      <c r="CL20" s="94"/>
      <c r="CM20" s="94"/>
      <c r="CN20" s="94"/>
      <c r="CO20" s="94"/>
      <c r="CP20" s="69"/>
      <c r="CQ20" s="69"/>
      <c r="CR20" s="69"/>
      <c r="CS20" s="69"/>
      <c r="CT20" s="69"/>
      <c r="CU20" s="69"/>
      <c r="CV20" s="69"/>
      <c r="CW20" s="69"/>
      <c r="CX20" s="69"/>
      <c r="CY20" s="69"/>
      <c r="CZ20" s="69"/>
      <c r="DA20" s="69"/>
      <c r="DB20" s="69"/>
      <c r="DC20" s="69"/>
      <c r="DD20" s="69"/>
      <c r="DE20" s="3"/>
      <c r="DF20" s="3"/>
      <c r="DG20" s="3"/>
      <c r="DH20" s="3"/>
      <c r="DI20" s="3"/>
      <c r="DJ20" s="3"/>
      <c r="DK20" s="3"/>
      <c r="DL20" s="3"/>
      <c r="DM20" s="3"/>
      <c r="DN20" s="3"/>
      <c r="DO20" s="3"/>
      <c r="DP20" s="3"/>
      <c r="DQ20" s="3"/>
      <c r="DR20" s="3"/>
      <c r="DS20" s="3"/>
      <c r="DT20" s="3"/>
      <c r="DU20" s="3"/>
    </row>
    <row r="21" ht="15.75" customHeight="1">
      <c r="A21" s="95" t="s">
        <v>6</v>
      </c>
      <c r="B21" s="96" t="s">
        <v>7</v>
      </c>
      <c r="C21" s="97" t="s">
        <v>8</v>
      </c>
      <c r="D21" s="96" t="s">
        <v>9</v>
      </c>
      <c r="E21" s="96" t="s">
        <v>10</v>
      </c>
      <c r="F21" s="96" t="s">
        <v>11</v>
      </c>
      <c r="G21" s="96" t="s">
        <v>12</v>
      </c>
      <c r="H21" s="96" t="s">
        <v>13</v>
      </c>
      <c r="I21" s="98">
        <v>44123.0</v>
      </c>
      <c r="J21" s="98">
        <v>44120.0</v>
      </c>
      <c r="K21" s="98">
        <v>44119.0</v>
      </c>
      <c r="L21" s="98">
        <v>44118.0</v>
      </c>
      <c r="M21" s="98">
        <v>44117.0</v>
      </c>
      <c r="N21" s="98">
        <v>44116.0</v>
      </c>
      <c r="O21" s="98">
        <v>44114.0</v>
      </c>
      <c r="P21" s="98">
        <v>44113.0</v>
      </c>
      <c r="Q21" s="98">
        <v>44112.0</v>
      </c>
      <c r="R21" s="98">
        <v>44111.0</v>
      </c>
      <c r="S21" s="98">
        <v>44110.0</v>
      </c>
      <c r="T21" s="98">
        <v>44109.0</v>
      </c>
      <c r="U21" s="98">
        <v>44105.0</v>
      </c>
      <c r="V21" s="98">
        <v>44104.0</v>
      </c>
      <c r="W21" s="98">
        <v>44103.0</v>
      </c>
      <c r="X21" s="98">
        <v>44102.0</v>
      </c>
      <c r="Y21" s="98">
        <v>44100.0</v>
      </c>
      <c r="Z21" s="98">
        <v>44099.0</v>
      </c>
      <c r="AA21" s="98">
        <v>44098.0</v>
      </c>
      <c r="AB21" s="98">
        <v>44097.0</v>
      </c>
      <c r="AC21" s="98">
        <v>44096.0</v>
      </c>
      <c r="AD21" s="98">
        <v>44095.0</v>
      </c>
      <c r="AE21" s="98">
        <v>44092.0</v>
      </c>
      <c r="AF21" s="98">
        <v>44091.0</v>
      </c>
      <c r="AG21" s="98">
        <v>44090.0</v>
      </c>
      <c r="AH21" s="98">
        <v>44089.0</v>
      </c>
      <c r="AI21" s="98">
        <v>44088.0</v>
      </c>
      <c r="AJ21" s="98">
        <v>44086.0</v>
      </c>
      <c r="AK21" s="98">
        <v>44085.0</v>
      </c>
      <c r="AL21" s="98">
        <v>44084.0</v>
      </c>
      <c r="AM21" s="98">
        <v>44083.0</v>
      </c>
      <c r="AN21" s="98">
        <v>44082.0</v>
      </c>
      <c r="AO21" s="98">
        <v>44081.0</v>
      </c>
      <c r="AP21" s="98">
        <v>44079.0</v>
      </c>
      <c r="AQ21" s="98">
        <v>44078.0</v>
      </c>
      <c r="AR21" s="98">
        <v>44077.0</v>
      </c>
      <c r="AS21" s="98">
        <v>44076.0</v>
      </c>
      <c r="AT21" s="98">
        <v>44071.0</v>
      </c>
      <c r="AU21" s="98">
        <v>44070.0</v>
      </c>
      <c r="AV21" s="98">
        <v>44069.0</v>
      </c>
      <c r="AW21" s="98">
        <v>44068.0</v>
      </c>
      <c r="AX21" s="98">
        <v>44067.0</v>
      </c>
      <c r="AY21" s="98">
        <v>44065.0</v>
      </c>
      <c r="AZ21" s="98">
        <v>44064.0</v>
      </c>
      <c r="BA21" s="98">
        <v>44063.0</v>
      </c>
      <c r="BB21" s="98">
        <v>44062.0</v>
      </c>
      <c r="BC21" s="98">
        <v>44061.0</v>
      </c>
      <c r="BD21" s="98">
        <v>44060.0</v>
      </c>
      <c r="BE21" s="98">
        <v>44057.0</v>
      </c>
      <c r="BF21" s="98">
        <v>44056.0</v>
      </c>
      <c r="BG21" s="98">
        <v>44055.0</v>
      </c>
      <c r="BH21" s="98">
        <v>44054.0</v>
      </c>
      <c r="BI21" s="98">
        <v>44053.0</v>
      </c>
      <c r="BJ21" s="98">
        <v>44051.0</v>
      </c>
      <c r="BK21" s="98">
        <v>44050.0</v>
      </c>
      <c r="BL21" s="98">
        <v>44049.0</v>
      </c>
      <c r="BM21" s="98">
        <v>44048.0</v>
      </c>
      <c r="BN21" s="98">
        <v>44047.0</v>
      </c>
      <c r="BO21" s="98">
        <v>44045.0</v>
      </c>
      <c r="BP21" s="98">
        <v>44046.0</v>
      </c>
      <c r="BQ21" s="98">
        <v>44043.0</v>
      </c>
      <c r="BR21" s="98">
        <v>44042.0</v>
      </c>
      <c r="BS21" s="98">
        <v>44041.0</v>
      </c>
      <c r="BT21" s="98">
        <v>44040.0</v>
      </c>
      <c r="BU21" s="98">
        <v>44039.0</v>
      </c>
      <c r="BV21" s="98">
        <v>44037.0</v>
      </c>
      <c r="BW21" s="98">
        <v>44036.0</v>
      </c>
      <c r="BX21" s="98">
        <v>44035.0</v>
      </c>
      <c r="BY21" s="98">
        <v>44034.0</v>
      </c>
      <c r="BZ21" s="98">
        <v>44033.0</v>
      </c>
      <c r="CA21" s="98">
        <v>44032.0</v>
      </c>
      <c r="CB21" s="98">
        <v>44029.0</v>
      </c>
      <c r="CC21" s="98">
        <v>44028.0</v>
      </c>
      <c r="CD21" s="98">
        <v>44027.0</v>
      </c>
      <c r="CE21" s="98">
        <v>44026.0</v>
      </c>
      <c r="CF21" s="98">
        <v>44025.0</v>
      </c>
      <c r="CG21" s="98">
        <v>44023.0</v>
      </c>
      <c r="CH21" s="98">
        <v>44022.0</v>
      </c>
      <c r="CI21" s="98">
        <v>44021.0</v>
      </c>
      <c r="CJ21" s="98">
        <v>44020.0</v>
      </c>
      <c r="CK21" s="98">
        <v>44019.0</v>
      </c>
      <c r="CL21" s="98">
        <v>44018.0</v>
      </c>
      <c r="CM21" s="98">
        <v>44015.0</v>
      </c>
      <c r="CN21" s="98">
        <v>44014.0</v>
      </c>
      <c r="CO21" s="98">
        <v>44013.0</v>
      </c>
      <c r="CP21" s="69"/>
      <c r="CQ21" s="69"/>
      <c r="CR21" s="69"/>
      <c r="CS21" s="69"/>
      <c r="CT21" s="69"/>
      <c r="CU21" s="69"/>
      <c r="CV21" s="69"/>
      <c r="CW21" s="69"/>
      <c r="CX21" s="69"/>
      <c r="CY21" s="69"/>
      <c r="CZ21" s="69"/>
      <c r="DA21" s="69"/>
      <c r="DB21" s="69"/>
      <c r="DC21" s="69"/>
      <c r="DD21" s="69"/>
      <c r="DE21" s="3"/>
      <c r="DF21" s="3"/>
      <c r="DG21" s="3"/>
      <c r="DH21" s="3"/>
      <c r="DI21" s="3"/>
      <c r="DJ21" s="3"/>
      <c r="DK21" s="3"/>
      <c r="DL21" s="3"/>
      <c r="DM21" s="3"/>
      <c r="DN21" s="3"/>
      <c r="DO21" s="3"/>
      <c r="DP21" s="3"/>
      <c r="DQ21" s="3"/>
      <c r="DR21" s="3"/>
      <c r="DS21" s="3"/>
      <c r="DT21" s="3"/>
      <c r="DU21" s="3"/>
    </row>
    <row r="22" ht="15.0" customHeight="1">
      <c r="A22" s="99">
        <v>1.0</v>
      </c>
      <c r="B22" s="100" t="s">
        <v>184</v>
      </c>
      <c r="C22" s="101" t="s">
        <v>86</v>
      </c>
      <c r="D22" s="102" t="s">
        <v>42</v>
      </c>
      <c r="E22" s="102">
        <v>16.0</v>
      </c>
      <c r="F22" s="102">
        <v>16.0</v>
      </c>
      <c r="G22" s="6">
        <v>44020.0</v>
      </c>
      <c r="H22" s="6">
        <v>44018.0</v>
      </c>
      <c r="I22" s="103">
        <v>1.0</v>
      </c>
      <c r="J22" s="103">
        <v>1.0</v>
      </c>
      <c r="K22" s="103">
        <v>1.0</v>
      </c>
      <c r="L22" s="103">
        <v>1.0</v>
      </c>
      <c r="M22" s="103">
        <v>1.0</v>
      </c>
      <c r="N22" s="103">
        <v>1.0</v>
      </c>
      <c r="O22" s="103">
        <v>1.0</v>
      </c>
      <c r="P22" s="103">
        <v>1.0</v>
      </c>
      <c r="Q22" s="103">
        <v>1.0</v>
      </c>
      <c r="R22" s="103">
        <v>1.0</v>
      </c>
      <c r="S22" s="103">
        <v>1.0</v>
      </c>
      <c r="T22" s="103">
        <v>1.0</v>
      </c>
      <c r="U22" s="103">
        <v>1.0</v>
      </c>
      <c r="V22" s="103">
        <v>1.0</v>
      </c>
      <c r="W22" s="103">
        <v>1.0</v>
      </c>
      <c r="X22" s="103">
        <v>1.0</v>
      </c>
      <c r="Y22" s="103">
        <v>1.0</v>
      </c>
      <c r="Z22" s="103">
        <v>1.0</v>
      </c>
      <c r="AA22" s="103">
        <v>1.0</v>
      </c>
      <c r="AB22" s="103">
        <v>1.0</v>
      </c>
      <c r="AC22" s="103">
        <v>1.0</v>
      </c>
      <c r="AD22" s="103">
        <v>1.0</v>
      </c>
      <c r="AE22" s="103">
        <v>1.0</v>
      </c>
      <c r="AF22" s="103">
        <v>1.0</v>
      </c>
      <c r="AG22" s="103">
        <v>1.0</v>
      </c>
      <c r="AH22" s="103">
        <v>1.0</v>
      </c>
      <c r="AI22" s="103">
        <v>1.0</v>
      </c>
      <c r="AJ22" s="103">
        <v>1.0</v>
      </c>
      <c r="AK22" s="103">
        <v>1.0</v>
      </c>
      <c r="AL22" s="103">
        <v>1.0</v>
      </c>
      <c r="AM22" s="103">
        <v>1.0</v>
      </c>
      <c r="AN22" s="103">
        <v>1.0</v>
      </c>
      <c r="AO22" s="103">
        <v>1.0</v>
      </c>
      <c r="AP22" s="103">
        <v>1.0</v>
      </c>
      <c r="AQ22" s="103">
        <v>1.0</v>
      </c>
      <c r="AR22" s="103">
        <v>1.0</v>
      </c>
      <c r="AS22" s="103">
        <v>1.0</v>
      </c>
      <c r="AT22" s="103">
        <v>1.0</v>
      </c>
      <c r="AU22" s="103">
        <v>1.0</v>
      </c>
      <c r="AV22" s="103">
        <v>1.0</v>
      </c>
      <c r="AW22" s="103">
        <v>1.0</v>
      </c>
      <c r="AX22" s="103">
        <v>1.0</v>
      </c>
      <c r="AY22" s="103">
        <v>1.0</v>
      </c>
      <c r="AZ22" s="103">
        <v>1.0</v>
      </c>
      <c r="BA22" s="103">
        <v>1.0</v>
      </c>
      <c r="BB22" s="103">
        <v>1.0</v>
      </c>
      <c r="BC22" s="103">
        <v>1.0</v>
      </c>
      <c r="BD22" s="103">
        <v>1.0</v>
      </c>
      <c r="BE22" s="103">
        <v>1.0</v>
      </c>
      <c r="BF22" s="103">
        <v>1.0</v>
      </c>
      <c r="BG22" s="103">
        <v>1.0</v>
      </c>
      <c r="BH22" s="103">
        <v>1.0</v>
      </c>
      <c r="BI22" s="103">
        <v>1.0</v>
      </c>
      <c r="BJ22" s="103">
        <v>1.0</v>
      </c>
      <c r="BK22" s="103">
        <v>1.0</v>
      </c>
      <c r="BL22" s="103">
        <v>1.0</v>
      </c>
      <c r="BM22" s="103">
        <v>1.0</v>
      </c>
      <c r="BN22" s="103">
        <v>1.0</v>
      </c>
      <c r="BO22" s="103">
        <v>1.0</v>
      </c>
      <c r="BP22" s="103">
        <v>1.0</v>
      </c>
      <c r="BQ22" s="103">
        <v>1.0</v>
      </c>
      <c r="BR22" s="103">
        <v>1.0</v>
      </c>
      <c r="BS22" s="103">
        <v>1.0</v>
      </c>
      <c r="BT22" s="103">
        <v>1.0</v>
      </c>
      <c r="BU22" s="103">
        <v>1.0</v>
      </c>
      <c r="BV22" s="103">
        <v>1.0</v>
      </c>
      <c r="BW22" s="103">
        <v>1.0</v>
      </c>
      <c r="BX22" s="103">
        <v>1.0</v>
      </c>
      <c r="BY22" s="103">
        <v>1.0</v>
      </c>
      <c r="BZ22" s="103">
        <v>1.0</v>
      </c>
      <c r="CA22" s="103">
        <v>1.0</v>
      </c>
      <c r="CB22" s="103">
        <v>1.0</v>
      </c>
      <c r="CC22" s="103">
        <v>1.0</v>
      </c>
      <c r="CD22" s="103">
        <v>1.0</v>
      </c>
      <c r="CE22" s="103">
        <v>1.0</v>
      </c>
      <c r="CF22" s="103">
        <v>1.0</v>
      </c>
      <c r="CG22" s="103">
        <v>1.0</v>
      </c>
      <c r="CH22" s="103">
        <v>1.0</v>
      </c>
      <c r="CI22" s="103">
        <v>1.0</v>
      </c>
      <c r="CJ22" s="103">
        <v>1.0</v>
      </c>
      <c r="CK22" s="103">
        <v>0.7</v>
      </c>
      <c r="CL22" s="103">
        <v>0.3</v>
      </c>
      <c r="CM22" s="103"/>
      <c r="CN22" s="103"/>
      <c r="CO22" s="103"/>
      <c r="CP22" s="69"/>
      <c r="CQ22" s="69"/>
      <c r="CR22" s="69"/>
      <c r="CS22" s="69"/>
      <c r="CT22" s="69"/>
      <c r="CU22" s="69"/>
      <c r="CV22" s="69"/>
      <c r="CW22" s="69"/>
      <c r="CX22" s="69"/>
      <c r="CY22" s="69"/>
      <c r="CZ22" s="69"/>
      <c r="DA22" s="69"/>
      <c r="DB22" s="69"/>
      <c r="DC22" s="69"/>
      <c r="DD22" s="69"/>
      <c r="DE22" s="3"/>
      <c r="DF22" s="3"/>
      <c r="DG22" s="3"/>
      <c r="DH22" s="3"/>
      <c r="DI22" s="3"/>
      <c r="DJ22" s="3"/>
      <c r="DK22" s="3"/>
      <c r="DL22" s="3"/>
      <c r="DM22" s="3"/>
      <c r="DN22" s="3"/>
      <c r="DO22" s="3"/>
      <c r="DP22" s="3"/>
      <c r="DQ22" s="3"/>
      <c r="DR22" s="3"/>
      <c r="DS22" s="3"/>
      <c r="DT22" s="3"/>
      <c r="DU22" s="3"/>
    </row>
    <row r="23" ht="15.0" customHeight="1">
      <c r="A23" s="99">
        <v>2.0</v>
      </c>
      <c r="B23" s="100" t="s">
        <v>185</v>
      </c>
      <c r="C23" s="101" t="s">
        <v>86</v>
      </c>
      <c r="D23" s="102" t="s">
        <v>55</v>
      </c>
      <c r="E23" s="3">
        <v>16.0</v>
      </c>
      <c r="F23" s="102">
        <v>18.0</v>
      </c>
      <c r="G23" s="6">
        <v>44020.0</v>
      </c>
      <c r="H23" s="6">
        <v>44018.0</v>
      </c>
      <c r="I23" s="103">
        <v>1.0</v>
      </c>
      <c r="J23" s="103">
        <v>1.0</v>
      </c>
      <c r="K23" s="103">
        <v>1.0</v>
      </c>
      <c r="L23" s="103">
        <v>1.0</v>
      </c>
      <c r="M23" s="103">
        <v>1.0</v>
      </c>
      <c r="N23" s="103">
        <v>1.0</v>
      </c>
      <c r="O23" s="103">
        <v>1.0</v>
      </c>
      <c r="P23" s="103">
        <v>1.0</v>
      </c>
      <c r="Q23" s="103">
        <v>1.0</v>
      </c>
      <c r="R23" s="103">
        <v>1.0</v>
      </c>
      <c r="S23" s="103">
        <v>1.0</v>
      </c>
      <c r="T23" s="103">
        <v>1.0</v>
      </c>
      <c r="U23" s="103">
        <v>1.0</v>
      </c>
      <c r="V23" s="103">
        <v>1.0</v>
      </c>
      <c r="W23" s="103">
        <v>1.0</v>
      </c>
      <c r="X23" s="103">
        <v>1.0</v>
      </c>
      <c r="Y23" s="103">
        <v>1.0</v>
      </c>
      <c r="Z23" s="103">
        <v>1.0</v>
      </c>
      <c r="AA23" s="103">
        <v>1.0</v>
      </c>
      <c r="AB23" s="103">
        <v>1.0</v>
      </c>
      <c r="AC23" s="103">
        <v>1.0</v>
      </c>
      <c r="AD23" s="103">
        <v>1.0</v>
      </c>
      <c r="AE23" s="103">
        <v>1.0</v>
      </c>
      <c r="AF23" s="103">
        <v>1.0</v>
      </c>
      <c r="AG23" s="103">
        <v>1.0</v>
      </c>
      <c r="AH23" s="103">
        <v>1.0</v>
      </c>
      <c r="AI23" s="103">
        <v>1.0</v>
      </c>
      <c r="AJ23" s="103">
        <v>1.0</v>
      </c>
      <c r="AK23" s="103">
        <v>1.0</v>
      </c>
      <c r="AL23" s="103">
        <v>1.0</v>
      </c>
      <c r="AM23" s="103">
        <v>1.0</v>
      </c>
      <c r="AN23" s="103">
        <v>1.0</v>
      </c>
      <c r="AO23" s="103">
        <v>1.0</v>
      </c>
      <c r="AP23" s="103">
        <v>1.0</v>
      </c>
      <c r="AQ23" s="103">
        <v>1.0</v>
      </c>
      <c r="AR23" s="103">
        <v>1.0</v>
      </c>
      <c r="AS23" s="103">
        <v>1.0</v>
      </c>
      <c r="AT23" s="103">
        <v>1.0</v>
      </c>
      <c r="AU23" s="103">
        <v>1.0</v>
      </c>
      <c r="AV23" s="103">
        <v>1.0</v>
      </c>
      <c r="AW23" s="103">
        <v>1.0</v>
      </c>
      <c r="AX23" s="103">
        <v>1.0</v>
      </c>
      <c r="AY23" s="103">
        <v>1.0</v>
      </c>
      <c r="AZ23" s="103">
        <v>1.0</v>
      </c>
      <c r="BA23" s="103">
        <v>1.0</v>
      </c>
      <c r="BB23" s="103">
        <v>1.0</v>
      </c>
      <c r="BC23" s="103">
        <v>1.0</v>
      </c>
      <c r="BD23" s="103">
        <v>1.0</v>
      </c>
      <c r="BE23" s="103">
        <v>1.0</v>
      </c>
      <c r="BF23" s="103">
        <v>1.0</v>
      </c>
      <c r="BG23" s="103">
        <v>1.0</v>
      </c>
      <c r="BH23" s="103">
        <v>1.0</v>
      </c>
      <c r="BI23" s="103">
        <v>1.0</v>
      </c>
      <c r="BJ23" s="103">
        <v>1.0</v>
      </c>
      <c r="BK23" s="103">
        <v>1.0</v>
      </c>
      <c r="BL23" s="103">
        <v>1.0</v>
      </c>
      <c r="BM23" s="103">
        <v>1.0</v>
      </c>
      <c r="BN23" s="103">
        <v>1.0</v>
      </c>
      <c r="BO23" s="103">
        <v>1.0</v>
      </c>
      <c r="BP23" s="103">
        <v>1.0</v>
      </c>
      <c r="BQ23" s="103">
        <v>1.0</v>
      </c>
      <c r="BR23" s="103">
        <v>1.0</v>
      </c>
      <c r="BS23" s="103">
        <v>1.0</v>
      </c>
      <c r="BT23" s="103">
        <v>1.0</v>
      </c>
      <c r="BU23" s="103">
        <v>1.0</v>
      </c>
      <c r="BV23" s="103">
        <v>1.0</v>
      </c>
      <c r="BW23" s="103">
        <v>1.0</v>
      </c>
      <c r="BX23" s="103">
        <v>1.0</v>
      </c>
      <c r="BY23" s="103">
        <v>1.0</v>
      </c>
      <c r="BZ23" s="103">
        <v>1.0</v>
      </c>
      <c r="CA23" s="103">
        <v>1.0</v>
      </c>
      <c r="CB23" s="103">
        <v>1.0</v>
      </c>
      <c r="CC23" s="103">
        <v>1.0</v>
      </c>
      <c r="CD23" s="103">
        <v>1.0</v>
      </c>
      <c r="CE23" s="103">
        <v>1.0</v>
      </c>
      <c r="CF23" s="103">
        <v>1.0</v>
      </c>
      <c r="CG23" s="103">
        <v>1.0</v>
      </c>
      <c r="CH23" s="103">
        <v>1.0</v>
      </c>
      <c r="CI23" s="103">
        <v>1.0</v>
      </c>
      <c r="CJ23" s="103">
        <v>1.0</v>
      </c>
      <c r="CK23" s="103">
        <v>0.7</v>
      </c>
      <c r="CL23" s="103">
        <v>0.3</v>
      </c>
      <c r="CM23" s="103"/>
      <c r="CN23" s="103"/>
      <c r="CO23" s="103"/>
      <c r="CP23" s="69"/>
      <c r="CQ23" s="69"/>
      <c r="CR23" s="69"/>
      <c r="CS23" s="69"/>
      <c r="CT23" s="69"/>
      <c r="CU23" s="69"/>
      <c r="CV23" s="69"/>
      <c r="CW23" s="69"/>
      <c r="CX23" s="69"/>
      <c r="CY23" s="69"/>
      <c r="CZ23" s="69"/>
      <c r="DA23" s="69"/>
      <c r="DB23" s="69"/>
      <c r="DC23" s="69"/>
      <c r="DD23" s="69"/>
      <c r="DE23" s="3"/>
      <c r="DF23" s="3"/>
      <c r="DG23" s="3"/>
      <c r="DH23" s="3"/>
      <c r="DI23" s="3"/>
      <c r="DJ23" s="3"/>
      <c r="DK23" s="3"/>
      <c r="DL23" s="3"/>
      <c r="DM23" s="3"/>
      <c r="DN23" s="3"/>
      <c r="DO23" s="3"/>
      <c r="DP23" s="3"/>
      <c r="DQ23" s="3"/>
      <c r="DR23" s="3"/>
      <c r="DS23" s="3"/>
      <c r="DT23" s="3"/>
      <c r="DU23" s="3"/>
    </row>
    <row r="24" ht="15.75" customHeight="1">
      <c r="A24" s="99">
        <v>3.0</v>
      </c>
      <c r="B24" s="100" t="s">
        <v>186</v>
      </c>
      <c r="C24" s="101" t="s">
        <v>86</v>
      </c>
      <c r="D24" s="102" t="s">
        <v>42</v>
      </c>
      <c r="E24" s="102">
        <v>4.0</v>
      </c>
      <c r="F24" s="102">
        <v>4.0</v>
      </c>
      <c r="G24" s="6">
        <v>44020.0</v>
      </c>
      <c r="H24" s="6">
        <v>44020.0</v>
      </c>
      <c r="I24" s="103">
        <v>1.0</v>
      </c>
      <c r="J24" s="103">
        <v>1.0</v>
      </c>
      <c r="K24" s="103">
        <v>1.0</v>
      </c>
      <c r="L24" s="103">
        <v>1.0</v>
      </c>
      <c r="M24" s="103">
        <v>1.0</v>
      </c>
      <c r="N24" s="103">
        <v>1.0</v>
      </c>
      <c r="O24" s="103">
        <v>1.0</v>
      </c>
      <c r="P24" s="103">
        <v>1.0</v>
      </c>
      <c r="Q24" s="103">
        <v>1.0</v>
      </c>
      <c r="R24" s="103">
        <v>1.0</v>
      </c>
      <c r="S24" s="103">
        <v>1.0</v>
      </c>
      <c r="T24" s="103">
        <v>1.0</v>
      </c>
      <c r="U24" s="103">
        <v>1.0</v>
      </c>
      <c r="V24" s="103">
        <v>1.0</v>
      </c>
      <c r="W24" s="103">
        <v>1.0</v>
      </c>
      <c r="X24" s="103">
        <v>1.0</v>
      </c>
      <c r="Y24" s="103">
        <v>1.0</v>
      </c>
      <c r="Z24" s="103">
        <v>1.0</v>
      </c>
      <c r="AA24" s="103">
        <v>1.0</v>
      </c>
      <c r="AB24" s="103">
        <v>1.0</v>
      </c>
      <c r="AC24" s="103">
        <v>1.0</v>
      </c>
      <c r="AD24" s="103">
        <v>1.0</v>
      </c>
      <c r="AE24" s="103">
        <v>1.0</v>
      </c>
      <c r="AF24" s="103">
        <v>1.0</v>
      </c>
      <c r="AG24" s="103">
        <v>1.0</v>
      </c>
      <c r="AH24" s="103">
        <v>1.0</v>
      </c>
      <c r="AI24" s="103">
        <v>1.0</v>
      </c>
      <c r="AJ24" s="103">
        <v>1.0</v>
      </c>
      <c r="AK24" s="103">
        <v>1.0</v>
      </c>
      <c r="AL24" s="103">
        <v>1.0</v>
      </c>
      <c r="AM24" s="103">
        <v>1.0</v>
      </c>
      <c r="AN24" s="103">
        <v>1.0</v>
      </c>
      <c r="AO24" s="103">
        <v>1.0</v>
      </c>
      <c r="AP24" s="103">
        <v>1.0</v>
      </c>
      <c r="AQ24" s="103">
        <v>1.0</v>
      </c>
      <c r="AR24" s="103">
        <v>1.0</v>
      </c>
      <c r="AS24" s="103">
        <v>1.0</v>
      </c>
      <c r="AT24" s="103">
        <v>1.0</v>
      </c>
      <c r="AU24" s="103">
        <v>1.0</v>
      </c>
      <c r="AV24" s="103">
        <v>1.0</v>
      </c>
      <c r="AW24" s="103">
        <v>1.0</v>
      </c>
      <c r="AX24" s="103">
        <v>1.0</v>
      </c>
      <c r="AY24" s="103">
        <v>1.0</v>
      </c>
      <c r="AZ24" s="103">
        <v>1.0</v>
      </c>
      <c r="BA24" s="103">
        <v>1.0</v>
      </c>
      <c r="BB24" s="103">
        <v>1.0</v>
      </c>
      <c r="BC24" s="103">
        <v>1.0</v>
      </c>
      <c r="BD24" s="103">
        <v>1.0</v>
      </c>
      <c r="BE24" s="103">
        <v>1.0</v>
      </c>
      <c r="BF24" s="103">
        <v>1.0</v>
      </c>
      <c r="BG24" s="103">
        <v>1.0</v>
      </c>
      <c r="BH24" s="103">
        <v>1.0</v>
      </c>
      <c r="BI24" s="103">
        <v>1.0</v>
      </c>
      <c r="BJ24" s="103">
        <v>1.0</v>
      </c>
      <c r="BK24" s="103">
        <v>1.0</v>
      </c>
      <c r="BL24" s="103">
        <v>1.0</v>
      </c>
      <c r="BM24" s="103">
        <v>1.0</v>
      </c>
      <c r="BN24" s="103">
        <v>1.0</v>
      </c>
      <c r="BO24" s="103">
        <v>1.0</v>
      </c>
      <c r="BP24" s="103">
        <v>1.0</v>
      </c>
      <c r="BQ24" s="103">
        <v>1.0</v>
      </c>
      <c r="BR24" s="103">
        <v>1.0</v>
      </c>
      <c r="BS24" s="103">
        <v>1.0</v>
      </c>
      <c r="BT24" s="103">
        <v>1.0</v>
      </c>
      <c r="BU24" s="103">
        <v>1.0</v>
      </c>
      <c r="BV24" s="103">
        <v>1.0</v>
      </c>
      <c r="BW24" s="103">
        <v>1.0</v>
      </c>
      <c r="BX24" s="103">
        <v>1.0</v>
      </c>
      <c r="BY24" s="103">
        <v>1.0</v>
      </c>
      <c r="BZ24" s="103">
        <v>1.0</v>
      </c>
      <c r="CA24" s="103">
        <v>1.0</v>
      </c>
      <c r="CB24" s="103">
        <v>1.0</v>
      </c>
      <c r="CC24" s="103">
        <v>1.0</v>
      </c>
      <c r="CD24" s="103">
        <v>1.0</v>
      </c>
      <c r="CE24" s="103">
        <v>1.0</v>
      </c>
      <c r="CF24" s="103">
        <v>1.0</v>
      </c>
      <c r="CG24" s="103">
        <v>1.0</v>
      </c>
      <c r="CH24" s="103">
        <v>1.0</v>
      </c>
      <c r="CI24" s="103">
        <v>1.0</v>
      </c>
      <c r="CJ24" s="103">
        <v>1.0</v>
      </c>
      <c r="CK24" s="103"/>
      <c r="CL24" s="103"/>
      <c r="CM24" s="103"/>
      <c r="CN24" s="103"/>
      <c r="CO24" s="103"/>
      <c r="CP24" s="69"/>
      <c r="CQ24" s="69"/>
      <c r="CR24" s="69"/>
      <c r="CS24" s="69"/>
      <c r="CT24" s="69"/>
      <c r="CU24" s="69"/>
      <c r="CV24" s="69"/>
      <c r="CW24" s="69"/>
      <c r="CX24" s="69"/>
      <c r="CY24" s="69"/>
      <c r="CZ24" s="69"/>
      <c r="DA24" s="69"/>
      <c r="DB24" s="69"/>
      <c r="DC24" s="69"/>
      <c r="DD24" s="69"/>
      <c r="DE24" s="3"/>
      <c r="DF24" s="3"/>
      <c r="DG24" s="3"/>
      <c r="DH24" s="3"/>
      <c r="DI24" s="3"/>
      <c r="DJ24" s="3"/>
      <c r="DK24" s="3"/>
      <c r="DL24" s="3"/>
      <c r="DM24" s="3"/>
      <c r="DN24" s="3"/>
      <c r="DO24" s="3"/>
      <c r="DP24" s="3"/>
      <c r="DQ24" s="3"/>
      <c r="DR24" s="3"/>
      <c r="DS24" s="3"/>
      <c r="DT24" s="3"/>
      <c r="DU24" s="3"/>
    </row>
    <row r="25" ht="15.75" customHeight="1">
      <c r="A25" s="99">
        <v>4.0</v>
      </c>
      <c r="B25" s="100" t="s">
        <v>187</v>
      </c>
      <c r="C25" s="101" t="s">
        <v>86</v>
      </c>
      <c r="D25" s="102" t="s">
        <v>55</v>
      </c>
      <c r="E25" s="3">
        <v>4.0</v>
      </c>
      <c r="F25" s="102">
        <v>4.0</v>
      </c>
      <c r="G25" s="6">
        <v>44013.0</v>
      </c>
      <c r="H25" s="6">
        <v>44013.0</v>
      </c>
      <c r="I25" s="103">
        <v>1.0</v>
      </c>
      <c r="J25" s="103">
        <v>1.0</v>
      </c>
      <c r="K25" s="103">
        <v>1.0</v>
      </c>
      <c r="L25" s="103">
        <v>1.0</v>
      </c>
      <c r="M25" s="103">
        <v>1.0</v>
      </c>
      <c r="N25" s="103">
        <v>1.0</v>
      </c>
      <c r="O25" s="103">
        <v>1.0</v>
      </c>
      <c r="P25" s="103">
        <v>1.0</v>
      </c>
      <c r="Q25" s="103">
        <v>1.0</v>
      </c>
      <c r="R25" s="103">
        <v>1.0</v>
      </c>
      <c r="S25" s="103">
        <v>1.0</v>
      </c>
      <c r="T25" s="103">
        <v>1.0</v>
      </c>
      <c r="U25" s="103">
        <v>1.0</v>
      </c>
      <c r="V25" s="103">
        <v>1.0</v>
      </c>
      <c r="W25" s="103">
        <v>1.0</v>
      </c>
      <c r="X25" s="103">
        <v>1.0</v>
      </c>
      <c r="Y25" s="103">
        <v>1.0</v>
      </c>
      <c r="Z25" s="103">
        <v>1.0</v>
      </c>
      <c r="AA25" s="103">
        <v>1.0</v>
      </c>
      <c r="AB25" s="103">
        <v>1.0</v>
      </c>
      <c r="AC25" s="103">
        <v>1.0</v>
      </c>
      <c r="AD25" s="103">
        <v>1.0</v>
      </c>
      <c r="AE25" s="103">
        <v>1.0</v>
      </c>
      <c r="AF25" s="103">
        <v>1.0</v>
      </c>
      <c r="AG25" s="103">
        <v>1.0</v>
      </c>
      <c r="AH25" s="103">
        <v>1.0</v>
      </c>
      <c r="AI25" s="103">
        <v>1.0</v>
      </c>
      <c r="AJ25" s="103">
        <v>1.0</v>
      </c>
      <c r="AK25" s="103">
        <v>1.0</v>
      </c>
      <c r="AL25" s="103">
        <v>1.0</v>
      </c>
      <c r="AM25" s="103">
        <v>1.0</v>
      </c>
      <c r="AN25" s="103">
        <v>1.0</v>
      </c>
      <c r="AO25" s="103">
        <v>1.0</v>
      </c>
      <c r="AP25" s="103">
        <v>1.0</v>
      </c>
      <c r="AQ25" s="103">
        <v>1.0</v>
      </c>
      <c r="AR25" s="103">
        <v>1.0</v>
      </c>
      <c r="AS25" s="103">
        <v>1.0</v>
      </c>
      <c r="AT25" s="103">
        <v>1.0</v>
      </c>
      <c r="AU25" s="103">
        <v>1.0</v>
      </c>
      <c r="AV25" s="103">
        <v>1.0</v>
      </c>
      <c r="AW25" s="103">
        <v>1.0</v>
      </c>
      <c r="AX25" s="103">
        <v>1.0</v>
      </c>
      <c r="AY25" s="103">
        <v>1.0</v>
      </c>
      <c r="AZ25" s="103">
        <v>1.0</v>
      </c>
      <c r="BA25" s="103">
        <v>1.0</v>
      </c>
      <c r="BB25" s="103">
        <v>1.0</v>
      </c>
      <c r="BC25" s="103">
        <v>1.0</v>
      </c>
      <c r="BD25" s="103">
        <v>1.0</v>
      </c>
      <c r="BE25" s="103">
        <v>1.0</v>
      </c>
      <c r="BF25" s="103">
        <v>1.0</v>
      </c>
      <c r="BG25" s="103">
        <v>1.0</v>
      </c>
      <c r="BH25" s="103">
        <v>1.0</v>
      </c>
      <c r="BI25" s="103">
        <v>1.0</v>
      </c>
      <c r="BJ25" s="103">
        <v>1.0</v>
      </c>
      <c r="BK25" s="103">
        <v>1.0</v>
      </c>
      <c r="BL25" s="103">
        <v>1.0</v>
      </c>
      <c r="BM25" s="103">
        <v>1.0</v>
      </c>
      <c r="BN25" s="103">
        <v>1.0</v>
      </c>
      <c r="BO25" s="103">
        <v>1.0</v>
      </c>
      <c r="BP25" s="103">
        <v>1.0</v>
      </c>
      <c r="BQ25" s="103">
        <v>1.0</v>
      </c>
      <c r="BR25" s="103">
        <v>1.0</v>
      </c>
      <c r="BS25" s="103">
        <v>1.0</v>
      </c>
      <c r="BT25" s="103">
        <v>1.0</v>
      </c>
      <c r="BU25" s="103">
        <v>1.0</v>
      </c>
      <c r="BV25" s="103">
        <v>1.0</v>
      </c>
      <c r="BW25" s="103">
        <v>1.0</v>
      </c>
      <c r="BX25" s="103">
        <v>1.0</v>
      </c>
      <c r="BY25" s="103">
        <v>1.0</v>
      </c>
      <c r="BZ25" s="103">
        <v>1.0</v>
      </c>
      <c r="CA25" s="103">
        <v>1.0</v>
      </c>
      <c r="CB25" s="103">
        <v>1.0</v>
      </c>
      <c r="CC25" s="103">
        <v>1.0</v>
      </c>
      <c r="CD25" s="103">
        <v>1.0</v>
      </c>
      <c r="CE25" s="103">
        <v>1.0</v>
      </c>
      <c r="CF25" s="103">
        <v>1.0</v>
      </c>
      <c r="CG25" s="103">
        <v>1.0</v>
      </c>
      <c r="CH25" s="103">
        <v>1.0</v>
      </c>
      <c r="CI25" s="103">
        <v>1.0</v>
      </c>
      <c r="CJ25" s="103">
        <v>1.0</v>
      </c>
      <c r="CK25" s="103">
        <v>1.0</v>
      </c>
      <c r="CL25" s="103">
        <v>1.0</v>
      </c>
      <c r="CM25" s="103">
        <v>1.0</v>
      </c>
      <c r="CN25" s="103">
        <v>1.0</v>
      </c>
      <c r="CO25" s="103">
        <v>1.0</v>
      </c>
      <c r="CP25" s="69"/>
      <c r="CQ25" s="69"/>
      <c r="CR25" s="69"/>
      <c r="CS25" s="69"/>
      <c r="CT25" s="69"/>
      <c r="CU25" s="69"/>
      <c r="CV25" s="69"/>
      <c r="CW25" s="69"/>
      <c r="CX25" s="69"/>
      <c r="CY25" s="69"/>
      <c r="CZ25" s="69"/>
      <c r="DA25" s="69"/>
      <c r="DB25" s="69"/>
      <c r="DC25" s="69"/>
      <c r="DD25" s="69"/>
      <c r="DE25" s="3"/>
      <c r="DF25" s="3"/>
      <c r="DG25" s="3"/>
      <c r="DH25" s="3"/>
      <c r="DI25" s="3"/>
      <c r="DJ25" s="3"/>
      <c r="DK25" s="3"/>
      <c r="DL25" s="3"/>
      <c r="DM25" s="3"/>
      <c r="DN25" s="3"/>
      <c r="DO25" s="3"/>
      <c r="DP25" s="3"/>
      <c r="DQ25" s="3"/>
      <c r="DR25" s="3"/>
      <c r="DS25" s="3"/>
      <c r="DT25" s="3"/>
      <c r="DU25" s="3"/>
    </row>
    <row r="26" ht="15.75" customHeight="1">
      <c r="A26" s="99">
        <v>5.0</v>
      </c>
      <c r="B26" s="100" t="s">
        <v>188</v>
      </c>
      <c r="C26" s="101" t="s">
        <v>86</v>
      </c>
      <c r="D26" s="102" t="s">
        <v>42</v>
      </c>
      <c r="E26" s="102">
        <v>4.0</v>
      </c>
      <c r="F26" s="102">
        <v>4.0</v>
      </c>
      <c r="G26" s="6">
        <v>44013.0</v>
      </c>
      <c r="H26" s="6">
        <v>44013.0</v>
      </c>
      <c r="I26" s="103">
        <v>1.0</v>
      </c>
      <c r="J26" s="103">
        <v>1.0</v>
      </c>
      <c r="K26" s="103">
        <v>1.0</v>
      </c>
      <c r="L26" s="103">
        <v>1.0</v>
      </c>
      <c r="M26" s="103">
        <v>1.0</v>
      </c>
      <c r="N26" s="103">
        <v>1.0</v>
      </c>
      <c r="O26" s="103">
        <v>1.0</v>
      </c>
      <c r="P26" s="103">
        <v>1.0</v>
      </c>
      <c r="Q26" s="103">
        <v>1.0</v>
      </c>
      <c r="R26" s="103">
        <v>1.0</v>
      </c>
      <c r="S26" s="103">
        <v>1.0</v>
      </c>
      <c r="T26" s="103">
        <v>1.0</v>
      </c>
      <c r="U26" s="103">
        <v>1.0</v>
      </c>
      <c r="V26" s="103">
        <v>1.0</v>
      </c>
      <c r="W26" s="103">
        <v>1.0</v>
      </c>
      <c r="X26" s="103">
        <v>1.0</v>
      </c>
      <c r="Y26" s="103">
        <v>1.0</v>
      </c>
      <c r="Z26" s="103">
        <v>1.0</v>
      </c>
      <c r="AA26" s="103">
        <v>1.0</v>
      </c>
      <c r="AB26" s="103">
        <v>1.0</v>
      </c>
      <c r="AC26" s="103">
        <v>1.0</v>
      </c>
      <c r="AD26" s="103">
        <v>1.0</v>
      </c>
      <c r="AE26" s="103">
        <v>1.0</v>
      </c>
      <c r="AF26" s="103">
        <v>1.0</v>
      </c>
      <c r="AG26" s="103">
        <v>1.0</v>
      </c>
      <c r="AH26" s="103">
        <v>1.0</v>
      </c>
      <c r="AI26" s="103">
        <v>1.0</v>
      </c>
      <c r="AJ26" s="103">
        <v>1.0</v>
      </c>
      <c r="AK26" s="103">
        <v>1.0</v>
      </c>
      <c r="AL26" s="103">
        <v>1.0</v>
      </c>
      <c r="AM26" s="103">
        <v>1.0</v>
      </c>
      <c r="AN26" s="103">
        <v>1.0</v>
      </c>
      <c r="AO26" s="103">
        <v>1.0</v>
      </c>
      <c r="AP26" s="103">
        <v>1.0</v>
      </c>
      <c r="AQ26" s="103">
        <v>1.0</v>
      </c>
      <c r="AR26" s="103">
        <v>1.0</v>
      </c>
      <c r="AS26" s="103">
        <v>1.0</v>
      </c>
      <c r="AT26" s="103">
        <v>1.0</v>
      </c>
      <c r="AU26" s="103">
        <v>1.0</v>
      </c>
      <c r="AV26" s="103">
        <v>1.0</v>
      </c>
      <c r="AW26" s="103">
        <v>1.0</v>
      </c>
      <c r="AX26" s="103">
        <v>1.0</v>
      </c>
      <c r="AY26" s="103">
        <v>1.0</v>
      </c>
      <c r="AZ26" s="103">
        <v>1.0</v>
      </c>
      <c r="BA26" s="103">
        <v>1.0</v>
      </c>
      <c r="BB26" s="103">
        <v>1.0</v>
      </c>
      <c r="BC26" s="103">
        <v>1.0</v>
      </c>
      <c r="BD26" s="103">
        <v>1.0</v>
      </c>
      <c r="BE26" s="103">
        <v>1.0</v>
      </c>
      <c r="BF26" s="103">
        <v>1.0</v>
      </c>
      <c r="BG26" s="103">
        <v>1.0</v>
      </c>
      <c r="BH26" s="103">
        <v>1.0</v>
      </c>
      <c r="BI26" s="103">
        <v>1.0</v>
      </c>
      <c r="BJ26" s="103">
        <v>1.0</v>
      </c>
      <c r="BK26" s="103">
        <v>1.0</v>
      </c>
      <c r="BL26" s="103">
        <v>1.0</v>
      </c>
      <c r="BM26" s="103">
        <v>1.0</v>
      </c>
      <c r="BN26" s="103">
        <v>1.0</v>
      </c>
      <c r="BO26" s="103">
        <v>1.0</v>
      </c>
      <c r="BP26" s="103">
        <v>1.0</v>
      </c>
      <c r="BQ26" s="103">
        <v>1.0</v>
      </c>
      <c r="BR26" s="103">
        <v>1.0</v>
      </c>
      <c r="BS26" s="103">
        <v>1.0</v>
      </c>
      <c r="BT26" s="103">
        <v>1.0</v>
      </c>
      <c r="BU26" s="103">
        <v>1.0</v>
      </c>
      <c r="BV26" s="103">
        <v>1.0</v>
      </c>
      <c r="BW26" s="103">
        <v>1.0</v>
      </c>
      <c r="BX26" s="103">
        <v>1.0</v>
      </c>
      <c r="BY26" s="103">
        <v>1.0</v>
      </c>
      <c r="BZ26" s="103">
        <v>1.0</v>
      </c>
      <c r="CA26" s="103">
        <v>1.0</v>
      </c>
      <c r="CB26" s="103">
        <v>1.0</v>
      </c>
      <c r="CC26" s="103">
        <v>1.0</v>
      </c>
      <c r="CD26" s="103">
        <v>1.0</v>
      </c>
      <c r="CE26" s="103">
        <v>1.0</v>
      </c>
      <c r="CF26" s="103">
        <v>1.0</v>
      </c>
      <c r="CG26" s="103">
        <v>1.0</v>
      </c>
      <c r="CH26" s="103">
        <v>1.0</v>
      </c>
      <c r="CI26" s="103">
        <v>1.0</v>
      </c>
      <c r="CJ26" s="103">
        <v>1.0</v>
      </c>
      <c r="CK26" s="103">
        <v>1.0</v>
      </c>
      <c r="CL26" s="103">
        <v>1.0</v>
      </c>
      <c r="CM26" s="103">
        <v>1.0</v>
      </c>
      <c r="CN26" s="103">
        <v>1.0</v>
      </c>
      <c r="CO26" s="103">
        <v>1.0</v>
      </c>
      <c r="CP26" s="69"/>
      <c r="CQ26" s="69"/>
      <c r="CR26" s="69"/>
      <c r="CS26" s="69"/>
      <c r="CT26" s="69"/>
      <c r="CU26" s="69"/>
      <c r="CV26" s="69"/>
      <c r="CW26" s="69"/>
      <c r="CX26" s="69"/>
      <c r="CY26" s="69"/>
      <c r="CZ26" s="69"/>
      <c r="DA26" s="69"/>
      <c r="DB26" s="69"/>
      <c r="DC26" s="69"/>
      <c r="DD26" s="69"/>
      <c r="DE26" s="3"/>
      <c r="DF26" s="3"/>
      <c r="DG26" s="3"/>
      <c r="DH26" s="3"/>
      <c r="DI26" s="3"/>
      <c r="DJ26" s="3"/>
      <c r="DK26" s="3"/>
      <c r="DL26" s="3"/>
      <c r="DM26" s="3"/>
      <c r="DN26" s="3"/>
      <c r="DO26" s="3"/>
      <c r="DP26" s="3"/>
      <c r="DQ26" s="3"/>
      <c r="DR26" s="3"/>
      <c r="DS26" s="3"/>
      <c r="DT26" s="3"/>
      <c r="DU26" s="3"/>
    </row>
    <row r="27" ht="15.75" customHeight="1">
      <c r="A27" s="99">
        <v>6.0</v>
      </c>
      <c r="B27" s="100" t="s">
        <v>189</v>
      </c>
      <c r="C27" s="101" t="s">
        <v>86</v>
      </c>
      <c r="D27" s="102" t="s">
        <v>55</v>
      </c>
      <c r="E27" s="3">
        <v>4.0</v>
      </c>
      <c r="F27" s="102">
        <v>4.0</v>
      </c>
      <c r="G27" s="6">
        <v>44013.0</v>
      </c>
      <c r="H27" s="6">
        <v>44013.0</v>
      </c>
      <c r="I27" s="103">
        <v>1.0</v>
      </c>
      <c r="J27" s="103">
        <v>1.0</v>
      </c>
      <c r="K27" s="103">
        <v>1.0</v>
      </c>
      <c r="L27" s="103">
        <v>1.0</v>
      </c>
      <c r="M27" s="103">
        <v>1.0</v>
      </c>
      <c r="N27" s="103">
        <v>1.0</v>
      </c>
      <c r="O27" s="103">
        <v>1.0</v>
      </c>
      <c r="P27" s="103">
        <v>1.0</v>
      </c>
      <c r="Q27" s="103">
        <v>1.0</v>
      </c>
      <c r="R27" s="103">
        <v>1.0</v>
      </c>
      <c r="S27" s="103">
        <v>1.0</v>
      </c>
      <c r="T27" s="103">
        <v>1.0</v>
      </c>
      <c r="U27" s="103">
        <v>1.0</v>
      </c>
      <c r="V27" s="103">
        <v>1.0</v>
      </c>
      <c r="W27" s="103">
        <v>1.0</v>
      </c>
      <c r="X27" s="103">
        <v>1.0</v>
      </c>
      <c r="Y27" s="103">
        <v>1.0</v>
      </c>
      <c r="Z27" s="103">
        <v>1.0</v>
      </c>
      <c r="AA27" s="103">
        <v>1.0</v>
      </c>
      <c r="AB27" s="103">
        <v>1.0</v>
      </c>
      <c r="AC27" s="103">
        <v>1.0</v>
      </c>
      <c r="AD27" s="103">
        <v>1.0</v>
      </c>
      <c r="AE27" s="103">
        <v>1.0</v>
      </c>
      <c r="AF27" s="103">
        <v>1.0</v>
      </c>
      <c r="AG27" s="103">
        <v>1.0</v>
      </c>
      <c r="AH27" s="103">
        <v>1.0</v>
      </c>
      <c r="AI27" s="103">
        <v>1.0</v>
      </c>
      <c r="AJ27" s="103">
        <v>1.0</v>
      </c>
      <c r="AK27" s="103">
        <v>1.0</v>
      </c>
      <c r="AL27" s="103">
        <v>1.0</v>
      </c>
      <c r="AM27" s="103">
        <v>1.0</v>
      </c>
      <c r="AN27" s="103">
        <v>1.0</v>
      </c>
      <c r="AO27" s="103">
        <v>1.0</v>
      </c>
      <c r="AP27" s="103">
        <v>1.0</v>
      </c>
      <c r="AQ27" s="103">
        <v>1.0</v>
      </c>
      <c r="AR27" s="103">
        <v>1.0</v>
      </c>
      <c r="AS27" s="103">
        <v>1.0</v>
      </c>
      <c r="AT27" s="103">
        <v>1.0</v>
      </c>
      <c r="AU27" s="103">
        <v>1.0</v>
      </c>
      <c r="AV27" s="103">
        <v>1.0</v>
      </c>
      <c r="AW27" s="103">
        <v>1.0</v>
      </c>
      <c r="AX27" s="103">
        <v>1.0</v>
      </c>
      <c r="AY27" s="103">
        <v>1.0</v>
      </c>
      <c r="AZ27" s="103">
        <v>1.0</v>
      </c>
      <c r="BA27" s="103">
        <v>1.0</v>
      </c>
      <c r="BB27" s="103">
        <v>1.0</v>
      </c>
      <c r="BC27" s="103">
        <v>1.0</v>
      </c>
      <c r="BD27" s="103">
        <v>1.0</v>
      </c>
      <c r="BE27" s="103">
        <v>1.0</v>
      </c>
      <c r="BF27" s="103">
        <v>1.0</v>
      </c>
      <c r="BG27" s="103">
        <v>1.0</v>
      </c>
      <c r="BH27" s="103">
        <v>1.0</v>
      </c>
      <c r="BI27" s="103">
        <v>1.0</v>
      </c>
      <c r="BJ27" s="103">
        <v>1.0</v>
      </c>
      <c r="BK27" s="103">
        <v>1.0</v>
      </c>
      <c r="BL27" s="103">
        <v>1.0</v>
      </c>
      <c r="BM27" s="103">
        <v>1.0</v>
      </c>
      <c r="BN27" s="103">
        <v>1.0</v>
      </c>
      <c r="BO27" s="103">
        <v>1.0</v>
      </c>
      <c r="BP27" s="103">
        <v>1.0</v>
      </c>
      <c r="BQ27" s="103">
        <v>1.0</v>
      </c>
      <c r="BR27" s="103">
        <v>1.0</v>
      </c>
      <c r="BS27" s="103">
        <v>1.0</v>
      </c>
      <c r="BT27" s="103">
        <v>1.0</v>
      </c>
      <c r="BU27" s="103">
        <v>1.0</v>
      </c>
      <c r="BV27" s="103">
        <v>1.0</v>
      </c>
      <c r="BW27" s="103">
        <v>1.0</v>
      </c>
      <c r="BX27" s="103">
        <v>1.0</v>
      </c>
      <c r="BY27" s="103">
        <v>1.0</v>
      </c>
      <c r="BZ27" s="103">
        <v>1.0</v>
      </c>
      <c r="CA27" s="103">
        <v>1.0</v>
      </c>
      <c r="CB27" s="103">
        <v>1.0</v>
      </c>
      <c r="CC27" s="103">
        <v>1.0</v>
      </c>
      <c r="CD27" s="103">
        <v>1.0</v>
      </c>
      <c r="CE27" s="103">
        <v>1.0</v>
      </c>
      <c r="CF27" s="103">
        <v>1.0</v>
      </c>
      <c r="CG27" s="103">
        <v>1.0</v>
      </c>
      <c r="CH27" s="103">
        <v>1.0</v>
      </c>
      <c r="CI27" s="103">
        <v>1.0</v>
      </c>
      <c r="CJ27" s="103">
        <v>1.0</v>
      </c>
      <c r="CK27" s="103">
        <v>1.0</v>
      </c>
      <c r="CL27" s="103">
        <v>1.0</v>
      </c>
      <c r="CM27" s="103">
        <v>1.0</v>
      </c>
      <c r="CN27" s="103">
        <v>1.0</v>
      </c>
      <c r="CO27" s="103">
        <v>1.0</v>
      </c>
      <c r="CP27" s="69"/>
      <c r="CQ27" s="69"/>
      <c r="CR27" s="69"/>
      <c r="CS27" s="69"/>
      <c r="CT27" s="69"/>
      <c r="CU27" s="69"/>
      <c r="CV27" s="69"/>
      <c r="CW27" s="69"/>
      <c r="CX27" s="69"/>
      <c r="CY27" s="69"/>
      <c r="CZ27" s="69"/>
      <c r="DA27" s="69"/>
      <c r="DB27" s="69"/>
      <c r="DC27" s="69"/>
      <c r="DD27" s="69"/>
      <c r="DE27" s="3"/>
      <c r="DF27" s="3"/>
      <c r="DG27" s="3"/>
      <c r="DH27" s="3"/>
      <c r="DI27" s="3"/>
      <c r="DJ27" s="3"/>
      <c r="DK27" s="3"/>
      <c r="DL27" s="3"/>
      <c r="DM27" s="3"/>
      <c r="DN27" s="3"/>
      <c r="DO27" s="3"/>
      <c r="DP27" s="3"/>
      <c r="DQ27" s="3"/>
      <c r="DR27" s="3"/>
      <c r="DS27" s="3"/>
      <c r="DT27" s="3"/>
      <c r="DU27" s="3"/>
    </row>
    <row r="28" ht="15.75" customHeight="1">
      <c r="A28" s="99">
        <v>7.0</v>
      </c>
      <c r="B28" s="100" t="s">
        <v>190</v>
      </c>
      <c r="C28" s="101" t="s">
        <v>86</v>
      </c>
      <c r="D28" s="102" t="s">
        <v>42</v>
      </c>
      <c r="E28" s="102">
        <v>4.0</v>
      </c>
      <c r="F28" s="102">
        <v>4.0</v>
      </c>
      <c r="G28" s="6">
        <v>44013.0</v>
      </c>
      <c r="H28" s="6">
        <v>44013.0</v>
      </c>
      <c r="I28" s="103">
        <v>1.0</v>
      </c>
      <c r="J28" s="103">
        <v>1.0</v>
      </c>
      <c r="K28" s="103">
        <v>1.0</v>
      </c>
      <c r="L28" s="103">
        <v>1.0</v>
      </c>
      <c r="M28" s="103">
        <v>1.0</v>
      </c>
      <c r="N28" s="103">
        <v>1.0</v>
      </c>
      <c r="O28" s="103">
        <v>1.0</v>
      </c>
      <c r="P28" s="103">
        <v>1.0</v>
      </c>
      <c r="Q28" s="103">
        <v>1.0</v>
      </c>
      <c r="R28" s="103">
        <v>1.0</v>
      </c>
      <c r="S28" s="103">
        <v>1.0</v>
      </c>
      <c r="T28" s="103">
        <v>1.0</v>
      </c>
      <c r="U28" s="103">
        <v>1.0</v>
      </c>
      <c r="V28" s="103">
        <v>1.0</v>
      </c>
      <c r="W28" s="103">
        <v>1.0</v>
      </c>
      <c r="X28" s="103">
        <v>1.0</v>
      </c>
      <c r="Y28" s="103">
        <v>1.0</v>
      </c>
      <c r="Z28" s="103">
        <v>1.0</v>
      </c>
      <c r="AA28" s="103">
        <v>1.0</v>
      </c>
      <c r="AB28" s="103">
        <v>1.0</v>
      </c>
      <c r="AC28" s="103">
        <v>1.0</v>
      </c>
      <c r="AD28" s="103">
        <v>1.0</v>
      </c>
      <c r="AE28" s="103">
        <v>1.0</v>
      </c>
      <c r="AF28" s="103">
        <v>1.0</v>
      </c>
      <c r="AG28" s="103">
        <v>1.0</v>
      </c>
      <c r="AH28" s="103">
        <v>1.0</v>
      </c>
      <c r="AI28" s="103">
        <v>1.0</v>
      </c>
      <c r="AJ28" s="103">
        <v>1.0</v>
      </c>
      <c r="AK28" s="103">
        <v>1.0</v>
      </c>
      <c r="AL28" s="103">
        <v>1.0</v>
      </c>
      <c r="AM28" s="103">
        <v>1.0</v>
      </c>
      <c r="AN28" s="103">
        <v>1.0</v>
      </c>
      <c r="AO28" s="103">
        <v>1.0</v>
      </c>
      <c r="AP28" s="103">
        <v>1.0</v>
      </c>
      <c r="AQ28" s="103">
        <v>1.0</v>
      </c>
      <c r="AR28" s="103">
        <v>1.0</v>
      </c>
      <c r="AS28" s="103">
        <v>1.0</v>
      </c>
      <c r="AT28" s="103">
        <v>1.0</v>
      </c>
      <c r="AU28" s="103">
        <v>1.0</v>
      </c>
      <c r="AV28" s="103">
        <v>1.0</v>
      </c>
      <c r="AW28" s="103">
        <v>1.0</v>
      </c>
      <c r="AX28" s="103">
        <v>1.0</v>
      </c>
      <c r="AY28" s="103">
        <v>1.0</v>
      </c>
      <c r="AZ28" s="103">
        <v>1.0</v>
      </c>
      <c r="BA28" s="103">
        <v>1.0</v>
      </c>
      <c r="BB28" s="103">
        <v>1.0</v>
      </c>
      <c r="BC28" s="103">
        <v>1.0</v>
      </c>
      <c r="BD28" s="103">
        <v>1.0</v>
      </c>
      <c r="BE28" s="103">
        <v>1.0</v>
      </c>
      <c r="BF28" s="103">
        <v>1.0</v>
      </c>
      <c r="BG28" s="103">
        <v>1.0</v>
      </c>
      <c r="BH28" s="103">
        <v>1.0</v>
      </c>
      <c r="BI28" s="103">
        <v>1.0</v>
      </c>
      <c r="BJ28" s="103">
        <v>1.0</v>
      </c>
      <c r="BK28" s="103">
        <v>1.0</v>
      </c>
      <c r="BL28" s="103">
        <v>1.0</v>
      </c>
      <c r="BM28" s="103">
        <v>1.0</v>
      </c>
      <c r="BN28" s="103">
        <v>1.0</v>
      </c>
      <c r="BO28" s="103">
        <v>1.0</v>
      </c>
      <c r="BP28" s="103">
        <v>1.0</v>
      </c>
      <c r="BQ28" s="103">
        <v>1.0</v>
      </c>
      <c r="BR28" s="103">
        <v>1.0</v>
      </c>
      <c r="BS28" s="103">
        <v>1.0</v>
      </c>
      <c r="BT28" s="103">
        <v>1.0</v>
      </c>
      <c r="BU28" s="103">
        <v>1.0</v>
      </c>
      <c r="BV28" s="103">
        <v>1.0</v>
      </c>
      <c r="BW28" s="103">
        <v>1.0</v>
      </c>
      <c r="BX28" s="103">
        <v>1.0</v>
      </c>
      <c r="BY28" s="103">
        <v>1.0</v>
      </c>
      <c r="BZ28" s="103">
        <v>1.0</v>
      </c>
      <c r="CA28" s="103">
        <v>1.0</v>
      </c>
      <c r="CB28" s="103">
        <v>1.0</v>
      </c>
      <c r="CC28" s="103">
        <v>1.0</v>
      </c>
      <c r="CD28" s="103">
        <v>1.0</v>
      </c>
      <c r="CE28" s="103">
        <v>1.0</v>
      </c>
      <c r="CF28" s="103">
        <v>1.0</v>
      </c>
      <c r="CG28" s="103">
        <v>1.0</v>
      </c>
      <c r="CH28" s="103">
        <v>1.0</v>
      </c>
      <c r="CI28" s="103">
        <v>1.0</v>
      </c>
      <c r="CJ28" s="103">
        <v>1.0</v>
      </c>
      <c r="CK28" s="103">
        <v>1.0</v>
      </c>
      <c r="CL28" s="103">
        <v>1.0</v>
      </c>
      <c r="CM28" s="103">
        <v>1.0</v>
      </c>
      <c r="CN28" s="103">
        <v>1.0</v>
      </c>
      <c r="CO28" s="103">
        <v>1.0</v>
      </c>
      <c r="CP28" s="69"/>
      <c r="CQ28" s="69"/>
      <c r="CR28" s="69"/>
      <c r="CS28" s="69"/>
      <c r="CT28" s="69"/>
      <c r="CU28" s="69"/>
      <c r="CV28" s="69"/>
      <c r="CW28" s="69"/>
      <c r="CX28" s="69"/>
      <c r="CY28" s="69"/>
      <c r="CZ28" s="69"/>
      <c r="DA28" s="69"/>
      <c r="DB28" s="69"/>
      <c r="DC28" s="69"/>
      <c r="DD28" s="69"/>
      <c r="DE28" s="3"/>
      <c r="DF28" s="3"/>
      <c r="DG28" s="3"/>
      <c r="DH28" s="3"/>
      <c r="DI28" s="3"/>
      <c r="DJ28" s="3"/>
      <c r="DK28" s="3"/>
      <c r="DL28" s="3"/>
      <c r="DM28" s="3"/>
      <c r="DN28" s="3"/>
      <c r="DO28" s="3"/>
      <c r="DP28" s="3"/>
      <c r="DQ28" s="3"/>
      <c r="DR28" s="3"/>
      <c r="DS28" s="3"/>
      <c r="DT28" s="3"/>
      <c r="DU28" s="3"/>
    </row>
    <row r="29" ht="15.75" customHeight="1">
      <c r="A29" s="99">
        <v>8.0</v>
      </c>
      <c r="B29" s="100" t="s">
        <v>191</v>
      </c>
      <c r="C29" s="101" t="s">
        <v>86</v>
      </c>
      <c r="D29" s="102" t="s">
        <v>55</v>
      </c>
      <c r="E29" s="3">
        <v>4.0</v>
      </c>
      <c r="F29" s="102">
        <v>4.0</v>
      </c>
      <c r="G29" s="6">
        <v>44020.0</v>
      </c>
      <c r="H29" s="6">
        <v>44020.0</v>
      </c>
      <c r="I29" s="103">
        <v>1.0</v>
      </c>
      <c r="J29" s="103">
        <v>1.0</v>
      </c>
      <c r="K29" s="103">
        <v>1.0</v>
      </c>
      <c r="L29" s="103">
        <v>1.0</v>
      </c>
      <c r="M29" s="103">
        <v>1.0</v>
      </c>
      <c r="N29" s="103">
        <v>1.0</v>
      </c>
      <c r="O29" s="103">
        <v>1.0</v>
      </c>
      <c r="P29" s="103">
        <v>1.0</v>
      </c>
      <c r="Q29" s="103">
        <v>1.0</v>
      </c>
      <c r="R29" s="103">
        <v>1.0</v>
      </c>
      <c r="S29" s="103">
        <v>1.0</v>
      </c>
      <c r="T29" s="103">
        <v>1.0</v>
      </c>
      <c r="U29" s="103">
        <v>1.0</v>
      </c>
      <c r="V29" s="103">
        <v>1.0</v>
      </c>
      <c r="W29" s="103">
        <v>1.0</v>
      </c>
      <c r="X29" s="103">
        <v>1.0</v>
      </c>
      <c r="Y29" s="103">
        <v>1.0</v>
      </c>
      <c r="Z29" s="103">
        <v>1.0</v>
      </c>
      <c r="AA29" s="103">
        <v>1.0</v>
      </c>
      <c r="AB29" s="103">
        <v>1.0</v>
      </c>
      <c r="AC29" s="103">
        <v>1.0</v>
      </c>
      <c r="AD29" s="103">
        <v>1.0</v>
      </c>
      <c r="AE29" s="103">
        <v>1.0</v>
      </c>
      <c r="AF29" s="103">
        <v>1.0</v>
      </c>
      <c r="AG29" s="103">
        <v>1.0</v>
      </c>
      <c r="AH29" s="103">
        <v>1.0</v>
      </c>
      <c r="AI29" s="103">
        <v>1.0</v>
      </c>
      <c r="AJ29" s="103">
        <v>1.0</v>
      </c>
      <c r="AK29" s="103">
        <v>1.0</v>
      </c>
      <c r="AL29" s="103">
        <v>1.0</v>
      </c>
      <c r="AM29" s="103">
        <v>1.0</v>
      </c>
      <c r="AN29" s="103">
        <v>1.0</v>
      </c>
      <c r="AO29" s="103">
        <v>1.0</v>
      </c>
      <c r="AP29" s="103">
        <v>1.0</v>
      </c>
      <c r="AQ29" s="103">
        <v>1.0</v>
      </c>
      <c r="AR29" s="103">
        <v>1.0</v>
      </c>
      <c r="AS29" s="103">
        <v>1.0</v>
      </c>
      <c r="AT29" s="103">
        <v>1.0</v>
      </c>
      <c r="AU29" s="103">
        <v>1.0</v>
      </c>
      <c r="AV29" s="103">
        <v>1.0</v>
      </c>
      <c r="AW29" s="103">
        <v>1.0</v>
      </c>
      <c r="AX29" s="103">
        <v>1.0</v>
      </c>
      <c r="AY29" s="103">
        <v>1.0</v>
      </c>
      <c r="AZ29" s="103">
        <v>1.0</v>
      </c>
      <c r="BA29" s="103">
        <v>1.0</v>
      </c>
      <c r="BB29" s="103">
        <v>1.0</v>
      </c>
      <c r="BC29" s="103">
        <v>1.0</v>
      </c>
      <c r="BD29" s="103">
        <v>1.0</v>
      </c>
      <c r="BE29" s="103">
        <v>1.0</v>
      </c>
      <c r="BF29" s="103">
        <v>1.0</v>
      </c>
      <c r="BG29" s="103">
        <v>1.0</v>
      </c>
      <c r="BH29" s="103">
        <v>1.0</v>
      </c>
      <c r="BI29" s="103">
        <v>1.0</v>
      </c>
      <c r="BJ29" s="103">
        <v>1.0</v>
      </c>
      <c r="BK29" s="103">
        <v>1.0</v>
      </c>
      <c r="BL29" s="103">
        <v>1.0</v>
      </c>
      <c r="BM29" s="103">
        <v>1.0</v>
      </c>
      <c r="BN29" s="103">
        <v>1.0</v>
      </c>
      <c r="BO29" s="103">
        <v>1.0</v>
      </c>
      <c r="BP29" s="103">
        <v>1.0</v>
      </c>
      <c r="BQ29" s="103">
        <v>1.0</v>
      </c>
      <c r="BR29" s="103">
        <v>1.0</v>
      </c>
      <c r="BS29" s="103">
        <v>1.0</v>
      </c>
      <c r="BT29" s="103">
        <v>1.0</v>
      </c>
      <c r="BU29" s="103">
        <v>1.0</v>
      </c>
      <c r="BV29" s="103">
        <v>1.0</v>
      </c>
      <c r="BW29" s="103">
        <v>1.0</v>
      </c>
      <c r="BX29" s="103">
        <v>1.0</v>
      </c>
      <c r="BY29" s="103">
        <v>1.0</v>
      </c>
      <c r="BZ29" s="103">
        <v>1.0</v>
      </c>
      <c r="CA29" s="103">
        <v>1.0</v>
      </c>
      <c r="CB29" s="103">
        <v>1.0</v>
      </c>
      <c r="CC29" s="103">
        <v>1.0</v>
      </c>
      <c r="CD29" s="103">
        <v>1.0</v>
      </c>
      <c r="CE29" s="103">
        <v>1.0</v>
      </c>
      <c r="CF29" s="103">
        <v>1.0</v>
      </c>
      <c r="CG29" s="103">
        <v>1.0</v>
      </c>
      <c r="CH29" s="103">
        <v>1.0</v>
      </c>
      <c r="CI29" s="103">
        <v>1.0</v>
      </c>
      <c r="CJ29" s="103">
        <v>1.0</v>
      </c>
      <c r="CK29" s="103"/>
      <c r="CL29" s="103"/>
      <c r="CM29" s="103"/>
      <c r="CN29" s="103"/>
      <c r="CO29" s="103"/>
      <c r="CP29" s="69"/>
      <c r="CQ29" s="69"/>
      <c r="CR29" s="69"/>
      <c r="CS29" s="69"/>
      <c r="CT29" s="69"/>
      <c r="CU29" s="69"/>
      <c r="CV29" s="69"/>
      <c r="CW29" s="69"/>
      <c r="CX29" s="69"/>
      <c r="CY29" s="69"/>
      <c r="CZ29" s="69"/>
      <c r="DA29" s="69"/>
      <c r="DB29" s="69"/>
      <c r="DC29" s="69"/>
      <c r="DD29" s="69"/>
      <c r="DE29" s="3"/>
      <c r="DF29" s="3"/>
      <c r="DG29" s="3"/>
      <c r="DH29" s="3"/>
      <c r="DI29" s="3"/>
      <c r="DJ29" s="3"/>
      <c r="DK29" s="3"/>
      <c r="DL29" s="3"/>
      <c r="DM29" s="3"/>
      <c r="DN29" s="3"/>
      <c r="DO29" s="3"/>
      <c r="DP29" s="3"/>
      <c r="DQ29" s="3"/>
      <c r="DR29" s="3"/>
      <c r="DS29" s="3"/>
      <c r="DT29" s="3"/>
      <c r="DU29" s="3"/>
    </row>
    <row r="30" ht="15.0" customHeight="1">
      <c r="A30" s="99">
        <v>9.0</v>
      </c>
      <c r="B30" s="100" t="s">
        <v>192</v>
      </c>
      <c r="C30" s="101" t="s">
        <v>86</v>
      </c>
      <c r="D30" s="102" t="s">
        <v>42</v>
      </c>
      <c r="E30" s="102">
        <v>4.0</v>
      </c>
      <c r="F30" s="102">
        <v>4.0</v>
      </c>
      <c r="G30" s="6">
        <v>44014.0</v>
      </c>
      <c r="H30" s="6">
        <v>44014.0</v>
      </c>
      <c r="I30" s="103">
        <v>1.0</v>
      </c>
      <c r="J30" s="103">
        <v>1.0</v>
      </c>
      <c r="K30" s="103">
        <v>1.0</v>
      </c>
      <c r="L30" s="103">
        <v>1.0</v>
      </c>
      <c r="M30" s="103">
        <v>1.0</v>
      </c>
      <c r="N30" s="103">
        <v>1.0</v>
      </c>
      <c r="O30" s="103">
        <v>1.0</v>
      </c>
      <c r="P30" s="103">
        <v>1.0</v>
      </c>
      <c r="Q30" s="103">
        <v>1.0</v>
      </c>
      <c r="R30" s="103">
        <v>1.0</v>
      </c>
      <c r="S30" s="103">
        <v>1.0</v>
      </c>
      <c r="T30" s="103">
        <v>1.0</v>
      </c>
      <c r="U30" s="103">
        <v>1.0</v>
      </c>
      <c r="V30" s="103">
        <v>1.0</v>
      </c>
      <c r="W30" s="103">
        <v>1.0</v>
      </c>
      <c r="X30" s="103">
        <v>1.0</v>
      </c>
      <c r="Y30" s="103">
        <v>1.0</v>
      </c>
      <c r="Z30" s="103">
        <v>1.0</v>
      </c>
      <c r="AA30" s="103">
        <v>1.0</v>
      </c>
      <c r="AB30" s="103">
        <v>1.0</v>
      </c>
      <c r="AC30" s="103">
        <v>1.0</v>
      </c>
      <c r="AD30" s="103">
        <v>1.0</v>
      </c>
      <c r="AE30" s="103">
        <v>1.0</v>
      </c>
      <c r="AF30" s="103">
        <v>1.0</v>
      </c>
      <c r="AG30" s="103">
        <v>1.0</v>
      </c>
      <c r="AH30" s="103">
        <v>1.0</v>
      </c>
      <c r="AI30" s="103">
        <v>1.0</v>
      </c>
      <c r="AJ30" s="103">
        <v>1.0</v>
      </c>
      <c r="AK30" s="103">
        <v>1.0</v>
      </c>
      <c r="AL30" s="103">
        <v>1.0</v>
      </c>
      <c r="AM30" s="103">
        <v>1.0</v>
      </c>
      <c r="AN30" s="103">
        <v>1.0</v>
      </c>
      <c r="AO30" s="103">
        <v>1.0</v>
      </c>
      <c r="AP30" s="103">
        <v>1.0</v>
      </c>
      <c r="AQ30" s="103">
        <v>1.0</v>
      </c>
      <c r="AR30" s="103">
        <v>1.0</v>
      </c>
      <c r="AS30" s="103">
        <v>1.0</v>
      </c>
      <c r="AT30" s="103">
        <v>1.0</v>
      </c>
      <c r="AU30" s="103">
        <v>1.0</v>
      </c>
      <c r="AV30" s="103">
        <v>1.0</v>
      </c>
      <c r="AW30" s="103">
        <v>1.0</v>
      </c>
      <c r="AX30" s="103">
        <v>1.0</v>
      </c>
      <c r="AY30" s="103">
        <v>1.0</v>
      </c>
      <c r="AZ30" s="103">
        <v>1.0</v>
      </c>
      <c r="BA30" s="103">
        <v>1.0</v>
      </c>
      <c r="BB30" s="103">
        <v>1.0</v>
      </c>
      <c r="BC30" s="103">
        <v>1.0</v>
      </c>
      <c r="BD30" s="103">
        <v>1.0</v>
      </c>
      <c r="BE30" s="103">
        <v>1.0</v>
      </c>
      <c r="BF30" s="103">
        <v>1.0</v>
      </c>
      <c r="BG30" s="103">
        <v>1.0</v>
      </c>
      <c r="BH30" s="103">
        <v>1.0</v>
      </c>
      <c r="BI30" s="103">
        <v>1.0</v>
      </c>
      <c r="BJ30" s="103">
        <v>1.0</v>
      </c>
      <c r="BK30" s="103">
        <v>1.0</v>
      </c>
      <c r="BL30" s="103">
        <v>1.0</v>
      </c>
      <c r="BM30" s="103">
        <v>1.0</v>
      </c>
      <c r="BN30" s="103">
        <v>1.0</v>
      </c>
      <c r="BO30" s="103">
        <v>1.0</v>
      </c>
      <c r="BP30" s="103">
        <v>1.0</v>
      </c>
      <c r="BQ30" s="103">
        <v>1.0</v>
      </c>
      <c r="BR30" s="103">
        <v>1.0</v>
      </c>
      <c r="BS30" s="103">
        <v>1.0</v>
      </c>
      <c r="BT30" s="103">
        <v>1.0</v>
      </c>
      <c r="BU30" s="103">
        <v>1.0</v>
      </c>
      <c r="BV30" s="103">
        <v>1.0</v>
      </c>
      <c r="BW30" s="103">
        <v>1.0</v>
      </c>
      <c r="BX30" s="103">
        <v>1.0</v>
      </c>
      <c r="BY30" s="103">
        <v>1.0</v>
      </c>
      <c r="BZ30" s="103">
        <v>1.0</v>
      </c>
      <c r="CA30" s="103">
        <v>1.0</v>
      </c>
      <c r="CB30" s="103">
        <v>1.0</v>
      </c>
      <c r="CC30" s="103">
        <v>1.0</v>
      </c>
      <c r="CD30" s="103">
        <v>1.0</v>
      </c>
      <c r="CE30" s="103">
        <v>1.0</v>
      </c>
      <c r="CF30" s="103">
        <v>1.0</v>
      </c>
      <c r="CG30" s="103">
        <v>1.0</v>
      </c>
      <c r="CH30" s="103">
        <v>1.0</v>
      </c>
      <c r="CI30" s="103">
        <v>1.0</v>
      </c>
      <c r="CJ30" s="103">
        <v>1.0</v>
      </c>
      <c r="CK30" s="103">
        <v>1.0</v>
      </c>
      <c r="CL30" s="103">
        <v>1.0</v>
      </c>
      <c r="CM30" s="103">
        <v>1.0</v>
      </c>
      <c r="CN30" s="103">
        <v>1.0</v>
      </c>
      <c r="CO30" s="103"/>
      <c r="CP30" s="69"/>
      <c r="CQ30" s="69"/>
      <c r="CR30" s="69"/>
      <c r="CS30" s="69"/>
      <c r="CT30" s="69"/>
      <c r="CU30" s="69"/>
      <c r="CV30" s="69"/>
      <c r="CW30" s="69"/>
      <c r="CX30" s="69"/>
      <c r="CY30" s="69"/>
      <c r="CZ30" s="69"/>
      <c r="DA30" s="69"/>
      <c r="DB30" s="69"/>
      <c r="DC30" s="69"/>
      <c r="DD30" s="69"/>
      <c r="DE30" s="3"/>
      <c r="DF30" s="3"/>
      <c r="DG30" s="3"/>
      <c r="DH30" s="3"/>
      <c r="DI30" s="3"/>
      <c r="DJ30" s="3"/>
      <c r="DK30" s="3"/>
      <c r="DL30" s="3"/>
      <c r="DM30" s="3"/>
      <c r="DN30" s="3"/>
      <c r="DO30" s="3"/>
      <c r="DP30" s="3"/>
      <c r="DQ30" s="3"/>
      <c r="DR30" s="3"/>
      <c r="DS30" s="3"/>
      <c r="DT30" s="3"/>
      <c r="DU30" s="3"/>
    </row>
    <row r="31" ht="15.0" customHeight="1">
      <c r="A31" s="99">
        <v>10.0</v>
      </c>
      <c r="B31" s="100" t="s">
        <v>193</v>
      </c>
      <c r="C31" s="101" t="s">
        <v>86</v>
      </c>
      <c r="D31" s="102" t="s">
        <v>55</v>
      </c>
      <c r="E31" s="3">
        <v>12.0</v>
      </c>
      <c r="F31" s="102">
        <v>9.0</v>
      </c>
      <c r="G31" s="6">
        <v>44015.0</v>
      </c>
      <c r="H31" s="6">
        <v>44015.0</v>
      </c>
      <c r="I31" s="103">
        <v>1.0</v>
      </c>
      <c r="J31" s="103">
        <v>1.0</v>
      </c>
      <c r="K31" s="103">
        <v>1.0</v>
      </c>
      <c r="L31" s="103">
        <v>1.0</v>
      </c>
      <c r="M31" s="103">
        <v>1.0</v>
      </c>
      <c r="N31" s="103">
        <v>1.0</v>
      </c>
      <c r="O31" s="103">
        <v>1.0</v>
      </c>
      <c r="P31" s="103">
        <v>1.0</v>
      </c>
      <c r="Q31" s="103">
        <v>1.0</v>
      </c>
      <c r="R31" s="103">
        <v>1.0</v>
      </c>
      <c r="S31" s="103">
        <v>1.0</v>
      </c>
      <c r="T31" s="103">
        <v>1.0</v>
      </c>
      <c r="U31" s="103">
        <v>1.0</v>
      </c>
      <c r="V31" s="103">
        <v>1.0</v>
      </c>
      <c r="W31" s="103">
        <v>1.0</v>
      </c>
      <c r="X31" s="103">
        <v>1.0</v>
      </c>
      <c r="Y31" s="103">
        <v>1.0</v>
      </c>
      <c r="Z31" s="103">
        <v>1.0</v>
      </c>
      <c r="AA31" s="103">
        <v>1.0</v>
      </c>
      <c r="AB31" s="103">
        <v>1.0</v>
      </c>
      <c r="AC31" s="103">
        <v>1.0</v>
      </c>
      <c r="AD31" s="103">
        <v>1.0</v>
      </c>
      <c r="AE31" s="103">
        <v>1.0</v>
      </c>
      <c r="AF31" s="103">
        <v>1.0</v>
      </c>
      <c r="AG31" s="103">
        <v>1.0</v>
      </c>
      <c r="AH31" s="103">
        <v>1.0</v>
      </c>
      <c r="AI31" s="103">
        <v>1.0</v>
      </c>
      <c r="AJ31" s="103">
        <v>1.0</v>
      </c>
      <c r="AK31" s="103">
        <v>1.0</v>
      </c>
      <c r="AL31" s="103">
        <v>1.0</v>
      </c>
      <c r="AM31" s="103">
        <v>1.0</v>
      </c>
      <c r="AN31" s="103">
        <v>1.0</v>
      </c>
      <c r="AO31" s="103">
        <v>1.0</v>
      </c>
      <c r="AP31" s="103">
        <v>1.0</v>
      </c>
      <c r="AQ31" s="103">
        <v>1.0</v>
      </c>
      <c r="AR31" s="103">
        <v>1.0</v>
      </c>
      <c r="AS31" s="103">
        <v>1.0</v>
      </c>
      <c r="AT31" s="103">
        <v>1.0</v>
      </c>
      <c r="AU31" s="103">
        <v>1.0</v>
      </c>
      <c r="AV31" s="103">
        <v>1.0</v>
      </c>
      <c r="AW31" s="103">
        <v>1.0</v>
      </c>
      <c r="AX31" s="103">
        <v>1.0</v>
      </c>
      <c r="AY31" s="103">
        <v>1.0</v>
      </c>
      <c r="AZ31" s="103">
        <v>1.0</v>
      </c>
      <c r="BA31" s="103">
        <v>1.0</v>
      </c>
      <c r="BB31" s="103">
        <v>1.0</v>
      </c>
      <c r="BC31" s="103">
        <v>1.0</v>
      </c>
      <c r="BD31" s="103">
        <v>1.0</v>
      </c>
      <c r="BE31" s="103">
        <v>1.0</v>
      </c>
      <c r="BF31" s="103">
        <v>1.0</v>
      </c>
      <c r="BG31" s="103">
        <v>1.0</v>
      </c>
      <c r="BH31" s="103">
        <v>1.0</v>
      </c>
      <c r="BI31" s="103">
        <v>1.0</v>
      </c>
      <c r="BJ31" s="103">
        <v>1.0</v>
      </c>
      <c r="BK31" s="103">
        <v>1.0</v>
      </c>
      <c r="BL31" s="103">
        <v>1.0</v>
      </c>
      <c r="BM31" s="103">
        <v>1.0</v>
      </c>
      <c r="BN31" s="103">
        <v>1.0</v>
      </c>
      <c r="BO31" s="103">
        <v>1.0</v>
      </c>
      <c r="BP31" s="103">
        <v>1.0</v>
      </c>
      <c r="BQ31" s="103">
        <v>1.0</v>
      </c>
      <c r="BR31" s="103">
        <v>1.0</v>
      </c>
      <c r="BS31" s="103">
        <v>1.0</v>
      </c>
      <c r="BT31" s="103">
        <v>1.0</v>
      </c>
      <c r="BU31" s="103">
        <v>1.0</v>
      </c>
      <c r="BV31" s="103">
        <v>1.0</v>
      </c>
      <c r="BW31" s="103">
        <v>1.0</v>
      </c>
      <c r="BX31" s="103">
        <v>1.0</v>
      </c>
      <c r="BY31" s="103">
        <v>1.0</v>
      </c>
      <c r="BZ31" s="103">
        <v>1.0</v>
      </c>
      <c r="CA31" s="103">
        <v>1.0</v>
      </c>
      <c r="CB31" s="103">
        <v>1.0</v>
      </c>
      <c r="CC31" s="103">
        <v>1.0</v>
      </c>
      <c r="CD31" s="103">
        <v>1.0</v>
      </c>
      <c r="CE31" s="103">
        <v>1.0</v>
      </c>
      <c r="CF31" s="103">
        <v>1.0</v>
      </c>
      <c r="CG31" s="103">
        <v>1.0</v>
      </c>
      <c r="CH31" s="103">
        <v>1.0</v>
      </c>
      <c r="CI31" s="103">
        <v>1.0</v>
      </c>
      <c r="CJ31" s="103">
        <v>1.0</v>
      </c>
      <c r="CK31" s="103">
        <v>1.0</v>
      </c>
      <c r="CL31" s="103">
        <v>1.0</v>
      </c>
      <c r="CM31" s="103">
        <v>1.0</v>
      </c>
      <c r="CN31" s="103"/>
      <c r="CO31" s="103"/>
      <c r="CP31" s="69"/>
      <c r="CQ31" s="69"/>
      <c r="CR31" s="69"/>
      <c r="CS31" s="69"/>
      <c r="CT31" s="69"/>
      <c r="CU31" s="69"/>
      <c r="CV31" s="69"/>
      <c r="CW31" s="69"/>
      <c r="CX31" s="69"/>
      <c r="CY31" s="69"/>
      <c r="CZ31" s="69"/>
      <c r="DA31" s="69"/>
      <c r="DB31" s="69"/>
      <c r="DC31" s="69"/>
      <c r="DD31" s="69"/>
      <c r="DE31" s="3"/>
      <c r="DF31" s="3"/>
      <c r="DG31" s="3"/>
      <c r="DH31" s="3"/>
      <c r="DI31" s="3"/>
      <c r="DJ31" s="3"/>
      <c r="DK31" s="3"/>
      <c r="DL31" s="3"/>
      <c r="DM31" s="3"/>
      <c r="DN31" s="3"/>
      <c r="DO31" s="3"/>
      <c r="DP31" s="3"/>
      <c r="DQ31" s="3"/>
      <c r="DR31" s="3"/>
      <c r="DS31" s="3"/>
      <c r="DT31" s="3"/>
      <c r="DU31" s="3"/>
    </row>
    <row r="32" ht="15.75" customHeight="1">
      <c r="A32" s="99">
        <v>11.0</v>
      </c>
      <c r="B32" s="100" t="s">
        <v>194</v>
      </c>
      <c r="C32" s="101" t="s">
        <v>86</v>
      </c>
      <c r="D32" s="102" t="s">
        <v>42</v>
      </c>
      <c r="E32" s="102">
        <v>8.0</v>
      </c>
      <c r="F32" s="102">
        <v>6.0</v>
      </c>
      <c r="G32" s="6">
        <v>44014.0</v>
      </c>
      <c r="H32" s="6">
        <v>44014.0</v>
      </c>
      <c r="I32" s="103">
        <v>1.0</v>
      </c>
      <c r="J32" s="103">
        <v>1.0</v>
      </c>
      <c r="K32" s="103">
        <v>1.0</v>
      </c>
      <c r="L32" s="103">
        <v>1.0</v>
      </c>
      <c r="M32" s="103">
        <v>1.0</v>
      </c>
      <c r="N32" s="103">
        <v>1.0</v>
      </c>
      <c r="O32" s="103">
        <v>1.0</v>
      </c>
      <c r="P32" s="103">
        <v>1.0</v>
      </c>
      <c r="Q32" s="103">
        <v>1.0</v>
      </c>
      <c r="R32" s="103">
        <v>1.0</v>
      </c>
      <c r="S32" s="103">
        <v>1.0</v>
      </c>
      <c r="T32" s="103">
        <v>1.0</v>
      </c>
      <c r="U32" s="103">
        <v>1.0</v>
      </c>
      <c r="V32" s="103">
        <v>1.0</v>
      </c>
      <c r="W32" s="103">
        <v>1.0</v>
      </c>
      <c r="X32" s="103">
        <v>1.0</v>
      </c>
      <c r="Y32" s="103">
        <v>1.0</v>
      </c>
      <c r="Z32" s="103">
        <v>1.0</v>
      </c>
      <c r="AA32" s="103">
        <v>1.0</v>
      </c>
      <c r="AB32" s="103">
        <v>1.0</v>
      </c>
      <c r="AC32" s="103">
        <v>1.0</v>
      </c>
      <c r="AD32" s="103">
        <v>1.0</v>
      </c>
      <c r="AE32" s="103">
        <v>1.0</v>
      </c>
      <c r="AF32" s="103">
        <v>1.0</v>
      </c>
      <c r="AG32" s="103">
        <v>1.0</v>
      </c>
      <c r="AH32" s="103">
        <v>1.0</v>
      </c>
      <c r="AI32" s="103">
        <v>1.0</v>
      </c>
      <c r="AJ32" s="103">
        <v>1.0</v>
      </c>
      <c r="AK32" s="103">
        <v>1.0</v>
      </c>
      <c r="AL32" s="103">
        <v>1.0</v>
      </c>
      <c r="AM32" s="103">
        <v>1.0</v>
      </c>
      <c r="AN32" s="103">
        <v>1.0</v>
      </c>
      <c r="AO32" s="103">
        <v>1.0</v>
      </c>
      <c r="AP32" s="103">
        <v>1.0</v>
      </c>
      <c r="AQ32" s="103">
        <v>1.0</v>
      </c>
      <c r="AR32" s="103">
        <v>1.0</v>
      </c>
      <c r="AS32" s="103">
        <v>1.0</v>
      </c>
      <c r="AT32" s="103">
        <v>1.0</v>
      </c>
      <c r="AU32" s="103">
        <v>1.0</v>
      </c>
      <c r="AV32" s="103">
        <v>1.0</v>
      </c>
      <c r="AW32" s="103">
        <v>1.0</v>
      </c>
      <c r="AX32" s="103">
        <v>1.0</v>
      </c>
      <c r="AY32" s="103">
        <v>1.0</v>
      </c>
      <c r="AZ32" s="103">
        <v>1.0</v>
      </c>
      <c r="BA32" s="103">
        <v>1.0</v>
      </c>
      <c r="BB32" s="103">
        <v>1.0</v>
      </c>
      <c r="BC32" s="103">
        <v>1.0</v>
      </c>
      <c r="BD32" s="103">
        <v>1.0</v>
      </c>
      <c r="BE32" s="103">
        <v>1.0</v>
      </c>
      <c r="BF32" s="103">
        <v>1.0</v>
      </c>
      <c r="BG32" s="103">
        <v>1.0</v>
      </c>
      <c r="BH32" s="103">
        <v>1.0</v>
      </c>
      <c r="BI32" s="103">
        <v>1.0</v>
      </c>
      <c r="BJ32" s="103">
        <v>1.0</v>
      </c>
      <c r="BK32" s="103">
        <v>1.0</v>
      </c>
      <c r="BL32" s="103">
        <v>1.0</v>
      </c>
      <c r="BM32" s="103">
        <v>1.0</v>
      </c>
      <c r="BN32" s="103">
        <v>1.0</v>
      </c>
      <c r="BO32" s="103">
        <v>1.0</v>
      </c>
      <c r="BP32" s="103">
        <v>1.0</v>
      </c>
      <c r="BQ32" s="103">
        <v>1.0</v>
      </c>
      <c r="BR32" s="103">
        <v>1.0</v>
      </c>
      <c r="BS32" s="103">
        <v>1.0</v>
      </c>
      <c r="BT32" s="103">
        <v>1.0</v>
      </c>
      <c r="BU32" s="103">
        <v>1.0</v>
      </c>
      <c r="BV32" s="103">
        <v>1.0</v>
      </c>
      <c r="BW32" s="103">
        <v>1.0</v>
      </c>
      <c r="BX32" s="103">
        <v>1.0</v>
      </c>
      <c r="BY32" s="103">
        <v>1.0</v>
      </c>
      <c r="BZ32" s="103">
        <v>1.0</v>
      </c>
      <c r="CA32" s="103">
        <v>1.0</v>
      </c>
      <c r="CB32" s="103">
        <v>1.0</v>
      </c>
      <c r="CC32" s="103">
        <v>1.0</v>
      </c>
      <c r="CD32" s="103">
        <v>1.0</v>
      </c>
      <c r="CE32" s="103">
        <v>1.0</v>
      </c>
      <c r="CF32" s="103">
        <v>1.0</v>
      </c>
      <c r="CG32" s="103">
        <v>1.0</v>
      </c>
      <c r="CH32" s="103">
        <v>1.0</v>
      </c>
      <c r="CI32" s="103">
        <v>1.0</v>
      </c>
      <c r="CJ32" s="103">
        <v>1.0</v>
      </c>
      <c r="CK32" s="103">
        <v>1.0</v>
      </c>
      <c r="CL32" s="103">
        <v>1.0</v>
      </c>
      <c r="CM32" s="103">
        <v>1.0</v>
      </c>
      <c r="CN32" s="103">
        <v>1.0</v>
      </c>
      <c r="CO32" s="103"/>
      <c r="CP32" s="69"/>
      <c r="CQ32" s="69"/>
      <c r="CR32" s="69"/>
      <c r="CS32" s="69"/>
      <c r="CT32" s="69"/>
      <c r="CU32" s="69"/>
      <c r="CV32" s="69"/>
      <c r="CW32" s="69"/>
      <c r="CX32" s="69"/>
      <c r="CY32" s="69"/>
      <c r="CZ32" s="69"/>
      <c r="DA32" s="69"/>
      <c r="DB32" s="69"/>
      <c r="DC32" s="69"/>
      <c r="DD32" s="69"/>
      <c r="DE32" s="3"/>
      <c r="DF32" s="3"/>
      <c r="DG32" s="3"/>
      <c r="DH32" s="3"/>
      <c r="DI32" s="3"/>
      <c r="DJ32" s="3"/>
      <c r="DK32" s="3"/>
      <c r="DL32" s="3"/>
      <c r="DM32" s="3"/>
      <c r="DN32" s="3"/>
      <c r="DO32" s="3"/>
      <c r="DP32" s="3"/>
      <c r="DQ32" s="3"/>
      <c r="DR32" s="3"/>
      <c r="DS32" s="3"/>
      <c r="DT32" s="3"/>
      <c r="DU32" s="3"/>
    </row>
    <row r="33" ht="15.75" customHeight="1">
      <c r="A33" s="99">
        <v>12.0</v>
      </c>
      <c r="B33" s="100" t="s">
        <v>195</v>
      </c>
      <c r="C33" s="101" t="s">
        <v>86</v>
      </c>
      <c r="D33" s="102" t="s">
        <v>55</v>
      </c>
      <c r="E33" s="3">
        <v>8.0</v>
      </c>
      <c r="F33" s="102">
        <v>5.0</v>
      </c>
      <c r="G33" s="6">
        <v>44014.0</v>
      </c>
      <c r="H33" s="6">
        <v>44014.0</v>
      </c>
      <c r="I33" s="103">
        <v>1.0</v>
      </c>
      <c r="J33" s="103">
        <v>1.0</v>
      </c>
      <c r="K33" s="103">
        <v>1.0</v>
      </c>
      <c r="L33" s="103">
        <v>1.0</v>
      </c>
      <c r="M33" s="103">
        <v>1.0</v>
      </c>
      <c r="N33" s="103">
        <v>1.0</v>
      </c>
      <c r="O33" s="103">
        <v>1.0</v>
      </c>
      <c r="P33" s="103">
        <v>1.0</v>
      </c>
      <c r="Q33" s="103">
        <v>1.0</v>
      </c>
      <c r="R33" s="103">
        <v>1.0</v>
      </c>
      <c r="S33" s="103">
        <v>1.0</v>
      </c>
      <c r="T33" s="103">
        <v>1.0</v>
      </c>
      <c r="U33" s="103">
        <v>1.0</v>
      </c>
      <c r="V33" s="103">
        <v>1.0</v>
      </c>
      <c r="W33" s="103">
        <v>1.0</v>
      </c>
      <c r="X33" s="103">
        <v>1.0</v>
      </c>
      <c r="Y33" s="103">
        <v>1.0</v>
      </c>
      <c r="Z33" s="103">
        <v>1.0</v>
      </c>
      <c r="AA33" s="103">
        <v>1.0</v>
      </c>
      <c r="AB33" s="103">
        <v>1.0</v>
      </c>
      <c r="AC33" s="103">
        <v>1.0</v>
      </c>
      <c r="AD33" s="103">
        <v>1.0</v>
      </c>
      <c r="AE33" s="103">
        <v>1.0</v>
      </c>
      <c r="AF33" s="103">
        <v>1.0</v>
      </c>
      <c r="AG33" s="103">
        <v>1.0</v>
      </c>
      <c r="AH33" s="103">
        <v>1.0</v>
      </c>
      <c r="AI33" s="103">
        <v>1.0</v>
      </c>
      <c r="AJ33" s="103">
        <v>1.0</v>
      </c>
      <c r="AK33" s="103">
        <v>1.0</v>
      </c>
      <c r="AL33" s="103">
        <v>1.0</v>
      </c>
      <c r="AM33" s="103">
        <v>1.0</v>
      </c>
      <c r="AN33" s="103">
        <v>1.0</v>
      </c>
      <c r="AO33" s="103">
        <v>1.0</v>
      </c>
      <c r="AP33" s="103">
        <v>1.0</v>
      </c>
      <c r="AQ33" s="103">
        <v>1.0</v>
      </c>
      <c r="AR33" s="103">
        <v>1.0</v>
      </c>
      <c r="AS33" s="103">
        <v>1.0</v>
      </c>
      <c r="AT33" s="103">
        <v>1.0</v>
      </c>
      <c r="AU33" s="103">
        <v>1.0</v>
      </c>
      <c r="AV33" s="103">
        <v>1.0</v>
      </c>
      <c r="AW33" s="103">
        <v>1.0</v>
      </c>
      <c r="AX33" s="103">
        <v>1.0</v>
      </c>
      <c r="AY33" s="103">
        <v>1.0</v>
      </c>
      <c r="AZ33" s="103">
        <v>1.0</v>
      </c>
      <c r="BA33" s="103">
        <v>1.0</v>
      </c>
      <c r="BB33" s="103">
        <v>1.0</v>
      </c>
      <c r="BC33" s="103">
        <v>1.0</v>
      </c>
      <c r="BD33" s="103">
        <v>1.0</v>
      </c>
      <c r="BE33" s="103">
        <v>1.0</v>
      </c>
      <c r="BF33" s="103">
        <v>1.0</v>
      </c>
      <c r="BG33" s="103">
        <v>1.0</v>
      </c>
      <c r="BH33" s="103">
        <v>1.0</v>
      </c>
      <c r="BI33" s="103">
        <v>1.0</v>
      </c>
      <c r="BJ33" s="103">
        <v>1.0</v>
      </c>
      <c r="BK33" s="103">
        <v>1.0</v>
      </c>
      <c r="BL33" s="103">
        <v>1.0</v>
      </c>
      <c r="BM33" s="103">
        <v>1.0</v>
      </c>
      <c r="BN33" s="103">
        <v>1.0</v>
      </c>
      <c r="BO33" s="103">
        <v>1.0</v>
      </c>
      <c r="BP33" s="103">
        <v>1.0</v>
      </c>
      <c r="BQ33" s="103">
        <v>1.0</v>
      </c>
      <c r="BR33" s="103">
        <v>1.0</v>
      </c>
      <c r="BS33" s="103">
        <v>1.0</v>
      </c>
      <c r="BT33" s="103">
        <v>1.0</v>
      </c>
      <c r="BU33" s="103">
        <v>1.0</v>
      </c>
      <c r="BV33" s="103">
        <v>1.0</v>
      </c>
      <c r="BW33" s="103">
        <v>1.0</v>
      </c>
      <c r="BX33" s="103">
        <v>1.0</v>
      </c>
      <c r="BY33" s="103">
        <v>1.0</v>
      </c>
      <c r="BZ33" s="103">
        <v>1.0</v>
      </c>
      <c r="CA33" s="103">
        <v>1.0</v>
      </c>
      <c r="CB33" s="103">
        <v>1.0</v>
      </c>
      <c r="CC33" s="103">
        <v>1.0</v>
      </c>
      <c r="CD33" s="103">
        <v>1.0</v>
      </c>
      <c r="CE33" s="103">
        <v>1.0</v>
      </c>
      <c r="CF33" s="103">
        <v>1.0</v>
      </c>
      <c r="CG33" s="103">
        <v>1.0</v>
      </c>
      <c r="CH33" s="103">
        <v>1.0</v>
      </c>
      <c r="CI33" s="103">
        <v>1.0</v>
      </c>
      <c r="CJ33" s="103">
        <v>1.0</v>
      </c>
      <c r="CK33" s="103">
        <v>1.0</v>
      </c>
      <c r="CL33" s="103">
        <v>1.0</v>
      </c>
      <c r="CM33" s="103">
        <v>1.0</v>
      </c>
      <c r="CN33" s="103">
        <v>1.0</v>
      </c>
      <c r="CO33" s="103"/>
      <c r="CP33" s="69"/>
      <c r="CQ33" s="69"/>
      <c r="CR33" s="69"/>
      <c r="CS33" s="69"/>
      <c r="CT33" s="69"/>
      <c r="CU33" s="69"/>
      <c r="CV33" s="69"/>
      <c r="CW33" s="69"/>
      <c r="CX33" s="69"/>
      <c r="CY33" s="69"/>
      <c r="CZ33" s="69"/>
      <c r="DA33" s="69"/>
      <c r="DB33" s="69"/>
      <c r="DC33" s="69"/>
      <c r="DD33" s="69"/>
      <c r="DE33" s="3"/>
      <c r="DF33" s="3"/>
      <c r="DG33" s="3"/>
      <c r="DH33" s="3"/>
      <c r="DI33" s="3"/>
      <c r="DJ33" s="3"/>
      <c r="DK33" s="3"/>
      <c r="DL33" s="3"/>
      <c r="DM33" s="3"/>
      <c r="DN33" s="3"/>
      <c r="DO33" s="3"/>
      <c r="DP33" s="3"/>
      <c r="DQ33" s="3"/>
      <c r="DR33" s="3"/>
      <c r="DS33" s="3"/>
      <c r="DT33" s="3"/>
      <c r="DU33" s="3"/>
    </row>
    <row r="34" ht="15.75" customHeight="1">
      <c r="A34" s="99">
        <v>13.0</v>
      </c>
      <c r="B34" s="100" t="s">
        <v>196</v>
      </c>
      <c r="C34" s="101" t="s">
        <v>86</v>
      </c>
      <c r="D34" s="102" t="s">
        <v>42</v>
      </c>
      <c r="E34" s="102">
        <v>8.0</v>
      </c>
      <c r="F34" s="102">
        <v>8.0</v>
      </c>
      <c r="G34" s="6">
        <v>44015.0</v>
      </c>
      <c r="H34" s="6">
        <v>44015.0</v>
      </c>
      <c r="I34" s="103">
        <v>1.0</v>
      </c>
      <c r="J34" s="103">
        <v>1.0</v>
      </c>
      <c r="K34" s="103">
        <v>1.0</v>
      </c>
      <c r="L34" s="103">
        <v>1.0</v>
      </c>
      <c r="M34" s="103">
        <v>1.0</v>
      </c>
      <c r="N34" s="103">
        <v>1.0</v>
      </c>
      <c r="O34" s="103">
        <v>1.0</v>
      </c>
      <c r="P34" s="103">
        <v>1.0</v>
      </c>
      <c r="Q34" s="103">
        <v>1.0</v>
      </c>
      <c r="R34" s="103">
        <v>1.0</v>
      </c>
      <c r="S34" s="103">
        <v>1.0</v>
      </c>
      <c r="T34" s="103">
        <v>1.0</v>
      </c>
      <c r="U34" s="103">
        <v>1.0</v>
      </c>
      <c r="V34" s="103">
        <v>1.0</v>
      </c>
      <c r="W34" s="103">
        <v>1.0</v>
      </c>
      <c r="X34" s="103">
        <v>1.0</v>
      </c>
      <c r="Y34" s="103">
        <v>1.0</v>
      </c>
      <c r="Z34" s="103">
        <v>1.0</v>
      </c>
      <c r="AA34" s="103">
        <v>1.0</v>
      </c>
      <c r="AB34" s="103">
        <v>1.0</v>
      </c>
      <c r="AC34" s="103">
        <v>1.0</v>
      </c>
      <c r="AD34" s="103">
        <v>1.0</v>
      </c>
      <c r="AE34" s="103">
        <v>1.0</v>
      </c>
      <c r="AF34" s="103">
        <v>1.0</v>
      </c>
      <c r="AG34" s="103">
        <v>1.0</v>
      </c>
      <c r="AH34" s="103">
        <v>1.0</v>
      </c>
      <c r="AI34" s="103">
        <v>1.0</v>
      </c>
      <c r="AJ34" s="103">
        <v>1.0</v>
      </c>
      <c r="AK34" s="103">
        <v>1.0</v>
      </c>
      <c r="AL34" s="103">
        <v>1.0</v>
      </c>
      <c r="AM34" s="103">
        <v>1.0</v>
      </c>
      <c r="AN34" s="103">
        <v>1.0</v>
      </c>
      <c r="AO34" s="103">
        <v>1.0</v>
      </c>
      <c r="AP34" s="103">
        <v>1.0</v>
      </c>
      <c r="AQ34" s="103">
        <v>1.0</v>
      </c>
      <c r="AR34" s="103">
        <v>1.0</v>
      </c>
      <c r="AS34" s="103">
        <v>1.0</v>
      </c>
      <c r="AT34" s="103">
        <v>1.0</v>
      </c>
      <c r="AU34" s="103">
        <v>1.0</v>
      </c>
      <c r="AV34" s="103">
        <v>1.0</v>
      </c>
      <c r="AW34" s="103">
        <v>1.0</v>
      </c>
      <c r="AX34" s="103">
        <v>1.0</v>
      </c>
      <c r="AY34" s="103">
        <v>1.0</v>
      </c>
      <c r="AZ34" s="103">
        <v>1.0</v>
      </c>
      <c r="BA34" s="103">
        <v>1.0</v>
      </c>
      <c r="BB34" s="103">
        <v>1.0</v>
      </c>
      <c r="BC34" s="103">
        <v>1.0</v>
      </c>
      <c r="BD34" s="103">
        <v>1.0</v>
      </c>
      <c r="BE34" s="103">
        <v>1.0</v>
      </c>
      <c r="BF34" s="103">
        <v>1.0</v>
      </c>
      <c r="BG34" s="103">
        <v>1.0</v>
      </c>
      <c r="BH34" s="103">
        <v>1.0</v>
      </c>
      <c r="BI34" s="103">
        <v>1.0</v>
      </c>
      <c r="BJ34" s="103">
        <v>1.0</v>
      </c>
      <c r="BK34" s="103">
        <v>1.0</v>
      </c>
      <c r="BL34" s="103">
        <v>1.0</v>
      </c>
      <c r="BM34" s="103">
        <v>1.0</v>
      </c>
      <c r="BN34" s="103">
        <v>1.0</v>
      </c>
      <c r="BO34" s="103">
        <v>1.0</v>
      </c>
      <c r="BP34" s="103">
        <v>1.0</v>
      </c>
      <c r="BQ34" s="103">
        <v>1.0</v>
      </c>
      <c r="BR34" s="103">
        <v>1.0</v>
      </c>
      <c r="BS34" s="103">
        <v>1.0</v>
      </c>
      <c r="BT34" s="103">
        <v>1.0</v>
      </c>
      <c r="BU34" s="103">
        <v>1.0</v>
      </c>
      <c r="BV34" s="103">
        <v>1.0</v>
      </c>
      <c r="BW34" s="103">
        <v>1.0</v>
      </c>
      <c r="BX34" s="103">
        <v>1.0</v>
      </c>
      <c r="BY34" s="103">
        <v>1.0</v>
      </c>
      <c r="BZ34" s="103">
        <v>1.0</v>
      </c>
      <c r="CA34" s="103">
        <v>1.0</v>
      </c>
      <c r="CB34" s="103">
        <v>1.0</v>
      </c>
      <c r="CC34" s="103">
        <v>1.0</v>
      </c>
      <c r="CD34" s="103">
        <v>1.0</v>
      </c>
      <c r="CE34" s="103">
        <v>1.0</v>
      </c>
      <c r="CF34" s="103">
        <v>1.0</v>
      </c>
      <c r="CG34" s="103">
        <v>1.0</v>
      </c>
      <c r="CH34" s="103">
        <v>1.0</v>
      </c>
      <c r="CI34" s="103">
        <v>1.0</v>
      </c>
      <c r="CJ34" s="103">
        <v>1.0</v>
      </c>
      <c r="CK34" s="103">
        <v>1.0</v>
      </c>
      <c r="CL34" s="103">
        <v>1.0</v>
      </c>
      <c r="CM34" s="103">
        <v>1.0</v>
      </c>
      <c r="CN34" s="103"/>
      <c r="CO34" s="103"/>
      <c r="CP34" s="69"/>
      <c r="CQ34" s="69"/>
      <c r="CR34" s="69"/>
      <c r="CS34" s="69"/>
      <c r="CT34" s="69"/>
      <c r="CU34" s="69"/>
      <c r="CV34" s="69"/>
      <c r="CW34" s="69"/>
      <c r="CX34" s="69"/>
      <c r="CY34" s="69"/>
      <c r="CZ34" s="69"/>
      <c r="DA34" s="69"/>
      <c r="DB34" s="69"/>
      <c r="DC34" s="69"/>
      <c r="DD34" s="69"/>
      <c r="DE34" s="3"/>
      <c r="DF34" s="3"/>
      <c r="DG34" s="3"/>
      <c r="DH34" s="3"/>
      <c r="DI34" s="3"/>
      <c r="DJ34" s="3"/>
      <c r="DK34" s="3"/>
      <c r="DL34" s="3"/>
      <c r="DM34" s="3"/>
      <c r="DN34" s="3"/>
      <c r="DO34" s="3"/>
      <c r="DP34" s="3"/>
      <c r="DQ34" s="3"/>
      <c r="DR34" s="3"/>
      <c r="DS34" s="3"/>
      <c r="DT34" s="3"/>
      <c r="DU34" s="3"/>
    </row>
    <row r="35" ht="15.0" customHeight="1">
      <c r="A35" s="99">
        <v>15.0</v>
      </c>
      <c r="B35" s="100" t="s">
        <v>197</v>
      </c>
      <c r="C35" s="101" t="s">
        <v>86</v>
      </c>
      <c r="D35" s="102" t="s">
        <v>42</v>
      </c>
      <c r="E35" s="102">
        <v>8.0</v>
      </c>
      <c r="F35" s="102">
        <v>12.0</v>
      </c>
      <c r="G35" s="6">
        <v>44022.0</v>
      </c>
      <c r="H35" s="6">
        <v>44021.0</v>
      </c>
      <c r="I35" s="103">
        <v>1.0</v>
      </c>
      <c r="J35" s="103">
        <v>1.0</v>
      </c>
      <c r="K35" s="103">
        <v>1.0</v>
      </c>
      <c r="L35" s="103">
        <v>1.0</v>
      </c>
      <c r="M35" s="103">
        <v>1.0</v>
      </c>
      <c r="N35" s="103">
        <v>1.0</v>
      </c>
      <c r="O35" s="103">
        <v>1.0</v>
      </c>
      <c r="P35" s="103">
        <v>1.0</v>
      </c>
      <c r="Q35" s="103">
        <v>1.0</v>
      </c>
      <c r="R35" s="103">
        <v>1.0</v>
      </c>
      <c r="S35" s="103">
        <v>1.0</v>
      </c>
      <c r="T35" s="103">
        <v>1.0</v>
      </c>
      <c r="U35" s="103">
        <v>1.0</v>
      </c>
      <c r="V35" s="103">
        <v>1.0</v>
      </c>
      <c r="W35" s="103">
        <v>1.0</v>
      </c>
      <c r="X35" s="103">
        <v>1.0</v>
      </c>
      <c r="Y35" s="103">
        <v>1.0</v>
      </c>
      <c r="Z35" s="103">
        <v>1.0</v>
      </c>
      <c r="AA35" s="103">
        <v>1.0</v>
      </c>
      <c r="AB35" s="103">
        <v>1.0</v>
      </c>
      <c r="AC35" s="103">
        <v>1.0</v>
      </c>
      <c r="AD35" s="103">
        <v>1.0</v>
      </c>
      <c r="AE35" s="103">
        <v>1.0</v>
      </c>
      <c r="AF35" s="103">
        <v>1.0</v>
      </c>
      <c r="AG35" s="103">
        <v>1.0</v>
      </c>
      <c r="AH35" s="103">
        <v>1.0</v>
      </c>
      <c r="AI35" s="103">
        <v>1.0</v>
      </c>
      <c r="AJ35" s="103">
        <v>1.0</v>
      </c>
      <c r="AK35" s="103">
        <v>1.0</v>
      </c>
      <c r="AL35" s="103">
        <v>1.0</v>
      </c>
      <c r="AM35" s="103">
        <v>1.0</v>
      </c>
      <c r="AN35" s="103">
        <v>1.0</v>
      </c>
      <c r="AO35" s="103">
        <v>1.0</v>
      </c>
      <c r="AP35" s="103">
        <v>1.0</v>
      </c>
      <c r="AQ35" s="103">
        <v>1.0</v>
      </c>
      <c r="AR35" s="103">
        <v>1.0</v>
      </c>
      <c r="AS35" s="103">
        <v>1.0</v>
      </c>
      <c r="AT35" s="103">
        <v>1.0</v>
      </c>
      <c r="AU35" s="103">
        <v>1.0</v>
      </c>
      <c r="AV35" s="103">
        <v>1.0</v>
      </c>
      <c r="AW35" s="103">
        <v>1.0</v>
      </c>
      <c r="AX35" s="103">
        <v>1.0</v>
      </c>
      <c r="AY35" s="103">
        <v>1.0</v>
      </c>
      <c r="AZ35" s="103">
        <v>1.0</v>
      </c>
      <c r="BA35" s="103">
        <v>1.0</v>
      </c>
      <c r="BB35" s="103">
        <v>1.0</v>
      </c>
      <c r="BC35" s="103">
        <v>1.0</v>
      </c>
      <c r="BD35" s="103">
        <v>1.0</v>
      </c>
      <c r="BE35" s="103">
        <v>1.0</v>
      </c>
      <c r="BF35" s="103">
        <v>1.0</v>
      </c>
      <c r="BG35" s="103">
        <v>1.0</v>
      </c>
      <c r="BH35" s="103">
        <v>1.0</v>
      </c>
      <c r="BI35" s="103">
        <v>1.0</v>
      </c>
      <c r="BJ35" s="103">
        <v>1.0</v>
      </c>
      <c r="BK35" s="103">
        <v>1.0</v>
      </c>
      <c r="BL35" s="103">
        <v>1.0</v>
      </c>
      <c r="BM35" s="103">
        <v>1.0</v>
      </c>
      <c r="BN35" s="103">
        <v>1.0</v>
      </c>
      <c r="BO35" s="103">
        <v>1.0</v>
      </c>
      <c r="BP35" s="103">
        <v>1.0</v>
      </c>
      <c r="BQ35" s="103">
        <v>1.0</v>
      </c>
      <c r="BR35" s="103">
        <v>1.0</v>
      </c>
      <c r="BS35" s="103">
        <v>1.0</v>
      </c>
      <c r="BT35" s="103">
        <v>1.0</v>
      </c>
      <c r="BU35" s="103">
        <v>1.0</v>
      </c>
      <c r="BV35" s="103">
        <v>1.0</v>
      </c>
      <c r="BW35" s="103">
        <v>1.0</v>
      </c>
      <c r="BX35" s="103">
        <v>1.0</v>
      </c>
      <c r="BY35" s="103">
        <v>1.0</v>
      </c>
      <c r="BZ35" s="103">
        <v>1.0</v>
      </c>
      <c r="CA35" s="103">
        <v>1.0</v>
      </c>
      <c r="CB35" s="103">
        <v>1.0</v>
      </c>
      <c r="CC35" s="103">
        <v>1.0</v>
      </c>
      <c r="CD35" s="103">
        <v>1.0</v>
      </c>
      <c r="CE35" s="103">
        <v>1.0</v>
      </c>
      <c r="CF35" s="103">
        <v>1.0</v>
      </c>
      <c r="CG35" s="103">
        <v>1.0</v>
      </c>
      <c r="CH35" s="103">
        <v>1.0</v>
      </c>
      <c r="CI35" s="103">
        <v>0.5</v>
      </c>
      <c r="CJ35" s="103"/>
      <c r="CK35" s="103"/>
      <c r="CL35" s="103"/>
      <c r="CM35" s="103"/>
      <c r="CN35" s="103"/>
      <c r="CO35" s="103"/>
      <c r="CP35" s="69"/>
      <c r="CQ35" s="69"/>
      <c r="CR35" s="69"/>
      <c r="CS35" s="69"/>
      <c r="CT35" s="69"/>
      <c r="CU35" s="69"/>
      <c r="CV35" s="69"/>
      <c r="CW35" s="69"/>
      <c r="CX35" s="69"/>
      <c r="CY35" s="69"/>
      <c r="CZ35" s="69"/>
      <c r="DA35" s="69"/>
      <c r="DB35" s="69"/>
      <c r="DC35" s="69"/>
      <c r="DD35" s="69"/>
      <c r="DE35" s="3"/>
      <c r="DF35" s="3"/>
      <c r="DG35" s="3"/>
      <c r="DH35" s="3"/>
      <c r="DI35" s="3"/>
      <c r="DJ35" s="3"/>
      <c r="DK35" s="3"/>
      <c r="DL35" s="3"/>
      <c r="DM35" s="3"/>
      <c r="DN35" s="3"/>
      <c r="DO35" s="3"/>
      <c r="DP35" s="3"/>
      <c r="DQ35" s="3"/>
      <c r="DR35" s="3"/>
      <c r="DS35" s="3"/>
      <c r="DT35" s="3"/>
      <c r="DU35" s="3"/>
    </row>
    <row r="36" ht="15.0" customHeight="1">
      <c r="A36" s="99">
        <v>16.0</v>
      </c>
      <c r="B36" s="100" t="s">
        <v>198</v>
      </c>
      <c r="C36" s="101" t="s">
        <v>86</v>
      </c>
      <c r="D36" s="102" t="s">
        <v>55</v>
      </c>
      <c r="E36" s="102">
        <v>8.0</v>
      </c>
      <c r="F36" s="102">
        <v>17.0</v>
      </c>
      <c r="G36" s="6">
        <v>44022.0</v>
      </c>
      <c r="H36" s="6">
        <v>44021.0</v>
      </c>
      <c r="I36" s="103">
        <v>1.0</v>
      </c>
      <c r="J36" s="103">
        <v>1.0</v>
      </c>
      <c r="K36" s="103">
        <v>1.0</v>
      </c>
      <c r="L36" s="103">
        <v>1.0</v>
      </c>
      <c r="M36" s="103">
        <v>1.0</v>
      </c>
      <c r="N36" s="103">
        <v>1.0</v>
      </c>
      <c r="O36" s="103">
        <v>1.0</v>
      </c>
      <c r="P36" s="103">
        <v>1.0</v>
      </c>
      <c r="Q36" s="103">
        <v>1.0</v>
      </c>
      <c r="R36" s="103">
        <v>1.0</v>
      </c>
      <c r="S36" s="103">
        <v>1.0</v>
      </c>
      <c r="T36" s="103">
        <v>1.0</v>
      </c>
      <c r="U36" s="103">
        <v>1.0</v>
      </c>
      <c r="V36" s="103">
        <v>1.0</v>
      </c>
      <c r="W36" s="103">
        <v>1.0</v>
      </c>
      <c r="X36" s="103">
        <v>1.0</v>
      </c>
      <c r="Y36" s="103">
        <v>1.0</v>
      </c>
      <c r="Z36" s="103">
        <v>1.0</v>
      </c>
      <c r="AA36" s="103">
        <v>1.0</v>
      </c>
      <c r="AB36" s="103">
        <v>1.0</v>
      </c>
      <c r="AC36" s="103">
        <v>1.0</v>
      </c>
      <c r="AD36" s="103">
        <v>1.0</v>
      </c>
      <c r="AE36" s="103">
        <v>1.0</v>
      </c>
      <c r="AF36" s="103">
        <v>1.0</v>
      </c>
      <c r="AG36" s="103">
        <v>1.0</v>
      </c>
      <c r="AH36" s="103">
        <v>1.0</v>
      </c>
      <c r="AI36" s="103">
        <v>1.0</v>
      </c>
      <c r="AJ36" s="103">
        <v>1.0</v>
      </c>
      <c r="AK36" s="103">
        <v>1.0</v>
      </c>
      <c r="AL36" s="103">
        <v>1.0</v>
      </c>
      <c r="AM36" s="103">
        <v>1.0</v>
      </c>
      <c r="AN36" s="103">
        <v>1.0</v>
      </c>
      <c r="AO36" s="103">
        <v>1.0</v>
      </c>
      <c r="AP36" s="103">
        <v>1.0</v>
      </c>
      <c r="AQ36" s="103">
        <v>1.0</v>
      </c>
      <c r="AR36" s="103">
        <v>1.0</v>
      </c>
      <c r="AS36" s="103">
        <v>1.0</v>
      </c>
      <c r="AT36" s="103">
        <v>1.0</v>
      </c>
      <c r="AU36" s="103">
        <v>1.0</v>
      </c>
      <c r="AV36" s="103">
        <v>1.0</v>
      </c>
      <c r="AW36" s="103">
        <v>1.0</v>
      </c>
      <c r="AX36" s="103">
        <v>1.0</v>
      </c>
      <c r="AY36" s="103">
        <v>1.0</v>
      </c>
      <c r="AZ36" s="103">
        <v>1.0</v>
      </c>
      <c r="BA36" s="103">
        <v>1.0</v>
      </c>
      <c r="BB36" s="103">
        <v>1.0</v>
      </c>
      <c r="BC36" s="103">
        <v>1.0</v>
      </c>
      <c r="BD36" s="103">
        <v>1.0</v>
      </c>
      <c r="BE36" s="103">
        <v>1.0</v>
      </c>
      <c r="BF36" s="103">
        <v>1.0</v>
      </c>
      <c r="BG36" s="103">
        <v>1.0</v>
      </c>
      <c r="BH36" s="103">
        <v>1.0</v>
      </c>
      <c r="BI36" s="103">
        <v>1.0</v>
      </c>
      <c r="BJ36" s="103">
        <v>1.0</v>
      </c>
      <c r="BK36" s="103">
        <v>1.0</v>
      </c>
      <c r="BL36" s="103">
        <v>1.0</v>
      </c>
      <c r="BM36" s="103">
        <v>1.0</v>
      </c>
      <c r="BN36" s="103">
        <v>1.0</v>
      </c>
      <c r="BO36" s="103">
        <v>1.0</v>
      </c>
      <c r="BP36" s="103">
        <v>1.0</v>
      </c>
      <c r="BQ36" s="103">
        <v>1.0</v>
      </c>
      <c r="BR36" s="103">
        <v>1.0</v>
      </c>
      <c r="BS36" s="103">
        <v>1.0</v>
      </c>
      <c r="BT36" s="103">
        <v>1.0</v>
      </c>
      <c r="BU36" s="103">
        <v>1.0</v>
      </c>
      <c r="BV36" s="103">
        <v>1.0</v>
      </c>
      <c r="BW36" s="103">
        <v>1.0</v>
      </c>
      <c r="BX36" s="103">
        <v>1.0</v>
      </c>
      <c r="BY36" s="103">
        <v>1.0</v>
      </c>
      <c r="BZ36" s="103">
        <v>1.0</v>
      </c>
      <c r="CA36" s="103">
        <v>1.0</v>
      </c>
      <c r="CB36" s="103">
        <v>1.0</v>
      </c>
      <c r="CC36" s="103">
        <v>1.0</v>
      </c>
      <c r="CD36" s="103">
        <v>1.0</v>
      </c>
      <c r="CE36" s="103">
        <v>1.0</v>
      </c>
      <c r="CF36" s="103">
        <v>1.0</v>
      </c>
      <c r="CG36" s="103">
        <v>1.0</v>
      </c>
      <c r="CH36" s="103">
        <v>1.0</v>
      </c>
      <c r="CI36" s="103">
        <v>0.5</v>
      </c>
      <c r="CJ36" s="103"/>
      <c r="CK36" s="103"/>
      <c r="CL36" s="103"/>
      <c r="CM36" s="103"/>
      <c r="CN36" s="103"/>
      <c r="CO36" s="103"/>
      <c r="CP36" s="69"/>
      <c r="CQ36" s="69"/>
      <c r="CR36" s="69"/>
      <c r="CS36" s="69"/>
      <c r="CT36" s="69"/>
      <c r="CU36" s="69"/>
      <c r="CV36" s="69"/>
      <c r="CW36" s="69"/>
      <c r="CX36" s="69"/>
      <c r="CY36" s="69"/>
      <c r="CZ36" s="69"/>
      <c r="DA36" s="69"/>
      <c r="DB36" s="69"/>
      <c r="DC36" s="69"/>
      <c r="DD36" s="69"/>
      <c r="DE36" s="3"/>
      <c r="DF36" s="3"/>
      <c r="DG36" s="3"/>
      <c r="DH36" s="3"/>
      <c r="DI36" s="3"/>
      <c r="DJ36" s="3"/>
      <c r="DK36" s="3"/>
      <c r="DL36" s="3"/>
      <c r="DM36" s="3"/>
      <c r="DN36" s="3"/>
      <c r="DO36" s="3"/>
      <c r="DP36" s="3"/>
      <c r="DQ36" s="3"/>
      <c r="DR36" s="3"/>
      <c r="DS36" s="3"/>
      <c r="DT36" s="3"/>
      <c r="DU36" s="3"/>
    </row>
    <row r="37" ht="15.0" customHeight="1">
      <c r="A37" s="108" t="s">
        <v>45</v>
      </c>
      <c r="B37" s="50"/>
      <c r="C37" s="51"/>
      <c r="D37" s="101"/>
      <c r="E37" s="109">
        <f t="shared" ref="E37:F37" si="2">SUM(E22:E36)</f>
        <v>112</v>
      </c>
      <c r="F37" s="109">
        <f t="shared" si="2"/>
        <v>119</v>
      </c>
      <c r="G37" s="110"/>
      <c r="H37" s="110"/>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69"/>
      <c r="CQ37" s="69"/>
      <c r="CR37" s="69"/>
      <c r="CS37" s="69"/>
      <c r="CT37" s="69"/>
      <c r="CU37" s="69"/>
      <c r="CV37" s="69"/>
      <c r="CW37" s="69"/>
      <c r="CX37" s="69"/>
      <c r="CY37" s="69"/>
      <c r="CZ37" s="69"/>
      <c r="DA37" s="69"/>
      <c r="DB37" s="69"/>
      <c r="DC37" s="69"/>
      <c r="DD37" s="69"/>
      <c r="DE37" s="3"/>
      <c r="DF37" s="3"/>
      <c r="DG37" s="3"/>
      <c r="DH37" s="3"/>
      <c r="DI37" s="3"/>
      <c r="DJ37" s="3"/>
      <c r="DK37" s="3"/>
      <c r="DL37" s="3"/>
      <c r="DM37" s="3"/>
      <c r="DN37" s="3"/>
      <c r="DO37" s="3"/>
      <c r="DP37" s="3"/>
      <c r="DQ37" s="3"/>
      <c r="DR37" s="3"/>
      <c r="DS37" s="3"/>
      <c r="DT37" s="3"/>
      <c r="DU37" s="3"/>
    </row>
    <row r="38" ht="19.5" customHeight="1">
      <c r="A38" s="113" t="s">
        <v>166</v>
      </c>
      <c r="B38" s="50"/>
      <c r="C38" s="50"/>
      <c r="D38" s="50"/>
      <c r="E38" s="50"/>
      <c r="F38" s="50"/>
      <c r="G38" s="50"/>
      <c r="H38" s="50"/>
      <c r="I38" s="124">
        <v>44022.0</v>
      </c>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24"/>
      <c r="CD38" s="124"/>
      <c r="CE38" s="124"/>
      <c r="CF38" s="124"/>
      <c r="CG38" s="124"/>
      <c r="CH38" s="124"/>
      <c r="CI38" s="124"/>
      <c r="CJ38" s="124"/>
      <c r="CK38" s="124"/>
      <c r="CL38" s="124"/>
      <c r="CM38" s="124"/>
      <c r="CN38" s="124"/>
      <c r="CO38" s="124"/>
      <c r="CP38" s="69"/>
      <c r="CQ38" s="69"/>
      <c r="CR38" s="69"/>
      <c r="CS38" s="69"/>
      <c r="CT38" s="69"/>
      <c r="CU38" s="69"/>
      <c r="CV38" s="69"/>
      <c r="CW38" s="69"/>
      <c r="CX38" s="69"/>
      <c r="CY38" s="69"/>
      <c r="CZ38" s="69"/>
      <c r="DA38" s="69"/>
      <c r="DB38" s="69"/>
      <c r="DC38" s="69"/>
      <c r="DD38" s="69"/>
      <c r="DE38" s="117"/>
      <c r="DF38" s="117"/>
      <c r="DG38" s="117"/>
      <c r="DH38" s="117"/>
      <c r="DI38" s="117"/>
      <c r="DJ38" s="117"/>
      <c r="DK38" s="117"/>
      <c r="DL38" s="117"/>
      <c r="DM38" s="117"/>
      <c r="DN38" s="117"/>
      <c r="DO38" s="117"/>
      <c r="DP38" s="117"/>
      <c r="DQ38" s="117"/>
      <c r="DR38" s="117"/>
      <c r="DS38" s="117"/>
      <c r="DT38" s="117"/>
      <c r="DU38" s="117"/>
    </row>
    <row r="39" ht="15.75" customHeight="1">
      <c r="A39" s="118" t="s">
        <v>199</v>
      </c>
      <c r="B39" s="67"/>
      <c r="C39" s="67"/>
      <c r="D39" s="67"/>
      <c r="E39" s="67"/>
      <c r="F39" s="67"/>
      <c r="G39" s="67"/>
      <c r="H39" s="68"/>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69"/>
      <c r="CD39" s="69"/>
      <c r="CE39" s="69"/>
      <c r="CF39" s="69"/>
      <c r="CG39" s="69"/>
      <c r="CH39" s="69"/>
      <c r="CI39" s="69"/>
      <c r="CJ39" s="69"/>
      <c r="CK39" s="69"/>
      <c r="CL39" s="69"/>
      <c r="CM39" s="69"/>
      <c r="CN39" s="69"/>
      <c r="CO39" s="69"/>
      <c r="CP39" s="69"/>
      <c r="CQ39" s="69"/>
      <c r="CR39" s="69"/>
      <c r="CS39" s="69"/>
      <c r="CT39" s="69"/>
      <c r="CU39" s="69"/>
      <c r="CV39" s="69"/>
      <c r="CW39" s="69"/>
      <c r="CX39" s="69"/>
      <c r="CY39" s="69"/>
      <c r="CZ39" s="69"/>
      <c r="DA39" s="69"/>
      <c r="DB39" s="69"/>
      <c r="DC39" s="69"/>
      <c r="DD39" s="69"/>
      <c r="DE39" s="3"/>
      <c r="DF39" s="3"/>
      <c r="DG39" s="3"/>
      <c r="DH39" s="3"/>
      <c r="DI39" s="3"/>
      <c r="DJ39" s="3"/>
      <c r="DK39" s="3"/>
      <c r="DL39" s="3"/>
      <c r="DM39" s="3"/>
      <c r="DN39" s="3"/>
      <c r="DO39" s="3"/>
      <c r="DP39" s="3"/>
      <c r="DQ39" s="3"/>
      <c r="DR39" s="3"/>
      <c r="DS39" s="3"/>
      <c r="DT39" s="3"/>
      <c r="DU39" s="3"/>
    </row>
    <row r="40" ht="15.75" customHeight="1">
      <c r="A40" s="95" t="s">
        <v>6</v>
      </c>
      <c r="B40" s="96" t="s">
        <v>7</v>
      </c>
      <c r="C40" s="97" t="s">
        <v>8</v>
      </c>
      <c r="D40" s="96" t="s">
        <v>9</v>
      </c>
      <c r="E40" s="96" t="s">
        <v>10</v>
      </c>
      <c r="F40" s="96" t="s">
        <v>11</v>
      </c>
      <c r="G40" s="96" t="s">
        <v>12</v>
      </c>
      <c r="H40" s="96" t="s">
        <v>13</v>
      </c>
      <c r="I40" s="98">
        <v>44123.0</v>
      </c>
      <c r="J40" s="98">
        <v>44120.0</v>
      </c>
      <c r="K40" s="98">
        <v>44119.0</v>
      </c>
      <c r="L40" s="98">
        <v>44118.0</v>
      </c>
      <c r="M40" s="98">
        <v>44117.0</v>
      </c>
      <c r="N40" s="98">
        <v>44116.0</v>
      </c>
      <c r="O40" s="98">
        <v>44114.0</v>
      </c>
      <c r="P40" s="98">
        <v>44113.0</v>
      </c>
      <c r="Q40" s="98">
        <v>44112.0</v>
      </c>
      <c r="R40" s="98">
        <v>44111.0</v>
      </c>
      <c r="S40" s="98">
        <v>44110.0</v>
      </c>
      <c r="T40" s="98">
        <v>44109.0</v>
      </c>
      <c r="U40" s="98">
        <v>44105.0</v>
      </c>
      <c r="V40" s="98">
        <v>44104.0</v>
      </c>
      <c r="W40" s="98">
        <v>44103.0</v>
      </c>
      <c r="X40" s="98">
        <v>44102.0</v>
      </c>
      <c r="Y40" s="98">
        <v>44100.0</v>
      </c>
      <c r="Z40" s="98">
        <v>44099.0</v>
      </c>
      <c r="AA40" s="98">
        <v>44098.0</v>
      </c>
      <c r="AB40" s="98">
        <v>44097.0</v>
      </c>
      <c r="AC40" s="98">
        <v>44096.0</v>
      </c>
      <c r="AD40" s="98">
        <v>44095.0</v>
      </c>
      <c r="AE40" s="98">
        <v>44092.0</v>
      </c>
      <c r="AF40" s="98">
        <v>44091.0</v>
      </c>
      <c r="AG40" s="98">
        <v>44090.0</v>
      </c>
      <c r="AH40" s="98">
        <v>44089.0</v>
      </c>
      <c r="AI40" s="98">
        <v>44088.0</v>
      </c>
      <c r="AJ40" s="98">
        <v>44086.0</v>
      </c>
      <c r="AK40" s="98">
        <v>44085.0</v>
      </c>
      <c r="AL40" s="98">
        <v>44084.0</v>
      </c>
      <c r="AM40" s="98">
        <v>44083.0</v>
      </c>
      <c r="AN40" s="98">
        <v>44082.0</v>
      </c>
      <c r="AO40" s="98">
        <v>44081.0</v>
      </c>
      <c r="AP40" s="98">
        <v>44079.0</v>
      </c>
      <c r="AQ40" s="98">
        <v>44078.0</v>
      </c>
      <c r="AR40" s="98">
        <v>44077.0</v>
      </c>
      <c r="AS40" s="98">
        <v>44076.0</v>
      </c>
      <c r="AT40" s="98">
        <v>44071.0</v>
      </c>
      <c r="AU40" s="98">
        <v>44070.0</v>
      </c>
      <c r="AV40" s="98">
        <v>44069.0</v>
      </c>
      <c r="AW40" s="98">
        <v>44068.0</v>
      </c>
      <c r="AX40" s="98">
        <v>44067.0</v>
      </c>
      <c r="AY40" s="98">
        <v>44065.0</v>
      </c>
      <c r="AZ40" s="98">
        <v>44064.0</v>
      </c>
      <c r="BA40" s="98">
        <v>44063.0</v>
      </c>
      <c r="BB40" s="98">
        <v>44062.0</v>
      </c>
      <c r="BC40" s="98">
        <v>44061.0</v>
      </c>
      <c r="BD40" s="98">
        <v>44060.0</v>
      </c>
      <c r="BE40" s="98">
        <v>44057.0</v>
      </c>
      <c r="BF40" s="98">
        <v>44056.0</v>
      </c>
      <c r="BG40" s="98">
        <v>44055.0</v>
      </c>
      <c r="BH40" s="98">
        <v>44054.0</v>
      </c>
      <c r="BI40" s="98">
        <v>44053.0</v>
      </c>
      <c r="BJ40" s="98">
        <v>44051.0</v>
      </c>
      <c r="BK40" s="98">
        <v>44050.0</v>
      </c>
      <c r="BL40" s="98">
        <v>44049.0</v>
      </c>
      <c r="BM40" s="98">
        <v>44048.0</v>
      </c>
      <c r="BN40" s="98">
        <v>44047.0</v>
      </c>
      <c r="BO40" s="98">
        <v>44045.0</v>
      </c>
      <c r="BP40" s="98">
        <v>44046.0</v>
      </c>
      <c r="BQ40" s="98">
        <v>44043.0</v>
      </c>
      <c r="BR40" s="98">
        <v>44042.0</v>
      </c>
      <c r="BS40" s="98">
        <v>44041.0</v>
      </c>
      <c r="BT40" s="98">
        <v>44040.0</v>
      </c>
      <c r="BU40" s="98">
        <v>44039.0</v>
      </c>
      <c r="BV40" s="98">
        <v>44037.0</v>
      </c>
      <c r="BW40" s="98">
        <v>44036.0</v>
      </c>
      <c r="BX40" s="98">
        <v>44035.0</v>
      </c>
      <c r="BY40" s="98">
        <v>44034.0</v>
      </c>
      <c r="BZ40" s="98">
        <v>44033.0</v>
      </c>
      <c r="CA40" s="98">
        <v>44032.0</v>
      </c>
      <c r="CB40" s="98">
        <v>44029.0</v>
      </c>
      <c r="CC40" s="69"/>
      <c r="CD40" s="69"/>
      <c r="CE40" s="69"/>
      <c r="CF40" s="69"/>
      <c r="CG40" s="69"/>
      <c r="CH40" s="69"/>
      <c r="CI40" s="69"/>
      <c r="CJ40" s="69"/>
      <c r="CK40" s="69"/>
      <c r="CL40" s="69"/>
      <c r="CM40" s="69"/>
      <c r="CN40" s="69"/>
      <c r="CO40" s="69"/>
      <c r="CP40" s="69"/>
      <c r="CQ40" s="69"/>
      <c r="CR40" s="69"/>
      <c r="CS40" s="69"/>
      <c r="CT40" s="69"/>
      <c r="CU40" s="69"/>
      <c r="CV40" s="69"/>
      <c r="CW40" s="69"/>
      <c r="CX40" s="69"/>
      <c r="CY40" s="69"/>
      <c r="CZ40" s="69"/>
      <c r="DA40" s="69"/>
      <c r="DB40" s="69"/>
      <c r="DC40" s="3"/>
      <c r="DD40" s="3"/>
      <c r="DE40" s="3"/>
      <c r="DF40" s="3"/>
      <c r="DG40" s="3"/>
      <c r="DH40" s="3"/>
      <c r="DI40" s="3"/>
      <c r="DJ40" s="3"/>
      <c r="DK40" s="3"/>
      <c r="DL40" s="3"/>
      <c r="DM40" s="3"/>
      <c r="DN40" s="3"/>
      <c r="DO40" s="3"/>
      <c r="DP40" s="3"/>
      <c r="DQ40" s="3"/>
      <c r="DR40" s="3"/>
      <c r="DS40" s="3"/>
      <c r="DT40" s="3"/>
      <c r="DU40" s="3"/>
    </row>
    <row r="41" ht="15.75" customHeight="1">
      <c r="A41" s="99">
        <v>1.0</v>
      </c>
      <c r="B41" s="100" t="s">
        <v>200</v>
      </c>
      <c r="C41" s="101" t="s">
        <v>86</v>
      </c>
      <c r="D41" s="126" t="s">
        <v>42</v>
      </c>
      <c r="E41" s="102">
        <v>16.0</v>
      </c>
      <c r="F41" s="102">
        <v>16.0</v>
      </c>
      <c r="G41" s="6">
        <v>44029.0</v>
      </c>
      <c r="H41" s="6">
        <v>44030.0</v>
      </c>
      <c r="I41" s="103">
        <v>1.0</v>
      </c>
      <c r="J41" s="103">
        <v>1.0</v>
      </c>
      <c r="K41" s="103">
        <v>1.0</v>
      </c>
      <c r="L41" s="103">
        <v>1.0</v>
      </c>
      <c r="M41" s="103">
        <v>1.0</v>
      </c>
      <c r="N41" s="103">
        <v>1.0</v>
      </c>
      <c r="O41" s="103">
        <v>1.0</v>
      </c>
      <c r="P41" s="103">
        <v>1.0</v>
      </c>
      <c r="Q41" s="103">
        <v>1.0</v>
      </c>
      <c r="R41" s="103">
        <v>1.0</v>
      </c>
      <c r="S41" s="103">
        <v>1.0</v>
      </c>
      <c r="T41" s="103">
        <v>1.0</v>
      </c>
      <c r="U41" s="103">
        <v>1.0</v>
      </c>
      <c r="V41" s="103">
        <v>1.0</v>
      </c>
      <c r="W41" s="103">
        <v>1.0</v>
      </c>
      <c r="X41" s="103">
        <v>1.0</v>
      </c>
      <c r="Y41" s="103">
        <v>1.0</v>
      </c>
      <c r="Z41" s="103">
        <v>1.0</v>
      </c>
      <c r="AA41" s="103">
        <v>1.0</v>
      </c>
      <c r="AB41" s="103">
        <v>1.0</v>
      </c>
      <c r="AC41" s="103">
        <v>1.0</v>
      </c>
      <c r="AD41" s="103">
        <v>1.0</v>
      </c>
      <c r="AE41" s="103">
        <v>1.0</v>
      </c>
      <c r="AF41" s="103">
        <v>1.0</v>
      </c>
      <c r="AG41" s="103">
        <v>1.0</v>
      </c>
      <c r="AH41" s="103">
        <v>1.0</v>
      </c>
      <c r="AI41" s="103">
        <v>1.0</v>
      </c>
      <c r="AJ41" s="103">
        <v>1.0</v>
      </c>
      <c r="AK41" s="103">
        <v>1.0</v>
      </c>
      <c r="AL41" s="103">
        <v>1.0</v>
      </c>
      <c r="AM41" s="103">
        <v>1.0</v>
      </c>
      <c r="AN41" s="103">
        <v>1.0</v>
      </c>
      <c r="AO41" s="103">
        <v>1.0</v>
      </c>
      <c r="AP41" s="103">
        <v>1.0</v>
      </c>
      <c r="AQ41" s="103">
        <v>1.0</v>
      </c>
      <c r="AR41" s="103">
        <v>1.0</v>
      </c>
      <c r="AS41" s="103">
        <v>1.0</v>
      </c>
      <c r="AT41" s="103">
        <v>1.0</v>
      </c>
      <c r="AU41" s="103">
        <v>1.0</v>
      </c>
      <c r="AV41" s="103">
        <v>1.0</v>
      </c>
      <c r="AW41" s="103">
        <v>1.0</v>
      </c>
      <c r="AX41" s="103">
        <v>1.0</v>
      </c>
      <c r="AY41" s="103">
        <v>1.0</v>
      </c>
      <c r="AZ41" s="103">
        <v>1.0</v>
      </c>
      <c r="BA41" s="103">
        <v>1.0</v>
      </c>
      <c r="BB41" s="103">
        <v>1.0</v>
      </c>
      <c r="BC41" s="103">
        <v>1.0</v>
      </c>
      <c r="BD41" s="103">
        <v>1.0</v>
      </c>
      <c r="BE41" s="103">
        <v>1.0</v>
      </c>
      <c r="BF41" s="103">
        <v>1.0</v>
      </c>
      <c r="BG41" s="103">
        <v>1.0</v>
      </c>
      <c r="BH41" s="103">
        <v>1.0</v>
      </c>
      <c r="BI41" s="103">
        <v>1.0</v>
      </c>
      <c r="BJ41" s="103">
        <v>1.0</v>
      </c>
      <c r="BK41" s="103">
        <v>1.0</v>
      </c>
      <c r="BL41" s="103">
        <v>1.0</v>
      </c>
      <c r="BM41" s="103">
        <v>1.0</v>
      </c>
      <c r="BN41" s="103">
        <v>1.0</v>
      </c>
      <c r="BO41" s="103">
        <v>1.0</v>
      </c>
      <c r="BP41" s="103">
        <v>1.0</v>
      </c>
      <c r="BQ41" s="103">
        <v>1.0</v>
      </c>
      <c r="BR41" s="103">
        <v>1.0</v>
      </c>
      <c r="BS41" s="103">
        <v>1.0</v>
      </c>
      <c r="BT41" s="103">
        <v>1.0</v>
      </c>
      <c r="BU41" s="103">
        <v>1.0</v>
      </c>
      <c r="BV41" s="103">
        <v>1.0</v>
      </c>
      <c r="BW41" s="103">
        <v>1.0</v>
      </c>
      <c r="BX41" s="103">
        <v>1.0</v>
      </c>
      <c r="BY41" s="103">
        <v>1.0</v>
      </c>
      <c r="BZ41" s="103">
        <v>1.0</v>
      </c>
      <c r="CA41" s="103">
        <v>1.0</v>
      </c>
      <c r="CB41" s="103">
        <v>0.5</v>
      </c>
      <c r="CC41" s="69"/>
      <c r="CD41" s="69"/>
      <c r="CE41" s="69"/>
      <c r="CF41" s="69"/>
      <c r="CG41" s="69"/>
      <c r="CH41" s="69"/>
      <c r="CI41" s="69"/>
      <c r="CJ41" s="69"/>
      <c r="CK41" s="69"/>
      <c r="CL41" s="69"/>
      <c r="CM41" s="69"/>
      <c r="CN41" s="69"/>
      <c r="CO41" s="69"/>
      <c r="CP41" s="69"/>
      <c r="CQ41" s="69"/>
      <c r="CR41" s="69"/>
      <c r="CS41" s="69"/>
      <c r="CT41" s="69"/>
      <c r="CU41" s="69"/>
      <c r="CV41" s="69"/>
      <c r="CW41" s="69"/>
      <c r="CX41" s="69"/>
      <c r="CY41" s="69"/>
      <c r="CZ41" s="69"/>
      <c r="DA41" s="69"/>
      <c r="DB41" s="69"/>
      <c r="DC41" s="3"/>
      <c r="DD41" s="3"/>
      <c r="DE41" s="3"/>
      <c r="DF41" s="3"/>
      <c r="DG41" s="3"/>
      <c r="DH41" s="3"/>
      <c r="DI41" s="3"/>
      <c r="DJ41" s="3"/>
      <c r="DK41" s="3"/>
      <c r="DL41" s="3"/>
      <c r="DM41" s="3"/>
      <c r="DN41" s="3"/>
      <c r="DO41" s="3"/>
      <c r="DP41" s="3"/>
      <c r="DQ41" s="3"/>
      <c r="DR41" s="3"/>
      <c r="DS41" s="3"/>
      <c r="DT41" s="3"/>
      <c r="DU41" s="3"/>
    </row>
    <row r="42" ht="15.75" customHeight="1">
      <c r="A42" s="99">
        <v>2.0</v>
      </c>
      <c r="B42" s="100" t="s">
        <v>201</v>
      </c>
      <c r="C42" s="101" t="s">
        <v>86</v>
      </c>
      <c r="D42" s="126" t="s">
        <v>55</v>
      </c>
      <c r="E42" s="102">
        <v>16.0</v>
      </c>
      <c r="F42" s="102">
        <v>16.0</v>
      </c>
      <c r="G42" s="6">
        <v>44029.0</v>
      </c>
      <c r="H42" s="6">
        <v>44030.0</v>
      </c>
      <c r="I42" s="103">
        <v>1.0</v>
      </c>
      <c r="J42" s="103">
        <v>1.0</v>
      </c>
      <c r="K42" s="103">
        <v>1.0</v>
      </c>
      <c r="L42" s="103">
        <v>1.0</v>
      </c>
      <c r="M42" s="103">
        <v>1.0</v>
      </c>
      <c r="N42" s="103">
        <v>1.0</v>
      </c>
      <c r="O42" s="103">
        <v>1.0</v>
      </c>
      <c r="P42" s="103">
        <v>1.0</v>
      </c>
      <c r="Q42" s="103">
        <v>1.0</v>
      </c>
      <c r="R42" s="103">
        <v>1.0</v>
      </c>
      <c r="S42" s="103">
        <v>1.0</v>
      </c>
      <c r="T42" s="103">
        <v>1.0</v>
      </c>
      <c r="U42" s="103">
        <v>1.0</v>
      </c>
      <c r="V42" s="103">
        <v>1.0</v>
      </c>
      <c r="W42" s="103">
        <v>1.0</v>
      </c>
      <c r="X42" s="103">
        <v>1.0</v>
      </c>
      <c r="Y42" s="103">
        <v>1.0</v>
      </c>
      <c r="Z42" s="103">
        <v>1.0</v>
      </c>
      <c r="AA42" s="103">
        <v>1.0</v>
      </c>
      <c r="AB42" s="103">
        <v>1.0</v>
      </c>
      <c r="AC42" s="103">
        <v>1.0</v>
      </c>
      <c r="AD42" s="103">
        <v>1.0</v>
      </c>
      <c r="AE42" s="103">
        <v>1.0</v>
      </c>
      <c r="AF42" s="103">
        <v>1.0</v>
      </c>
      <c r="AG42" s="103">
        <v>1.0</v>
      </c>
      <c r="AH42" s="103">
        <v>1.0</v>
      </c>
      <c r="AI42" s="103">
        <v>1.0</v>
      </c>
      <c r="AJ42" s="103">
        <v>1.0</v>
      </c>
      <c r="AK42" s="103">
        <v>1.0</v>
      </c>
      <c r="AL42" s="103">
        <v>1.0</v>
      </c>
      <c r="AM42" s="103">
        <v>1.0</v>
      </c>
      <c r="AN42" s="103">
        <v>1.0</v>
      </c>
      <c r="AO42" s="103">
        <v>1.0</v>
      </c>
      <c r="AP42" s="103">
        <v>1.0</v>
      </c>
      <c r="AQ42" s="103">
        <v>1.0</v>
      </c>
      <c r="AR42" s="103">
        <v>1.0</v>
      </c>
      <c r="AS42" s="103">
        <v>1.0</v>
      </c>
      <c r="AT42" s="103">
        <v>1.0</v>
      </c>
      <c r="AU42" s="103">
        <v>1.0</v>
      </c>
      <c r="AV42" s="103">
        <v>1.0</v>
      </c>
      <c r="AW42" s="103">
        <v>1.0</v>
      </c>
      <c r="AX42" s="103">
        <v>1.0</v>
      </c>
      <c r="AY42" s="103">
        <v>1.0</v>
      </c>
      <c r="AZ42" s="103">
        <v>1.0</v>
      </c>
      <c r="BA42" s="103">
        <v>1.0</v>
      </c>
      <c r="BB42" s="103">
        <v>1.0</v>
      </c>
      <c r="BC42" s="103">
        <v>1.0</v>
      </c>
      <c r="BD42" s="103">
        <v>1.0</v>
      </c>
      <c r="BE42" s="103">
        <v>1.0</v>
      </c>
      <c r="BF42" s="103">
        <v>1.0</v>
      </c>
      <c r="BG42" s="103">
        <v>1.0</v>
      </c>
      <c r="BH42" s="103">
        <v>1.0</v>
      </c>
      <c r="BI42" s="103">
        <v>1.0</v>
      </c>
      <c r="BJ42" s="103">
        <v>1.0</v>
      </c>
      <c r="BK42" s="103">
        <v>1.0</v>
      </c>
      <c r="BL42" s="103">
        <v>1.0</v>
      </c>
      <c r="BM42" s="103">
        <v>1.0</v>
      </c>
      <c r="BN42" s="103">
        <v>1.0</v>
      </c>
      <c r="BO42" s="103">
        <v>1.0</v>
      </c>
      <c r="BP42" s="103">
        <v>1.0</v>
      </c>
      <c r="BQ42" s="103">
        <v>1.0</v>
      </c>
      <c r="BR42" s="103">
        <v>1.0</v>
      </c>
      <c r="BS42" s="103">
        <v>1.0</v>
      </c>
      <c r="BT42" s="103">
        <v>1.0</v>
      </c>
      <c r="BU42" s="103">
        <v>1.0</v>
      </c>
      <c r="BV42" s="103">
        <v>1.0</v>
      </c>
      <c r="BW42" s="103">
        <v>1.0</v>
      </c>
      <c r="BX42" s="103">
        <v>1.0</v>
      </c>
      <c r="BY42" s="103">
        <v>1.0</v>
      </c>
      <c r="BZ42" s="103">
        <v>1.0</v>
      </c>
      <c r="CA42" s="103">
        <v>1.0</v>
      </c>
      <c r="CB42" s="103">
        <v>0.5</v>
      </c>
      <c r="CC42" s="69"/>
      <c r="CD42" s="69"/>
      <c r="CE42" s="69"/>
      <c r="CF42" s="69"/>
      <c r="CG42" s="69"/>
      <c r="CH42" s="69"/>
      <c r="CI42" s="69"/>
      <c r="CJ42" s="69"/>
      <c r="CK42" s="69"/>
      <c r="CL42" s="69"/>
      <c r="CM42" s="69"/>
      <c r="CN42" s="69"/>
      <c r="CO42" s="69"/>
      <c r="CP42" s="69"/>
      <c r="CQ42" s="69"/>
      <c r="CR42" s="69"/>
      <c r="CS42" s="69"/>
      <c r="CT42" s="69"/>
      <c r="CU42" s="69"/>
      <c r="CV42" s="69"/>
      <c r="CW42" s="69"/>
      <c r="CX42" s="69"/>
      <c r="CY42" s="69"/>
      <c r="CZ42" s="69"/>
      <c r="DA42" s="69"/>
      <c r="DB42" s="69"/>
      <c r="DC42" s="3"/>
      <c r="DD42" s="3"/>
      <c r="DE42" s="3"/>
      <c r="DF42" s="3"/>
      <c r="DG42" s="3"/>
      <c r="DH42" s="3"/>
      <c r="DI42" s="3"/>
      <c r="DJ42" s="3"/>
      <c r="DK42" s="3"/>
      <c r="DL42" s="3"/>
      <c r="DM42" s="3"/>
      <c r="DN42" s="3"/>
      <c r="DO42" s="3"/>
      <c r="DP42" s="3"/>
      <c r="DQ42" s="3"/>
      <c r="DR42" s="3"/>
      <c r="DS42" s="3"/>
      <c r="DT42" s="3"/>
      <c r="DU42" s="3"/>
    </row>
    <row r="43" ht="15.75" customHeight="1">
      <c r="A43" s="99">
        <v>3.0</v>
      </c>
      <c r="B43" s="100" t="s">
        <v>202</v>
      </c>
      <c r="C43" s="101" t="s">
        <v>86</v>
      </c>
      <c r="D43" s="126" t="s">
        <v>51</v>
      </c>
      <c r="E43" s="102">
        <v>8.0</v>
      </c>
      <c r="F43" s="102">
        <v>8.0</v>
      </c>
      <c r="G43" s="6">
        <v>44029.0</v>
      </c>
      <c r="H43" s="6">
        <v>44029.0</v>
      </c>
      <c r="I43" s="103">
        <v>1.0</v>
      </c>
      <c r="J43" s="103">
        <v>1.0</v>
      </c>
      <c r="K43" s="103">
        <v>1.0</v>
      </c>
      <c r="L43" s="103">
        <v>1.0</v>
      </c>
      <c r="M43" s="103">
        <v>1.0</v>
      </c>
      <c r="N43" s="103">
        <v>1.0</v>
      </c>
      <c r="O43" s="103">
        <v>1.0</v>
      </c>
      <c r="P43" s="103">
        <v>1.0</v>
      </c>
      <c r="Q43" s="103">
        <v>1.0</v>
      </c>
      <c r="R43" s="103">
        <v>1.0</v>
      </c>
      <c r="S43" s="103">
        <v>1.0</v>
      </c>
      <c r="T43" s="103">
        <v>1.0</v>
      </c>
      <c r="U43" s="103">
        <v>1.0</v>
      </c>
      <c r="V43" s="103">
        <v>1.0</v>
      </c>
      <c r="W43" s="103">
        <v>1.0</v>
      </c>
      <c r="X43" s="103">
        <v>1.0</v>
      </c>
      <c r="Y43" s="103">
        <v>1.0</v>
      </c>
      <c r="Z43" s="103">
        <v>1.0</v>
      </c>
      <c r="AA43" s="103">
        <v>1.0</v>
      </c>
      <c r="AB43" s="103">
        <v>1.0</v>
      </c>
      <c r="AC43" s="103">
        <v>1.0</v>
      </c>
      <c r="AD43" s="103">
        <v>1.0</v>
      </c>
      <c r="AE43" s="103">
        <v>1.0</v>
      </c>
      <c r="AF43" s="103">
        <v>1.0</v>
      </c>
      <c r="AG43" s="103">
        <v>1.0</v>
      </c>
      <c r="AH43" s="103">
        <v>1.0</v>
      </c>
      <c r="AI43" s="103">
        <v>1.0</v>
      </c>
      <c r="AJ43" s="103">
        <v>1.0</v>
      </c>
      <c r="AK43" s="103">
        <v>1.0</v>
      </c>
      <c r="AL43" s="103">
        <v>1.0</v>
      </c>
      <c r="AM43" s="103">
        <v>1.0</v>
      </c>
      <c r="AN43" s="103">
        <v>1.0</v>
      </c>
      <c r="AO43" s="103">
        <v>1.0</v>
      </c>
      <c r="AP43" s="103">
        <v>1.0</v>
      </c>
      <c r="AQ43" s="103">
        <v>1.0</v>
      </c>
      <c r="AR43" s="103">
        <v>1.0</v>
      </c>
      <c r="AS43" s="103">
        <v>1.0</v>
      </c>
      <c r="AT43" s="103">
        <v>1.0</v>
      </c>
      <c r="AU43" s="103">
        <v>1.0</v>
      </c>
      <c r="AV43" s="103">
        <v>1.0</v>
      </c>
      <c r="AW43" s="103">
        <v>1.0</v>
      </c>
      <c r="AX43" s="103">
        <v>1.0</v>
      </c>
      <c r="AY43" s="103">
        <v>1.0</v>
      </c>
      <c r="AZ43" s="103">
        <v>1.0</v>
      </c>
      <c r="BA43" s="103">
        <v>1.0</v>
      </c>
      <c r="BB43" s="103">
        <v>1.0</v>
      </c>
      <c r="BC43" s="103">
        <v>1.0</v>
      </c>
      <c r="BD43" s="103">
        <v>1.0</v>
      </c>
      <c r="BE43" s="103">
        <v>1.0</v>
      </c>
      <c r="BF43" s="103">
        <v>1.0</v>
      </c>
      <c r="BG43" s="103">
        <v>1.0</v>
      </c>
      <c r="BH43" s="103">
        <v>1.0</v>
      </c>
      <c r="BI43" s="103">
        <v>1.0</v>
      </c>
      <c r="BJ43" s="103">
        <v>1.0</v>
      </c>
      <c r="BK43" s="103">
        <v>1.0</v>
      </c>
      <c r="BL43" s="103">
        <v>1.0</v>
      </c>
      <c r="BM43" s="103">
        <v>1.0</v>
      </c>
      <c r="BN43" s="103">
        <v>1.0</v>
      </c>
      <c r="BO43" s="103">
        <v>1.0</v>
      </c>
      <c r="BP43" s="103">
        <v>1.0</v>
      </c>
      <c r="BQ43" s="103">
        <v>1.0</v>
      </c>
      <c r="BR43" s="103">
        <v>1.0</v>
      </c>
      <c r="BS43" s="103">
        <v>1.0</v>
      </c>
      <c r="BT43" s="103">
        <v>1.0</v>
      </c>
      <c r="BU43" s="103">
        <v>1.0</v>
      </c>
      <c r="BV43" s="103">
        <v>1.0</v>
      </c>
      <c r="BW43" s="103">
        <v>1.0</v>
      </c>
      <c r="BX43" s="103">
        <v>1.0</v>
      </c>
      <c r="BY43" s="103">
        <v>1.0</v>
      </c>
      <c r="BZ43" s="103">
        <v>1.0</v>
      </c>
      <c r="CA43" s="103">
        <v>1.0</v>
      </c>
      <c r="CB43" s="103">
        <v>1.0</v>
      </c>
      <c r="CC43" s="69"/>
      <c r="CD43" s="69"/>
      <c r="CE43" s="69"/>
      <c r="CF43" s="69"/>
      <c r="CG43" s="69"/>
      <c r="CH43" s="69"/>
      <c r="CI43" s="69"/>
      <c r="CJ43" s="69"/>
      <c r="CK43" s="69"/>
      <c r="CL43" s="69"/>
      <c r="CM43" s="69"/>
      <c r="CN43" s="69"/>
      <c r="CO43" s="69"/>
      <c r="CP43" s="69"/>
      <c r="CQ43" s="69"/>
      <c r="CR43" s="69"/>
      <c r="CS43" s="69"/>
      <c r="CT43" s="69"/>
      <c r="CU43" s="69"/>
      <c r="CV43" s="69"/>
      <c r="CW43" s="69"/>
      <c r="CX43" s="69"/>
      <c r="CY43" s="69"/>
      <c r="CZ43" s="69"/>
      <c r="DA43" s="69"/>
      <c r="DB43" s="69"/>
      <c r="DC43" s="3"/>
      <c r="DD43" s="3"/>
      <c r="DE43" s="3"/>
      <c r="DF43" s="3"/>
      <c r="DG43" s="3"/>
      <c r="DH43" s="3"/>
      <c r="DI43" s="3"/>
      <c r="DJ43" s="3"/>
      <c r="DK43" s="3"/>
      <c r="DL43" s="3"/>
      <c r="DM43" s="3"/>
      <c r="DN43" s="3"/>
      <c r="DO43" s="3"/>
      <c r="DP43" s="3"/>
      <c r="DQ43" s="3"/>
      <c r="DR43" s="3"/>
      <c r="DS43" s="3"/>
      <c r="DT43" s="3"/>
      <c r="DU43" s="3"/>
    </row>
    <row r="44" ht="15.0" customHeight="1">
      <c r="A44" s="108" t="s">
        <v>45</v>
      </c>
      <c r="B44" s="50"/>
      <c r="C44" s="51"/>
      <c r="D44" s="101"/>
      <c r="E44" s="109">
        <f t="shared" ref="E44:F44" si="3">SUM(E41:E43)</f>
        <v>40</v>
      </c>
      <c r="F44" s="109">
        <f t="shared" si="3"/>
        <v>40</v>
      </c>
      <c r="G44" s="110"/>
      <c r="H44" s="110"/>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69"/>
      <c r="CD44" s="69"/>
      <c r="CE44" s="69"/>
      <c r="CF44" s="69"/>
      <c r="CG44" s="69"/>
      <c r="CH44" s="69"/>
      <c r="CI44" s="69"/>
      <c r="CJ44" s="69"/>
      <c r="CK44" s="69"/>
      <c r="CL44" s="69"/>
      <c r="CM44" s="69"/>
      <c r="CN44" s="69"/>
      <c r="CO44" s="69"/>
      <c r="CP44" s="69"/>
      <c r="CQ44" s="69"/>
      <c r="CR44" s="69"/>
      <c r="CS44" s="69"/>
      <c r="CT44" s="69"/>
      <c r="CU44" s="69"/>
      <c r="CV44" s="69"/>
      <c r="CW44" s="69"/>
      <c r="CX44" s="69"/>
      <c r="CY44" s="69"/>
      <c r="CZ44" s="69"/>
      <c r="DA44" s="69"/>
      <c r="DB44" s="69"/>
      <c r="DC44" s="3"/>
      <c r="DD44" s="3"/>
      <c r="DE44" s="3"/>
      <c r="DF44" s="3"/>
      <c r="DG44" s="3"/>
      <c r="DH44" s="3"/>
      <c r="DI44" s="3"/>
      <c r="DJ44" s="3"/>
      <c r="DK44" s="3"/>
      <c r="DL44" s="3"/>
      <c r="DM44" s="3"/>
      <c r="DN44" s="3"/>
      <c r="DO44" s="3"/>
      <c r="DP44" s="3"/>
      <c r="DQ44" s="3"/>
      <c r="DR44" s="3"/>
      <c r="DS44" s="3"/>
      <c r="DT44" s="3"/>
      <c r="DU44" s="3"/>
    </row>
    <row r="45" ht="19.5" customHeight="1">
      <c r="A45" s="113" t="s">
        <v>166</v>
      </c>
      <c r="B45" s="50"/>
      <c r="C45" s="50"/>
      <c r="D45" s="50"/>
      <c r="E45" s="50"/>
      <c r="F45" s="50"/>
      <c r="G45" s="50"/>
      <c r="H45" s="50"/>
      <c r="I45" s="124">
        <v>44030.0</v>
      </c>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c r="BY45" s="124"/>
      <c r="BZ45" s="124"/>
      <c r="CA45" s="124"/>
      <c r="CB45" s="124"/>
      <c r="CC45" s="69"/>
      <c r="CD45" s="69"/>
      <c r="CE45" s="69"/>
      <c r="CF45" s="69"/>
      <c r="CG45" s="69"/>
      <c r="CH45" s="69"/>
      <c r="CI45" s="69"/>
      <c r="CJ45" s="69"/>
      <c r="CK45" s="69"/>
      <c r="CL45" s="69"/>
      <c r="CM45" s="69"/>
      <c r="CN45" s="69"/>
      <c r="CO45" s="69"/>
      <c r="CP45" s="69"/>
      <c r="CQ45" s="69"/>
      <c r="CR45" s="69"/>
      <c r="CS45" s="69"/>
      <c r="CT45" s="69"/>
      <c r="CU45" s="69"/>
      <c r="CV45" s="69"/>
      <c r="CW45" s="69"/>
      <c r="CX45" s="69"/>
      <c r="CY45" s="69"/>
      <c r="CZ45" s="69"/>
      <c r="DA45" s="69"/>
      <c r="DB45" s="69"/>
      <c r="DC45" s="117"/>
      <c r="DD45" s="117"/>
      <c r="DE45" s="117"/>
      <c r="DF45" s="117"/>
      <c r="DG45" s="117"/>
      <c r="DH45" s="117"/>
      <c r="DI45" s="117"/>
      <c r="DJ45" s="117"/>
      <c r="DK45" s="117"/>
      <c r="DL45" s="117"/>
      <c r="DM45" s="117"/>
      <c r="DN45" s="117"/>
      <c r="DO45" s="117"/>
      <c r="DP45" s="117"/>
      <c r="DQ45" s="117"/>
      <c r="DR45" s="117"/>
      <c r="DS45" s="117"/>
      <c r="DT45" s="117"/>
      <c r="DU45" s="117"/>
    </row>
    <row r="46" ht="15.75" customHeight="1">
      <c r="A46" s="69"/>
      <c r="B46" s="69"/>
      <c r="C46" s="69"/>
      <c r="D46" s="4"/>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c r="CC46" s="69"/>
      <c r="CD46" s="69"/>
      <c r="CE46" s="69"/>
      <c r="CF46" s="69"/>
      <c r="CG46" s="69"/>
      <c r="CH46" s="69"/>
      <c r="CI46" s="69"/>
      <c r="CJ46" s="69"/>
      <c r="CK46" s="69"/>
      <c r="CL46" s="69"/>
      <c r="CM46" s="69"/>
      <c r="CN46" s="69"/>
      <c r="CO46" s="69"/>
      <c r="CP46" s="69"/>
      <c r="CQ46" s="69"/>
      <c r="CR46" s="69"/>
      <c r="CS46" s="69"/>
      <c r="CT46" s="69"/>
      <c r="CU46" s="69"/>
      <c r="CV46" s="69"/>
      <c r="CW46" s="69"/>
      <c r="CX46" s="69"/>
      <c r="CY46" s="69"/>
      <c r="CZ46" s="69"/>
      <c r="DA46" s="69"/>
      <c r="DB46" s="69"/>
      <c r="DC46" s="69"/>
      <c r="DD46" s="69"/>
      <c r="DE46" s="69"/>
      <c r="DF46" s="69"/>
      <c r="DG46" s="69"/>
      <c r="DH46" s="69"/>
      <c r="DI46" s="69"/>
      <c r="DJ46" s="69"/>
      <c r="DK46" s="69"/>
      <c r="DL46" s="69"/>
      <c r="DM46" s="69"/>
      <c r="DN46" s="69"/>
      <c r="DO46" s="69"/>
      <c r="DP46" s="69"/>
      <c r="DQ46" s="69"/>
      <c r="DR46" s="69"/>
      <c r="DS46" s="69"/>
      <c r="DT46" s="69"/>
      <c r="DU46" s="69"/>
    </row>
    <row r="47" ht="15.75" customHeight="1">
      <c r="A47" s="118" t="s">
        <v>203</v>
      </c>
      <c r="B47" s="67"/>
      <c r="C47" s="67"/>
      <c r="D47" s="67"/>
      <c r="E47" s="67"/>
      <c r="F47" s="67"/>
      <c r="G47" s="67"/>
      <c r="H47" s="68"/>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69"/>
      <c r="BT47" s="69"/>
      <c r="BU47" s="69"/>
      <c r="BV47" s="69"/>
      <c r="BW47" s="69"/>
      <c r="BX47" s="69"/>
      <c r="BY47" s="69"/>
      <c r="BZ47" s="69"/>
      <c r="CA47" s="69"/>
      <c r="CB47" s="69"/>
      <c r="CC47" s="69"/>
      <c r="CD47" s="69"/>
      <c r="CE47" s="69"/>
      <c r="CF47" s="69"/>
      <c r="CG47" s="69"/>
      <c r="CH47" s="69"/>
      <c r="CI47" s="69"/>
      <c r="CJ47" s="69"/>
      <c r="CK47" s="69"/>
      <c r="CL47" s="69"/>
      <c r="CM47" s="69"/>
      <c r="CN47" s="69"/>
      <c r="CO47" s="69"/>
      <c r="CP47" s="69"/>
      <c r="CQ47" s="69"/>
      <c r="CR47" s="69"/>
      <c r="CS47" s="69"/>
      <c r="CT47" s="69"/>
      <c r="CU47" s="69"/>
      <c r="CV47" s="69"/>
      <c r="CW47" s="69"/>
      <c r="CX47" s="69"/>
      <c r="CY47" s="69"/>
      <c r="CZ47" s="69"/>
      <c r="DA47" s="69"/>
      <c r="DB47" s="69"/>
      <c r="DC47" s="69"/>
      <c r="DD47" s="69"/>
      <c r="DE47" s="69"/>
      <c r="DF47" s="69"/>
      <c r="DG47" s="69"/>
      <c r="DH47" s="69"/>
      <c r="DI47" s="69"/>
      <c r="DJ47" s="69"/>
      <c r="DK47" s="69"/>
      <c r="DL47" s="3"/>
      <c r="DM47" s="3"/>
      <c r="DN47" s="3"/>
      <c r="DO47" s="3"/>
      <c r="DP47" s="3"/>
      <c r="DQ47" s="3"/>
      <c r="DR47" s="3"/>
      <c r="DS47" s="3"/>
      <c r="DT47" s="3"/>
      <c r="DU47" s="3"/>
    </row>
    <row r="48" ht="15.75" customHeight="1">
      <c r="A48" s="95" t="s">
        <v>6</v>
      </c>
      <c r="B48" s="96" t="s">
        <v>7</v>
      </c>
      <c r="C48" s="97" t="s">
        <v>8</v>
      </c>
      <c r="D48" s="96" t="s">
        <v>9</v>
      </c>
      <c r="E48" s="96" t="s">
        <v>10</v>
      </c>
      <c r="F48" s="96" t="s">
        <v>11</v>
      </c>
      <c r="G48" s="96" t="s">
        <v>12</v>
      </c>
      <c r="H48" s="96" t="s">
        <v>13</v>
      </c>
      <c r="I48" s="98">
        <v>44123.0</v>
      </c>
      <c r="J48" s="98">
        <v>44120.0</v>
      </c>
      <c r="K48" s="98">
        <v>44119.0</v>
      </c>
      <c r="L48" s="98">
        <v>44118.0</v>
      </c>
      <c r="M48" s="98">
        <v>44117.0</v>
      </c>
      <c r="N48" s="98">
        <v>44116.0</v>
      </c>
      <c r="O48" s="98">
        <v>44114.0</v>
      </c>
      <c r="P48" s="98">
        <v>44113.0</v>
      </c>
      <c r="Q48" s="98">
        <v>44112.0</v>
      </c>
      <c r="R48" s="98">
        <v>44111.0</v>
      </c>
      <c r="S48" s="98">
        <v>44110.0</v>
      </c>
      <c r="T48" s="98">
        <v>44109.0</v>
      </c>
      <c r="U48" s="98">
        <v>44105.0</v>
      </c>
      <c r="V48" s="98">
        <v>44104.0</v>
      </c>
      <c r="W48" s="98">
        <v>44103.0</v>
      </c>
      <c r="X48" s="98">
        <v>44102.0</v>
      </c>
      <c r="Y48" s="98">
        <v>44100.0</v>
      </c>
      <c r="Z48" s="98">
        <v>44099.0</v>
      </c>
      <c r="AA48" s="98">
        <v>44098.0</v>
      </c>
      <c r="AB48" s="98">
        <v>44097.0</v>
      </c>
      <c r="AC48" s="98">
        <v>44096.0</v>
      </c>
      <c r="AD48" s="98">
        <v>44095.0</v>
      </c>
      <c r="AE48" s="98">
        <v>44092.0</v>
      </c>
      <c r="AF48" s="98">
        <v>44091.0</v>
      </c>
      <c r="AG48" s="98">
        <v>44090.0</v>
      </c>
      <c r="AH48" s="98">
        <v>44089.0</v>
      </c>
      <c r="AI48" s="98">
        <v>44088.0</v>
      </c>
      <c r="AJ48" s="98">
        <v>44086.0</v>
      </c>
      <c r="AK48" s="98">
        <v>44085.0</v>
      </c>
      <c r="AL48" s="98">
        <v>44084.0</v>
      </c>
      <c r="AM48" s="98">
        <v>44083.0</v>
      </c>
      <c r="AN48" s="98">
        <v>44082.0</v>
      </c>
      <c r="AO48" s="98">
        <v>44081.0</v>
      </c>
      <c r="AP48" s="98">
        <v>44079.0</v>
      </c>
      <c r="AQ48" s="98">
        <v>44078.0</v>
      </c>
      <c r="AR48" s="98">
        <v>44077.0</v>
      </c>
      <c r="AS48" s="98">
        <v>44076.0</v>
      </c>
      <c r="AT48" s="98">
        <v>44071.0</v>
      </c>
      <c r="AU48" s="98">
        <v>44070.0</v>
      </c>
      <c r="AV48" s="98">
        <v>44069.0</v>
      </c>
      <c r="AW48" s="98">
        <v>44068.0</v>
      </c>
      <c r="AX48" s="98">
        <v>44067.0</v>
      </c>
      <c r="AY48" s="98">
        <v>44065.0</v>
      </c>
      <c r="AZ48" s="98">
        <v>44064.0</v>
      </c>
      <c r="BA48" s="98">
        <v>44063.0</v>
      </c>
      <c r="BB48" s="98">
        <v>44062.0</v>
      </c>
      <c r="BC48" s="98">
        <v>44061.0</v>
      </c>
      <c r="BD48" s="98">
        <v>44060.0</v>
      </c>
      <c r="BE48" s="98">
        <v>44057.0</v>
      </c>
      <c r="BF48" s="98">
        <v>44056.0</v>
      </c>
      <c r="BG48" s="98">
        <v>44055.0</v>
      </c>
      <c r="BH48" s="98">
        <v>44054.0</v>
      </c>
      <c r="BI48" s="98">
        <v>44053.0</v>
      </c>
      <c r="BJ48" s="98">
        <v>44051.0</v>
      </c>
      <c r="BK48" s="98">
        <v>44050.0</v>
      </c>
      <c r="BL48" s="98">
        <v>44049.0</v>
      </c>
      <c r="BM48" s="98">
        <v>44048.0</v>
      </c>
      <c r="BN48" s="98">
        <v>44047.0</v>
      </c>
      <c r="BO48" s="98">
        <v>44045.0</v>
      </c>
      <c r="BP48" s="98">
        <v>44046.0</v>
      </c>
      <c r="BQ48" s="98">
        <v>44043.0</v>
      </c>
      <c r="BR48" s="98">
        <v>44042.0</v>
      </c>
      <c r="BS48" s="69"/>
      <c r="BT48" s="69"/>
      <c r="BU48" s="69"/>
      <c r="BV48" s="69"/>
      <c r="BW48" s="69"/>
      <c r="BX48" s="69"/>
      <c r="BY48" s="69"/>
      <c r="BZ48" s="69"/>
      <c r="CA48" s="69"/>
      <c r="CB48" s="69"/>
      <c r="CC48" s="69"/>
      <c r="CD48" s="69"/>
      <c r="CE48" s="69"/>
      <c r="CF48" s="69"/>
      <c r="CG48" s="69"/>
      <c r="CH48" s="69"/>
      <c r="CI48" s="69"/>
      <c r="CJ48" s="69"/>
      <c r="CK48" s="69"/>
      <c r="CL48" s="69"/>
      <c r="CM48" s="69"/>
      <c r="CN48" s="69"/>
      <c r="CO48" s="69"/>
      <c r="CP48" s="69"/>
      <c r="CQ48" s="69"/>
      <c r="CR48" s="69"/>
      <c r="CS48" s="69"/>
      <c r="CT48" s="69"/>
      <c r="CU48" s="69"/>
      <c r="CV48" s="69"/>
      <c r="CW48" s="69"/>
      <c r="CX48" s="69"/>
      <c r="CY48" s="69"/>
      <c r="CZ48" s="69"/>
      <c r="DA48" s="69"/>
      <c r="DB48" s="69"/>
      <c r="DC48" s="69"/>
      <c r="DD48" s="69"/>
      <c r="DE48" s="69"/>
      <c r="DF48" s="69"/>
      <c r="DG48" s="69"/>
      <c r="DH48" s="69"/>
      <c r="DI48" s="69"/>
      <c r="DJ48" s="69"/>
      <c r="DK48" s="69"/>
      <c r="DL48" s="3"/>
      <c r="DM48" s="3"/>
      <c r="DN48" s="3"/>
      <c r="DO48" s="3"/>
      <c r="DP48" s="3"/>
      <c r="DQ48" s="3"/>
      <c r="DR48" s="3"/>
      <c r="DS48" s="3"/>
      <c r="DT48" s="3"/>
      <c r="DU48" s="3"/>
    </row>
    <row r="49" ht="15.75" customHeight="1">
      <c r="A49" s="99">
        <v>1.0</v>
      </c>
      <c r="B49" s="100" t="s">
        <v>204</v>
      </c>
      <c r="C49" s="101" t="s">
        <v>86</v>
      </c>
      <c r="D49" s="102" t="s">
        <v>42</v>
      </c>
      <c r="E49" s="102">
        <v>8.0</v>
      </c>
      <c r="F49" s="102">
        <v>8.0</v>
      </c>
      <c r="G49" s="6">
        <v>44046.0</v>
      </c>
      <c r="H49" s="6">
        <v>44046.0</v>
      </c>
      <c r="I49" s="111">
        <v>1.0</v>
      </c>
      <c r="J49" s="111">
        <v>1.0</v>
      </c>
      <c r="K49" s="111">
        <v>1.0</v>
      </c>
      <c r="L49" s="111">
        <v>1.0</v>
      </c>
      <c r="M49" s="111">
        <v>1.0</v>
      </c>
      <c r="N49" s="111">
        <v>1.0</v>
      </c>
      <c r="O49" s="111">
        <v>1.0</v>
      </c>
      <c r="P49" s="111">
        <v>1.0</v>
      </c>
      <c r="Q49" s="111">
        <v>1.0</v>
      </c>
      <c r="R49" s="111">
        <v>1.0</v>
      </c>
      <c r="S49" s="111">
        <v>1.0</v>
      </c>
      <c r="T49" s="111">
        <v>1.0</v>
      </c>
      <c r="U49" s="111">
        <v>1.0</v>
      </c>
      <c r="V49" s="111">
        <v>1.0</v>
      </c>
      <c r="W49" s="111">
        <v>1.0</v>
      </c>
      <c r="X49" s="111">
        <v>1.0</v>
      </c>
      <c r="Y49" s="111">
        <v>1.0</v>
      </c>
      <c r="Z49" s="111">
        <v>1.0</v>
      </c>
      <c r="AA49" s="111">
        <v>1.0</v>
      </c>
      <c r="AB49" s="111">
        <v>1.0</v>
      </c>
      <c r="AC49" s="111">
        <v>1.0</v>
      </c>
      <c r="AD49" s="111">
        <v>1.0</v>
      </c>
      <c r="AE49" s="111">
        <v>1.0</v>
      </c>
      <c r="AF49" s="111">
        <v>1.0</v>
      </c>
      <c r="AG49" s="111">
        <v>1.0</v>
      </c>
      <c r="AH49" s="111">
        <v>1.0</v>
      </c>
      <c r="AI49" s="111">
        <v>1.0</v>
      </c>
      <c r="AJ49" s="111">
        <v>1.0</v>
      </c>
      <c r="AK49" s="111">
        <v>1.0</v>
      </c>
      <c r="AL49" s="111">
        <v>1.0</v>
      </c>
      <c r="AM49" s="111">
        <v>1.0</v>
      </c>
      <c r="AN49" s="111">
        <v>1.0</v>
      </c>
      <c r="AO49" s="111">
        <v>1.0</v>
      </c>
      <c r="AP49" s="111">
        <v>1.0</v>
      </c>
      <c r="AQ49" s="111">
        <v>1.0</v>
      </c>
      <c r="AR49" s="111">
        <v>1.0</v>
      </c>
      <c r="AS49" s="111">
        <v>1.0</v>
      </c>
      <c r="AT49" s="111">
        <v>1.0</v>
      </c>
      <c r="AU49" s="111">
        <v>1.0</v>
      </c>
      <c r="AV49" s="111">
        <v>1.0</v>
      </c>
      <c r="AW49" s="111">
        <v>1.0</v>
      </c>
      <c r="AX49" s="111">
        <v>1.0</v>
      </c>
      <c r="AY49" s="111">
        <v>1.0</v>
      </c>
      <c r="AZ49" s="111">
        <v>1.0</v>
      </c>
      <c r="BA49" s="111">
        <v>1.0</v>
      </c>
      <c r="BB49" s="111">
        <v>1.0</v>
      </c>
      <c r="BC49" s="111">
        <v>1.0</v>
      </c>
      <c r="BD49" s="111">
        <v>1.0</v>
      </c>
      <c r="BE49" s="111">
        <v>1.0</v>
      </c>
      <c r="BF49" s="111">
        <v>1.0</v>
      </c>
      <c r="BG49" s="111">
        <v>1.0</v>
      </c>
      <c r="BH49" s="111">
        <v>1.0</v>
      </c>
      <c r="BI49" s="111">
        <v>1.0</v>
      </c>
      <c r="BJ49" s="111">
        <v>1.0</v>
      </c>
      <c r="BK49" s="111">
        <v>1.0</v>
      </c>
      <c r="BL49" s="111">
        <v>1.0</v>
      </c>
      <c r="BM49" s="111">
        <v>1.0</v>
      </c>
      <c r="BN49" s="111">
        <v>1.0</v>
      </c>
      <c r="BO49" s="111">
        <v>1.0</v>
      </c>
      <c r="BP49" s="111"/>
      <c r="BQ49" s="111"/>
      <c r="BR49" s="111"/>
      <c r="BS49" s="69"/>
      <c r="BT49" s="69"/>
      <c r="BU49" s="69"/>
      <c r="BV49" s="69"/>
      <c r="BW49" s="69"/>
      <c r="BX49" s="69"/>
      <c r="BY49" s="69"/>
      <c r="BZ49" s="69"/>
      <c r="CA49" s="69"/>
      <c r="CB49" s="69"/>
      <c r="CC49" s="69"/>
      <c r="CD49" s="69"/>
      <c r="CE49" s="69"/>
      <c r="CF49" s="69"/>
      <c r="CG49" s="69"/>
      <c r="CH49" s="69"/>
      <c r="CI49" s="69"/>
      <c r="CJ49" s="69"/>
      <c r="CK49" s="69"/>
      <c r="CL49" s="69"/>
      <c r="CM49" s="69"/>
      <c r="CN49" s="69"/>
      <c r="CO49" s="69"/>
      <c r="CP49" s="69"/>
      <c r="CQ49" s="69"/>
      <c r="CR49" s="69"/>
      <c r="CS49" s="69"/>
      <c r="CT49" s="69"/>
      <c r="CU49" s="69"/>
      <c r="CV49" s="69"/>
      <c r="CW49" s="69"/>
      <c r="CX49" s="69"/>
      <c r="CY49" s="69"/>
      <c r="CZ49" s="69"/>
      <c r="DA49" s="69"/>
      <c r="DB49" s="69"/>
      <c r="DC49" s="69"/>
      <c r="DD49" s="69"/>
      <c r="DE49" s="69"/>
      <c r="DF49" s="69"/>
      <c r="DG49" s="69"/>
      <c r="DH49" s="69"/>
      <c r="DI49" s="69"/>
      <c r="DJ49" s="69"/>
      <c r="DK49" s="69"/>
      <c r="DL49" s="3"/>
      <c r="DM49" s="3"/>
      <c r="DN49" s="3"/>
      <c r="DO49" s="3"/>
      <c r="DP49" s="3"/>
      <c r="DQ49" s="3"/>
      <c r="DR49" s="3"/>
      <c r="DS49" s="3"/>
      <c r="DT49" s="3"/>
      <c r="DU49" s="3"/>
    </row>
    <row r="50" ht="15.75" customHeight="1">
      <c r="A50" s="99">
        <v>2.0</v>
      </c>
      <c r="B50" s="100" t="s">
        <v>205</v>
      </c>
      <c r="C50" s="101" t="s">
        <v>86</v>
      </c>
      <c r="D50" s="102" t="s">
        <v>55</v>
      </c>
      <c r="E50" s="102">
        <v>8.0</v>
      </c>
      <c r="F50" s="102">
        <v>8.0</v>
      </c>
      <c r="G50" s="6">
        <v>44046.0</v>
      </c>
      <c r="H50" s="6">
        <v>44046.0</v>
      </c>
      <c r="I50" s="111">
        <v>1.0</v>
      </c>
      <c r="J50" s="111">
        <v>1.0</v>
      </c>
      <c r="K50" s="111">
        <v>1.0</v>
      </c>
      <c r="L50" s="111">
        <v>1.0</v>
      </c>
      <c r="M50" s="111">
        <v>1.0</v>
      </c>
      <c r="N50" s="111">
        <v>1.0</v>
      </c>
      <c r="O50" s="111">
        <v>1.0</v>
      </c>
      <c r="P50" s="111">
        <v>1.0</v>
      </c>
      <c r="Q50" s="111">
        <v>1.0</v>
      </c>
      <c r="R50" s="111">
        <v>1.0</v>
      </c>
      <c r="S50" s="111">
        <v>1.0</v>
      </c>
      <c r="T50" s="111">
        <v>1.0</v>
      </c>
      <c r="U50" s="111">
        <v>1.0</v>
      </c>
      <c r="V50" s="111">
        <v>1.0</v>
      </c>
      <c r="W50" s="111">
        <v>1.0</v>
      </c>
      <c r="X50" s="111">
        <v>1.0</v>
      </c>
      <c r="Y50" s="111">
        <v>1.0</v>
      </c>
      <c r="Z50" s="111">
        <v>1.0</v>
      </c>
      <c r="AA50" s="111">
        <v>1.0</v>
      </c>
      <c r="AB50" s="111">
        <v>1.0</v>
      </c>
      <c r="AC50" s="111">
        <v>1.0</v>
      </c>
      <c r="AD50" s="111">
        <v>1.0</v>
      </c>
      <c r="AE50" s="111">
        <v>1.0</v>
      </c>
      <c r="AF50" s="111">
        <v>1.0</v>
      </c>
      <c r="AG50" s="111">
        <v>1.0</v>
      </c>
      <c r="AH50" s="111">
        <v>1.0</v>
      </c>
      <c r="AI50" s="111">
        <v>1.0</v>
      </c>
      <c r="AJ50" s="111">
        <v>1.0</v>
      </c>
      <c r="AK50" s="111">
        <v>1.0</v>
      </c>
      <c r="AL50" s="111">
        <v>1.0</v>
      </c>
      <c r="AM50" s="111">
        <v>1.0</v>
      </c>
      <c r="AN50" s="111">
        <v>1.0</v>
      </c>
      <c r="AO50" s="111">
        <v>1.0</v>
      </c>
      <c r="AP50" s="111">
        <v>1.0</v>
      </c>
      <c r="AQ50" s="111">
        <v>1.0</v>
      </c>
      <c r="AR50" s="111">
        <v>1.0</v>
      </c>
      <c r="AS50" s="111">
        <v>1.0</v>
      </c>
      <c r="AT50" s="111">
        <v>1.0</v>
      </c>
      <c r="AU50" s="111">
        <v>1.0</v>
      </c>
      <c r="AV50" s="111">
        <v>1.0</v>
      </c>
      <c r="AW50" s="111">
        <v>1.0</v>
      </c>
      <c r="AX50" s="111">
        <v>1.0</v>
      </c>
      <c r="AY50" s="111">
        <v>1.0</v>
      </c>
      <c r="AZ50" s="111">
        <v>1.0</v>
      </c>
      <c r="BA50" s="111">
        <v>1.0</v>
      </c>
      <c r="BB50" s="111">
        <v>1.0</v>
      </c>
      <c r="BC50" s="111">
        <v>1.0</v>
      </c>
      <c r="BD50" s="111">
        <v>1.0</v>
      </c>
      <c r="BE50" s="111">
        <v>1.0</v>
      </c>
      <c r="BF50" s="111">
        <v>1.0</v>
      </c>
      <c r="BG50" s="111">
        <v>1.0</v>
      </c>
      <c r="BH50" s="111">
        <v>1.0</v>
      </c>
      <c r="BI50" s="111">
        <v>1.0</v>
      </c>
      <c r="BJ50" s="111">
        <v>1.0</v>
      </c>
      <c r="BK50" s="111">
        <v>1.0</v>
      </c>
      <c r="BL50" s="111">
        <v>1.0</v>
      </c>
      <c r="BM50" s="111">
        <v>1.0</v>
      </c>
      <c r="BN50" s="111">
        <v>1.0</v>
      </c>
      <c r="BO50" s="111">
        <v>1.0</v>
      </c>
      <c r="BP50" s="111"/>
      <c r="BQ50" s="111"/>
      <c r="BR50" s="111"/>
      <c r="BS50" s="69"/>
      <c r="BT50" s="69"/>
      <c r="BU50" s="69"/>
      <c r="BV50" s="69"/>
      <c r="BW50" s="69"/>
      <c r="BX50" s="69"/>
      <c r="BY50" s="69"/>
      <c r="BZ50" s="69"/>
      <c r="CA50" s="69"/>
      <c r="CB50" s="69"/>
      <c r="CC50" s="69"/>
      <c r="CD50" s="69"/>
      <c r="CE50" s="69"/>
      <c r="CF50" s="69"/>
      <c r="CG50" s="69"/>
      <c r="CH50" s="69"/>
      <c r="CI50" s="69"/>
      <c r="CJ50" s="69"/>
      <c r="CK50" s="69"/>
      <c r="CL50" s="69"/>
      <c r="CM50" s="69"/>
      <c r="CN50" s="69"/>
      <c r="CO50" s="69"/>
      <c r="CP50" s="69"/>
      <c r="CQ50" s="69"/>
      <c r="CR50" s="69"/>
      <c r="CS50" s="69"/>
      <c r="CT50" s="69"/>
      <c r="CU50" s="69"/>
      <c r="CV50" s="69"/>
      <c r="CW50" s="69"/>
      <c r="CX50" s="69"/>
      <c r="CY50" s="69"/>
      <c r="CZ50" s="69"/>
      <c r="DA50" s="69"/>
      <c r="DB50" s="69"/>
      <c r="DC50" s="69"/>
      <c r="DD50" s="69"/>
      <c r="DE50" s="69"/>
      <c r="DF50" s="69"/>
      <c r="DG50" s="69"/>
      <c r="DH50" s="69"/>
      <c r="DI50" s="69"/>
      <c r="DJ50" s="69"/>
      <c r="DK50" s="69"/>
      <c r="DL50" s="3"/>
      <c r="DM50" s="3"/>
      <c r="DN50" s="3"/>
      <c r="DO50" s="3"/>
      <c r="DP50" s="3"/>
      <c r="DQ50" s="3"/>
      <c r="DR50" s="3"/>
      <c r="DS50" s="3"/>
      <c r="DT50" s="3"/>
      <c r="DU50" s="3"/>
    </row>
    <row r="51" ht="15.75" customHeight="1">
      <c r="A51" s="99">
        <v>3.0</v>
      </c>
      <c r="B51" s="100" t="s">
        <v>206</v>
      </c>
      <c r="C51" s="101" t="s">
        <v>86</v>
      </c>
      <c r="D51" s="102" t="s">
        <v>42</v>
      </c>
      <c r="E51" s="102">
        <v>8.0</v>
      </c>
      <c r="F51" s="102">
        <v>8.0</v>
      </c>
      <c r="G51" s="6">
        <v>44050.0</v>
      </c>
      <c r="H51" s="6">
        <v>44050.0</v>
      </c>
      <c r="I51" s="111">
        <v>1.0</v>
      </c>
      <c r="J51" s="111">
        <v>1.0</v>
      </c>
      <c r="K51" s="111">
        <v>1.0</v>
      </c>
      <c r="L51" s="111">
        <v>1.0</v>
      </c>
      <c r="M51" s="111">
        <v>1.0</v>
      </c>
      <c r="N51" s="111">
        <v>1.0</v>
      </c>
      <c r="O51" s="111">
        <v>1.0</v>
      </c>
      <c r="P51" s="111">
        <v>1.0</v>
      </c>
      <c r="Q51" s="111">
        <v>1.0</v>
      </c>
      <c r="R51" s="111">
        <v>1.0</v>
      </c>
      <c r="S51" s="111">
        <v>1.0</v>
      </c>
      <c r="T51" s="111">
        <v>1.0</v>
      </c>
      <c r="U51" s="111">
        <v>1.0</v>
      </c>
      <c r="V51" s="111">
        <v>1.0</v>
      </c>
      <c r="W51" s="111">
        <v>1.0</v>
      </c>
      <c r="X51" s="111">
        <v>1.0</v>
      </c>
      <c r="Y51" s="111">
        <v>1.0</v>
      </c>
      <c r="Z51" s="111">
        <v>1.0</v>
      </c>
      <c r="AA51" s="111">
        <v>1.0</v>
      </c>
      <c r="AB51" s="111">
        <v>1.0</v>
      </c>
      <c r="AC51" s="111">
        <v>1.0</v>
      </c>
      <c r="AD51" s="111">
        <v>1.0</v>
      </c>
      <c r="AE51" s="111">
        <v>1.0</v>
      </c>
      <c r="AF51" s="111">
        <v>1.0</v>
      </c>
      <c r="AG51" s="111">
        <v>1.0</v>
      </c>
      <c r="AH51" s="111">
        <v>1.0</v>
      </c>
      <c r="AI51" s="111">
        <v>1.0</v>
      </c>
      <c r="AJ51" s="111">
        <v>1.0</v>
      </c>
      <c r="AK51" s="111">
        <v>1.0</v>
      </c>
      <c r="AL51" s="111">
        <v>1.0</v>
      </c>
      <c r="AM51" s="111">
        <v>1.0</v>
      </c>
      <c r="AN51" s="111">
        <v>1.0</v>
      </c>
      <c r="AO51" s="111">
        <v>1.0</v>
      </c>
      <c r="AP51" s="111">
        <v>1.0</v>
      </c>
      <c r="AQ51" s="111">
        <v>1.0</v>
      </c>
      <c r="AR51" s="111">
        <v>1.0</v>
      </c>
      <c r="AS51" s="111">
        <v>1.0</v>
      </c>
      <c r="AT51" s="111">
        <v>1.0</v>
      </c>
      <c r="AU51" s="111">
        <v>1.0</v>
      </c>
      <c r="AV51" s="111">
        <v>1.0</v>
      </c>
      <c r="AW51" s="111">
        <v>1.0</v>
      </c>
      <c r="AX51" s="111">
        <v>1.0</v>
      </c>
      <c r="AY51" s="111">
        <v>1.0</v>
      </c>
      <c r="AZ51" s="111">
        <v>1.0</v>
      </c>
      <c r="BA51" s="111">
        <v>1.0</v>
      </c>
      <c r="BB51" s="111">
        <v>1.0</v>
      </c>
      <c r="BC51" s="111">
        <v>1.0</v>
      </c>
      <c r="BD51" s="111">
        <v>1.0</v>
      </c>
      <c r="BE51" s="111">
        <v>1.0</v>
      </c>
      <c r="BF51" s="111">
        <v>1.0</v>
      </c>
      <c r="BG51" s="111">
        <v>1.0</v>
      </c>
      <c r="BH51" s="111">
        <v>1.0</v>
      </c>
      <c r="BI51" s="111">
        <v>1.0</v>
      </c>
      <c r="BJ51" s="111">
        <v>1.0</v>
      </c>
      <c r="BK51" s="111">
        <v>1.0</v>
      </c>
      <c r="BL51" s="111"/>
      <c r="BM51" s="111"/>
      <c r="BN51" s="111"/>
      <c r="BO51" s="111"/>
      <c r="BP51" s="111"/>
      <c r="BQ51" s="111"/>
      <c r="BR51" s="111"/>
      <c r="BS51" s="69"/>
      <c r="BT51" s="69"/>
      <c r="BU51" s="69"/>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3"/>
      <c r="DM51" s="3"/>
      <c r="DN51" s="3"/>
      <c r="DO51" s="3"/>
      <c r="DP51" s="3"/>
      <c r="DQ51" s="3"/>
      <c r="DR51" s="3"/>
      <c r="DS51" s="3"/>
      <c r="DT51" s="3"/>
      <c r="DU51" s="3"/>
    </row>
    <row r="52" ht="15.75" customHeight="1">
      <c r="A52" s="99">
        <v>4.0</v>
      </c>
      <c r="B52" s="100" t="s">
        <v>207</v>
      </c>
      <c r="C52" s="101" t="s">
        <v>86</v>
      </c>
      <c r="D52" s="102" t="s">
        <v>55</v>
      </c>
      <c r="E52" s="102">
        <v>8.0</v>
      </c>
      <c r="F52" s="102">
        <v>8.0</v>
      </c>
      <c r="G52" s="6">
        <v>44051.0</v>
      </c>
      <c r="H52" s="6">
        <v>44051.0</v>
      </c>
      <c r="I52" s="111">
        <v>1.0</v>
      </c>
      <c r="J52" s="111">
        <v>1.0</v>
      </c>
      <c r="K52" s="111">
        <v>1.0</v>
      </c>
      <c r="L52" s="111">
        <v>1.0</v>
      </c>
      <c r="M52" s="111">
        <v>1.0</v>
      </c>
      <c r="N52" s="111">
        <v>1.0</v>
      </c>
      <c r="O52" s="111">
        <v>1.0</v>
      </c>
      <c r="P52" s="111">
        <v>1.0</v>
      </c>
      <c r="Q52" s="111">
        <v>1.0</v>
      </c>
      <c r="R52" s="111">
        <v>1.0</v>
      </c>
      <c r="S52" s="111">
        <v>1.0</v>
      </c>
      <c r="T52" s="111">
        <v>1.0</v>
      </c>
      <c r="U52" s="111">
        <v>1.0</v>
      </c>
      <c r="V52" s="111">
        <v>1.0</v>
      </c>
      <c r="W52" s="111">
        <v>1.0</v>
      </c>
      <c r="X52" s="111">
        <v>1.0</v>
      </c>
      <c r="Y52" s="111">
        <v>1.0</v>
      </c>
      <c r="Z52" s="111">
        <v>1.0</v>
      </c>
      <c r="AA52" s="111">
        <v>1.0</v>
      </c>
      <c r="AB52" s="111">
        <v>1.0</v>
      </c>
      <c r="AC52" s="111">
        <v>1.0</v>
      </c>
      <c r="AD52" s="111">
        <v>1.0</v>
      </c>
      <c r="AE52" s="111">
        <v>1.0</v>
      </c>
      <c r="AF52" s="111">
        <v>1.0</v>
      </c>
      <c r="AG52" s="111">
        <v>1.0</v>
      </c>
      <c r="AH52" s="111">
        <v>1.0</v>
      </c>
      <c r="AI52" s="111">
        <v>1.0</v>
      </c>
      <c r="AJ52" s="111">
        <v>1.0</v>
      </c>
      <c r="AK52" s="111">
        <v>1.0</v>
      </c>
      <c r="AL52" s="111">
        <v>1.0</v>
      </c>
      <c r="AM52" s="111">
        <v>1.0</v>
      </c>
      <c r="AN52" s="111">
        <v>1.0</v>
      </c>
      <c r="AO52" s="111">
        <v>1.0</v>
      </c>
      <c r="AP52" s="111">
        <v>1.0</v>
      </c>
      <c r="AQ52" s="111">
        <v>1.0</v>
      </c>
      <c r="AR52" s="111">
        <v>1.0</v>
      </c>
      <c r="AS52" s="111">
        <v>1.0</v>
      </c>
      <c r="AT52" s="111">
        <v>1.0</v>
      </c>
      <c r="AU52" s="111">
        <v>1.0</v>
      </c>
      <c r="AV52" s="111">
        <v>1.0</v>
      </c>
      <c r="AW52" s="111">
        <v>1.0</v>
      </c>
      <c r="AX52" s="111">
        <v>1.0</v>
      </c>
      <c r="AY52" s="111">
        <v>1.0</v>
      </c>
      <c r="AZ52" s="111">
        <v>1.0</v>
      </c>
      <c r="BA52" s="111">
        <v>1.0</v>
      </c>
      <c r="BB52" s="111">
        <v>1.0</v>
      </c>
      <c r="BC52" s="111">
        <v>1.0</v>
      </c>
      <c r="BD52" s="111">
        <v>1.0</v>
      </c>
      <c r="BE52" s="111">
        <v>1.0</v>
      </c>
      <c r="BF52" s="111">
        <v>1.0</v>
      </c>
      <c r="BG52" s="111">
        <v>1.0</v>
      </c>
      <c r="BH52" s="111">
        <v>1.0</v>
      </c>
      <c r="BI52" s="111">
        <v>1.0</v>
      </c>
      <c r="BJ52" s="111">
        <v>1.0</v>
      </c>
      <c r="BK52" s="111"/>
      <c r="BL52" s="111"/>
      <c r="BM52" s="111"/>
      <c r="BN52" s="111"/>
      <c r="BO52" s="111"/>
      <c r="BP52" s="111"/>
      <c r="BQ52" s="111"/>
      <c r="BR52" s="111"/>
      <c r="BS52" s="69"/>
      <c r="BT52" s="69"/>
      <c r="BU52" s="69"/>
      <c r="BV52" s="69"/>
      <c r="BW52" s="69"/>
      <c r="BX52" s="69"/>
      <c r="BY52" s="69"/>
      <c r="BZ52" s="69"/>
      <c r="CA52" s="69"/>
      <c r="CB52" s="69"/>
      <c r="CC52" s="69"/>
      <c r="CD52" s="69"/>
      <c r="CE52" s="69"/>
      <c r="CF52" s="69"/>
      <c r="CG52" s="69"/>
      <c r="CH52" s="69"/>
      <c r="CI52" s="69"/>
      <c r="CJ52" s="69"/>
      <c r="CK52" s="69"/>
      <c r="CL52" s="69"/>
      <c r="CM52" s="69"/>
      <c r="CN52" s="69"/>
      <c r="CO52" s="69"/>
      <c r="CP52" s="69"/>
      <c r="CQ52" s="69"/>
      <c r="CR52" s="69"/>
      <c r="CS52" s="69"/>
      <c r="CT52" s="69"/>
      <c r="CU52" s="69"/>
      <c r="CV52" s="69"/>
      <c r="CW52" s="69"/>
      <c r="CX52" s="69"/>
      <c r="CY52" s="69"/>
      <c r="CZ52" s="69"/>
      <c r="DA52" s="69"/>
      <c r="DB52" s="69"/>
      <c r="DC52" s="69"/>
      <c r="DD52" s="69"/>
      <c r="DE52" s="69"/>
      <c r="DF52" s="69"/>
      <c r="DG52" s="69"/>
      <c r="DH52" s="69"/>
      <c r="DI52" s="69"/>
      <c r="DJ52" s="69"/>
      <c r="DK52" s="69"/>
      <c r="DL52" s="3"/>
      <c r="DM52" s="3"/>
      <c r="DN52" s="3"/>
      <c r="DO52" s="3"/>
      <c r="DP52" s="3"/>
      <c r="DQ52" s="3"/>
      <c r="DR52" s="3"/>
      <c r="DS52" s="3"/>
      <c r="DT52" s="3"/>
      <c r="DU52" s="3"/>
    </row>
    <row r="53" ht="15.75" customHeight="1">
      <c r="A53" s="99">
        <v>5.0</v>
      </c>
      <c r="B53" s="100" t="s">
        <v>208</v>
      </c>
      <c r="C53" s="101" t="s">
        <v>86</v>
      </c>
      <c r="D53" s="102" t="s">
        <v>51</v>
      </c>
      <c r="E53" s="102">
        <v>4.0</v>
      </c>
      <c r="F53" s="102">
        <v>4.0</v>
      </c>
      <c r="G53" s="6">
        <v>44047.0</v>
      </c>
      <c r="H53" s="6">
        <v>44047.0</v>
      </c>
      <c r="I53" s="111">
        <v>1.0</v>
      </c>
      <c r="J53" s="111">
        <v>1.0</v>
      </c>
      <c r="K53" s="111">
        <v>1.0</v>
      </c>
      <c r="L53" s="111">
        <v>1.0</v>
      </c>
      <c r="M53" s="111">
        <v>1.0</v>
      </c>
      <c r="N53" s="111">
        <v>1.0</v>
      </c>
      <c r="O53" s="111">
        <v>1.0</v>
      </c>
      <c r="P53" s="111">
        <v>1.0</v>
      </c>
      <c r="Q53" s="111">
        <v>1.0</v>
      </c>
      <c r="R53" s="111">
        <v>1.0</v>
      </c>
      <c r="S53" s="111">
        <v>1.0</v>
      </c>
      <c r="T53" s="111">
        <v>1.0</v>
      </c>
      <c r="U53" s="111">
        <v>1.0</v>
      </c>
      <c r="V53" s="111">
        <v>1.0</v>
      </c>
      <c r="W53" s="111">
        <v>1.0</v>
      </c>
      <c r="X53" s="111">
        <v>1.0</v>
      </c>
      <c r="Y53" s="111">
        <v>1.0</v>
      </c>
      <c r="Z53" s="111">
        <v>1.0</v>
      </c>
      <c r="AA53" s="111">
        <v>1.0</v>
      </c>
      <c r="AB53" s="111">
        <v>1.0</v>
      </c>
      <c r="AC53" s="111">
        <v>1.0</v>
      </c>
      <c r="AD53" s="111">
        <v>1.0</v>
      </c>
      <c r="AE53" s="111">
        <v>1.0</v>
      </c>
      <c r="AF53" s="111">
        <v>1.0</v>
      </c>
      <c r="AG53" s="111">
        <v>1.0</v>
      </c>
      <c r="AH53" s="111">
        <v>1.0</v>
      </c>
      <c r="AI53" s="111">
        <v>1.0</v>
      </c>
      <c r="AJ53" s="111">
        <v>1.0</v>
      </c>
      <c r="AK53" s="111">
        <v>1.0</v>
      </c>
      <c r="AL53" s="111">
        <v>1.0</v>
      </c>
      <c r="AM53" s="111">
        <v>1.0</v>
      </c>
      <c r="AN53" s="111">
        <v>1.0</v>
      </c>
      <c r="AO53" s="111">
        <v>1.0</v>
      </c>
      <c r="AP53" s="111">
        <v>1.0</v>
      </c>
      <c r="AQ53" s="111">
        <v>1.0</v>
      </c>
      <c r="AR53" s="111">
        <v>1.0</v>
      </c>
      <c r="AS53" s="111">
        <v>1.0</v>
      </c>
      <c r="AT53" s="111">
        <v>1.0</v>
      </c>
      <c r="AU53" s="111">
        <v>1.0</v>
      </c>
      <c r="AV53" s="111">
        <v>1.0</v>
      </c>
      <c r="AW53" s="111">
        <v>1.0</v>
      </c>
      <c r="AX53" s="111">
        <v>1.0</v>
      </c>
      <c r="AY53" s="111">
        <v>1.0</v>
      </c>
      <c r="AZ53" s="111">
        <v>1.0</v>
      </c>
      <c r="BA53" s="111">
        <v>1.0</v>
      </c>
      <c r="BB53" s="111">
        <v>1.0</v>
      </c>
      <c r="BC53" s="111">
        <v>1.0</v>
      </c>
      <c r="BD53" s="111">
        <v>1.0</v>
      </c>
      <c r="BE53" s="111">
        <v>1.0</v>
      </c>
      <c r="BF53" s="111">
        <v>1.0</v>
      </c>
      <c r="BG53" s="111">
        <v>1.0</v>
      </c>
      <c r="BH53" s="111">
        <v>1.0</v>
      </c>
      <c r="BI53" s="111">
        <v>1.0</v>
      </c>
      <c r="BJ53" s="111">
        <v>1.0</v>
      </c>
      <c r="BK53" s="111">
        <v>1.0</v>
      </c>
      <c r="BL53" s="111">
        <v>1.0</v>
      </c>
      <c r="BM53" s="111">
        <v>1.0</v>
      </c>
      <c r="BN53" s="111">
        <v>1.0</v>
      </c>
      <c r="BO53" s="111"/>
      <c r="BP53" s="111"/>
      <c r="BQ53" s="111"/>
      <c r="BR53" s="111"/>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3"/>
      <c r="DM53" s="3"/>
      <c r="DN53" s="3"/>
      <c r="DO53" s="3"/>
      <c r="DP53" s="3"/>
      <c r="DQ53" s="3"/>
      <c r="DR53" s="3"/>
      <c r="DS53" s="3"/>
      <c r="DT53" s="3"/>
      <c r="DU53" s="3"/>
    </row>
    <row r="54" ht="15.75" customHeight="1">
      <c r="A54" s="99">
        <v>6.0</v>
      </c>
      <c r="B54" s="100" t="s">
        <v>209</v>
      </c>
      <c r="C54" s="101" t="s">
        <v>86</v>
      </c>
      <c r="D54" s="102" t="s">
        <v>42</v>
      </c>
      <c r="E54" s="102">
        <v>4.0</v>
      </c>
      <c r="F54" s="102">
        <v>4.0</v>
      </c>
      <c r="G54" s="6">
        <v>44050.0</v>
      </c>
      <c r="H54" s="6">
        <v>44050.0</v>
      </c>
      <c r="I54" s="111">
        <v>1.0</v>
      </c>
      <c r="J54" s="111">
        <v>1.0</v>
      </c>
      <c r="K54" s="111">
        <v>1.0</v>
      </c>
      <c r="L54" s="111">
        <v>1.0</v>
      </c>
      <c r="M54" s="111">
        <v>1.0</v>
      </c>
      <c r="N54" s="111">
        <v>1.0</v>
      </c>
      <c r="O54" s="111">
        <v>1.0</v>
      </c>
      <c r="P54" s="111">
        <v>1.0</v>
      </c>
      <c r="Q54" s="111">
        <v>1.0</v>
      </c>
      <c r="R54" s="111">
        <v>1.0</v>
      </c>
      <c r="S54" s="111">
        <v>1.0</v>
      </c>
      <c r="T54" s="111">
        <v>1.0</v>
      </c>
      <c r="U54" s="111">
        <v>1.0</v>
      </c>
      <c r="V54" s="111">
        <v>1.0</v>
      </c>
      <c r="W54" s="111">
        <v>1.0</v>
      </c>
      <c r="X54" s="111">
        <v>1.0</v>
      </c>
      <c r="Y54" s="111">
        <v>1.0</v>
      </c>
      <c r="Z54" s="111">
        <v>1.0</v>
      </c>
      <c r="AA54" s="111">
        <v>1.0</v>
      </c>
      <c r="AB54" s="111">
        <v>1.0</v>
      </c>
      <c r="AC54" s="111">
        <v>1.0</v>
      </c>
      <c r="AD54" s="111">
        <v>1.0</v>
      </c>
      <c r="AE54" s="111">
        <v>1.0</v>
      </c>
      <c r="AF54" s="111">
        <v>1.0</v>
      </c>
      <c r="AG54" s="111">
        <v>1.0</v>
      </c>
      <c r="AH54" s="111">
        <v>1.0</v>
      </c>
      <c r="AI54" s="111">
        <v>1.0</v>
      </c>
      <c r="AJ54" s="111">
        <v>1.0</v>
      </c>
      <c r="AK54" s="111">
        <v>1.0</v>
      </c>
      <c r="AL54" s="111">
        <v>1.0</v>
      </c>
      <c r="AM54" s="111">
        <v>1.0</v>
      </c>
      <c r="AN54" s="111">
        <v>1.0</v>
      </c>
      <c r="AO54" s="111">
        <v>1.0</v>
      </c>
      <c r="AP54" s="111">
        <v>1.0</v>
      </c>
      <c r="AQ54" s="111">
        <v>1.0</v>
      </c>
      <c r="AR54" s="111">
        <v>1.0</v>
      </c>
      <c r="AS54" s="111">
        <v>1.0</v>
      </c>
      <c r="AT54" s="111">
        <v>1.0</v>
      </c>
      <c r="AU54" s="111">
        <v>1.0</v>
      </c>
      <c r="AV54" s="111">
        <v>1.0</v>
      </c>
      <c r="AW54" s="111">
        <v>1.0</v>
      </c>
      <c r="AX54" s="111">
        <v>1.0</v>
      </c>
      <c r="AY54" s="111">
        <v>1.0</v>
      </c>
      <c r="AZ54" s="111">
        <v>1.0</v>
      </c>
      <c r="BA54" s="111">
        <v>1.0</v>
      </c>
      <c r="BB54" s="111">
        <v>1.0</v>
      </c>
      <c r="BC54" s="111">
        <v>1.0</v>
      </c>
      <c r="BD54" s="111">
        <v>1.0</v>
      </c>
      <c r="BE54" s="111">
        <v>1.0</v>
      </c>
      <c r="BF54" s="111">
        <v>1.0</v>
      </c>
      <c r="BG54" s="111">
        <v>1.0</v>
      </c>
      <c r="BH54" s="111">
        <v>1.0</v>
      </c>
      <c r="BI54" s="111">
        <v>1.0</v>
      </c>
      <c r="BJ54" s="111">
        <v>1.0</v>
      </c>
      <c r="BK54" s="111">
        <v>1.0</v>
      </c>
      <c r="BL54" s="111"/>
      <c r="BM54" s="111"/>
      <c r="BN54" s="111"/>
      <c r="BO54" s="111"/>
      <c r="BP54" s="111"/>
      <c r="BQ54" s="111"/>
      <c r="BR54" s="111"/>
      <c r="BS54" s="69"/>
      <c r="BT54" s="69"/>
      <c r="BU54" s="69"/>
      <c r="BV54" s="69"/>
      <c r="BW54" s="69"/>
      <c r="BX54" s="69"/>
      <c r="BY54" s="69"/>
      <c r="BZ54" s="69"/>
      <c r="CA54" s="69"/>
      <c r="CB54" s="69"/>
      <c r="CC54" s="69"/>
      <c r="CD54" s="69"/>
      <c r="CE54" s="69"/>
      <c r="CF54" s="69"/>
      <c r="CG54" s="69"/>
      <c r="CH54" s="69"/>
      <c r="CI54" s="69"/>
      <c r="CJ54" s="69"/>
      <c r="CK54" s="69"/>
      <c r="CL54" s="69"/>
      <c r="CM54" s="69"/>
      <c r="CN54" s="69"/>
      <c r="CO54" s="69"/>
      <c r="CP54" s="69"/>
      <c r="CQ54" s="69"/>
      <c r="CR54" s="69"/>
      <c r="CS54" s="69"/>
      <c r="CT54" s="69"/>
      <c r="CU54" s="69"/>
      <c r="CV54" s="69"/>
      <c r="CW54" s="69"/>
      <c r="CX54" s="69"/>
      <c r="CY54" s="69"/>
      <c r="CZ54" s="69"/>
      <c r="DA54" s="69"/>
      <c r="DB54" s="69"/>
      <c r="DC54" s="69"/>
      <c r="DD54" s="69"/>
      <c r="DE54" s="69"/>
      <c r="DF54" s="69"/>
      <c r="DG54" s="69"/>
      <c r="DH54" s="69"/>
      <c r="DI54" s="69"/>
      <c r="DJ54" s="69"/>
      <c r="DK54" s="69"/>
      <c r="DL54" s="3"/>
      <c r="DM54" s="3"/>
      <c r="DN54" s="3"/>
      <c r="DO54" s="3"/>
      <c r="DP54" s="3"/>
      <c r="DQ54" s="3"/>
      <c r="DR54" s="3"/>
      <c r="DS54" s="3"/>
      <c r="DT54" s="3"/>
      <c r="DU54" s="3"/>
    </row>
    <row r="55" ht="15.75" customHeight="1">
      <c r="A55" s="99">
        <v>7.0</v>
      </c>
      <c r="B55" s="100" t="s">
        <v>210</v>
      </c>
      <c r="C55" s="101" t="s">
        <v>86</v>
      </c>
      <c r="D55" s="102" t="s">
        <v>55</v>
      </c>
      <c r="E55" s="102">
        <v>4.0</v>
      </c>
      <c r="F55" s="102">
        <v>4.0</v>
      </c>
      <c r="G55" s="6">
        <v>44051.0</v>
      </c>
      <c r="H55" s="6">
        <v>44051.0</v>
      </c>
      <c r="I55" s="111">
        <v>1.0</v>
      </c>
      <c r="J55" s="111">
        <v>1.0</v>
      </c>
      <c r="K55" s="111">
        <v>1.0</v>
      </c>
      <c r="L55" s="111">
        <v>1.0</v>
      </c>
      <c r="M55" s="111">
        <v>1.0</v>
      </c>
      <c r="N55" s="111">
        <v>1.0</v>
      </c>
      <c r="O55" s="111">
        <v>1.0</v>
      </c>
      <c r="P55" s="111">
        <v>1.0</v>
      </c>
      <c r="Q55" s="111">
        <v>1.0</v>
      </c>
      <c r="R55" s="111">
        <v>1.0</v>
      </c>
      <c r="S55" s="111">
        <v>1.0</v>
      </c>
      <c r="T55" s="111">
        <v>1.0</v>
      </c>
      <c r="U55" s="111">
        <v>1.0</v>
      </c>
      <c r="V55" s="111">
        <v>1.0</v>
      </c>
      <c r="W55" s="111">
        <v>1.0</v>
      </c>
      <c r="X55" s="111">
        <v>1.0</v>
      </c>
      <c r="Y55" s="111">
        <v>1.0</v>
      </c>
      <c r="Z55" s="111">
        <v>1.0</v>
      </c>
      <c r="AA55" s="111">
        <v>1.0</v>
      </c>
      <c r="AB55" s="111">
        <v>1.0</v>
      </c>
      <c r="AC55" s="111">
        <v>1.0</v>
      </c>
      <c r="AD55" s="111">
        <v>1.0</v>
      </c>
      <c r="AE55" s="111">
        <v>1.0</v>
      </c>
      <c r="AF55" s="111">
        <v>1.0</v>
      </c>
      <c r="AG55" s="111">
        <v>1.0</v>
      </c>
      <c r="AH55" s="111">
        <v>1.0</v>
      </c>
      <c r="AI55" s="111">
        <v>1.0</v>
      </c>
      <c r="AJ55" s="111">
        <v>1.0</v>
      </c>
      <c r="AK55" s="111">
        <v>1.0</v>
      </c>
      <c r="AL55" s="111">
        <v>1.0</v>
      </c>
      <c r="AM55" s="111">
        <v>1.0</v>
      </c>
      <c r="AN55" s="111">
        <v>1.0</v>
      </c>
      <c r="AO55" s="111">
        <v>1.0</v>
      </c>
      <c r="AP55" s="111">
        <v>1.0</v>
      </c>
      <c r="AQ55" s="111">
        <v>1.0</v>
      </c>
      <c r="AR55" s="111">
        <v>1.0</v>
      </c>
      <c r="AS55" s="111">
        <v>1.0</v>
      </c>
      <c r="AT55" s="111">
        <v>1.0</v>
      </c>
      <c r="AU55" s="111">
        <v>1.0</v>
      </c>
      <c r="AV55" s="111">
        <v>1.0</v>
      </c>
      <c r="AW55" s="111">
        <v>1.0</v>
      </c>
      <c r="AX55" s="111">
        <v>1.0</v>
      </c>
      <c r="AY55" s="111">
        <v>1.0</v>
      </c>
      <c r="AZ55" s="111">
        <v>1.0</v>
      </c>
      <c r="BA55" s="111">
        <v>1.0</v>
      </c>
      <c r="BB55" s="111">
        <v>1.0</v>
      </c>
      <c r="BC55" s="111">
        <v>1.0</v>
      </c>
      <c r="BD55" s="111">
        <v>1.0</v>
      </c>
      <c r="BE55" s="111">
        <v>1.0</v>
      </c>
      <c r="BF55" s="111">
        <v>1.0</v>
      </c>
      <c r="BG55" s="111">
        <v>1.0</v>
      </c>
      <c r="BH55" s="111">
        <v>1.0</v>
      </c>
      <c r="BI55" s="111">
        <v>1.0</v>
      </c>
      <c r="BJ55" s="111">
        <v>1.0</v>
      </c>
      <c r="BK55" s="111"/>
      <c r="BL55" s="111"/>
      <c r="BM55" s="111"/>
      <c r="BN55" s="111"/>
      <c r="BO55" s="111"/>
      <c r="BP55" s="111"/>
      <c r="BQ55" s="111"/>
      <c r="BR55" s="111"/>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c r="CX55" s="69"/>
      <c r="CY55" s="69"/>
      <c r="CZ55" s="69"/>
      <c r="DA55" s="69"/>
      <c r="DB55" s="69"/>
      <c r="DC55" s="69"/>
      <c r="DD55" s="69"/>
      <c r="DE55" s="69"/>
      <c r="DF55" s="69"/>
      <c r="DG55" s="69"/>
      <c r="DH55" s="69"/>
      <c r="DI55" s="69"/>
      <c r="DJ55" s="69"/>
      <c r="DK55" s="69"/>
      <c r="DL55" s="3"/>
      <c r="DM55" s="3"/>
      <c r="DN55" s="3"/>
      <c r="DO55" s="3"/>
      <c r="DP55" s="3"/>
      <c r="DQ55" s="3"/>
      <c r="DR55" s="3"/>
      <c r="DS55" s="3"/>
      <c r="DT55" s="3"/>
      <c r="DU55" s="3"/>
    </row>
    <row r="56" ht="15.75" customHeight="1">
      <c r="A56" s="99">
        <v>8.0</v>
      </c>
      <c r="B56" s="100" t="s">
        <v>211</v>
      </c>
      <c r="C56" s="101" t="s">
        <v>86</v>
      </c>
      <c r="D56" s="102" t="s">
        <v>51</v>
      </c>
      <c r="E56" s="102">
        <v>4.0</v>
      </c>
      <c r="F56" s="102">
        <v>4.0</v>
      </c>
      <c r="G56" s="6">
        <v>44047.0</v>
      </c>
      <c r="H56" s="6">
        <v>44047.0</v>
      </c>
      <c r="I56" s="111">
        <v>1.0</v>
      </c>
      <c r="J56" s="111">
        <v>1.0</v>
      </c>
      <c r="K56" s="111">
        <v>1.0</v>
      </c>
      <c r="L56" s="111">
        <v>1.0</v>
      </c>
      <c r="M56" s="111">
        <v>1.0</v>
      </c>
      <c r="N56" s="111">
        <v>1.0</v>
      </c>
      <c r="O56" s="111">
        <v>1.0</v>
      </c>
      <c r="P56" s="111">
        <v>1.0</v>
      </c>
      <c r="Q56" s="111">
        <v>1.0</v>
      </c>
      <c r="R56" s="111">
        <v>1.0</v>
      </c>
      <c r="S56" s="111">
        <v>1.0</v>
      </c>
      <c r="T56" s="111">
        <v>1.0</v>
      </c>
      <c r="U56" s="111">
        <v>1.0</v>
      </c>
      <c r="V56" s="111">
        <v>1.0</v>
      </c>
      <c r="W56" s="111">
        <v>1.0</v>
      </c>
      <c r="X56" s="111">
        <v>1.0</v>
      </c>
      <c r="Y56" s="111">
        <v>1.0</v>
      </c>
      <c r="Z56" s="111">
        <v>1.0</v>
      </c>
      <c r="AA56" s="111">
        <v>1.0</v>
      </c>
      <c r="AB56" s="111">
        <v>1.0</v>
      </c>
      <c r="AC56" s="111">
        <v>1.0</v>
      </c>
      <c r="AD56" s="111">
        <v>1.0</v>
      </c>
      <c r="AE56" s="111">
        <v>1.0</v>
      </c>
      <c r="AF56" s="111">
        <v>1.0</v>
      </c>
      <c r="AG56" s="111">
        <v>1.0</v>
      </c>
      <c r="AH56" s="111">
        <v>1.0</v>
      </c>
      <c r="AI56" s="111">
        <v>1.0</v>
      </c>
      <c r="AJ56" s="111">
        <v>1.0</v>
      </c>
      <c r="AK56" s="111">
        <v>1.0</v>
      </c>
      <c r="AL56" s="111">
        <v>1.0</v>
      </c>
      <c r="AM56" s="111">
        <v>1.0</v>
      </c>
      <c r="AN56" s="111">
        <v>1.0</v>
      </c>
      <c r="AO56" s="111">
        <v>1.0</v>
      </c>
      <c r="AP56" s="111">
        <v>1.0</v>
      </c>
      <c r="AQ56" s="111">
        <v>1.0</v>
      </c>
      <c r="AR56" s="111">
        <v>1.0</v>
      </c>
      <c r="AS56" s="111">
        <v>1.0</v>
      </c>
      <c r="AT56" s="111">
        <v>1.0</v>
      </c>
      <c r="AU56" s="111">
        <v>1.0</v>
      </c>
      <c r="AV56" s="111">
        <v>1.0</v>
      </c>
      <c r="AW56" s="111">
        <v>1.0</v>
      </c>
      <c r="AX56" s="111">
        <v>1.0</v>
      </c>
      <c r="AY56" s="111">
        <v>1.0</v>
      </c>
      <c r="AZ56" s="111">
        <v>1.0</v>
      </c>
      <c r="BA56" s="111">
        <v>1.0</v>
      </c>
      <c r="BB56" s="111">
        <v>1.0</v>
      </c>
      <c r="BC56" s="111">
        <v>1.0</v>
      </c>
      <c r="BD56" s="111">
        <v>1.0</v>
      </c>
      <c r="BE56" s="111">
        <v>1.0</v>
      </c>
      <c r="BF56" s="111">
        <v>1.0</v>
      </c>
      <c r="BG56" s="111">
        <v>1.0</v>
      </c>
      <c r="BH56" s="111">
        <v>1.0</v>
      </c>
      <c r="BI56" s="111">
        <v>1.0</v>
      </c>
      <c r="BJ56" s="111">
        <v>1.0</v>
      </c>
      <c r="BK56" s="111">
        <v>1.0</v>
      </c>
      <c r="BL56" s="111">
        <v>1.0</v>
      </c>
      <c r="BM56" s="111">
        <v>1.0</v>
      </c>
      <c r="BN56" s="111">
        <v>1.0</v>
      </c>
      <c r="BO56" s="111"/>
      <c r="BP56" s="111"/>
      <c r="BQ56" s="111"/>
      <c r="BR56" s="111"/>
      <c r="BS56" s="69"/>
      <c r="BT56" s="69"/>
      <c r="BU56" s="69"/>
      <c r="BV56" s="69"/>
      <c r="BW56" s="69"/>
      <c r="BX56" s="69"/>
      <c r="BY56" s="69"/>
      <c r="BZ56" s="69"/>
      <c r="CA56" s="69"/>
      <c r="CB56" s="69"/>
      <c r="CC56" s="69"/>
      <c r="CD56" s="69"/>
      <c r="CE56" s="69"/>
      <c r="CF56" s="69"/>
      <c r="CG56" s="69"/>
      <c r="CH56" s="69"/>
      <c r="CI56" s="69"/>
      <c r="CJ56" s="69"/>
      <c r="CK56" s="69"/>
      <c r="CL56" s="69"/>
      <c r="CM56" s="69"/>
      <c r="CN56" s="69"/>
      <c r="CO56" s="69"/>
      <c r="CP56" s="69"/>
      <c r="CQ56" s="69"/>
      <c r="CR56" s="69"/>
      <c r="CS56" s="69"/>
      <c r="CT56" s="69"/>
      <c r="CU56" s="69"/>
      <c r="CV56" s="69"/>
      <c r="CW56" s="69"/>
      <c r="CX56" s="69"/>
      <c r="CY56" s="69"/>
      <c r="CZ56" s="69"/>
      <c r="DA56" s="69"/>
      <c r="DB56" s="69"/>
      <c r="DC56" s="69"/>
      <c r="DD56" s="69"/>
      <c r="DE56" s="69"/>
      <c r="DF56" s="69"/>
      <c r="DG56" s="69"/>
      <c r="DH56" s="69"/>
      <c r="DI56" s="69"/>
      <c r="DJ56" s="69"/>
      <c r="DK56" s="69"/>
      <c r="DL56" s="3"/>
      <c r="DM56" s="3"/>
      <c r="DN56" s="3"/>
      <c r="DO56" s="3"/>
      <c r="DP56" s="3"/>
      <c r="DQ56" s="3"/>
      <c r="DR56" s="3"/>
      <c r="DS56" s="3"/>
      <c r="DT56" s="3"/>
      <c r="DU56" s="3"/>
    </row>
    <row r="57" ht="15.75" customHeight="1">
      <c r="A57" s="99">
        <v>9.0</v>
      </c>
      <c r="B57" s="100" t="s">
        <v>212</v>
      </c>
      <c r="C57" s="101" t="s">
        <v>86</v>
      </c>
      <c r="D57" s="102" t="s">
        <v>42</v>
      </c>
      <c r="E57" s="105">
        <v>4.0</v>
      </c>
      <c r="F57" s="102">
        <v>4.0</v>
      </c>
      <c r="G57" s="6">
        <v>44047.0</v>
      </c>
      <c r="H57" s="6">
        <v>44047.0</v>
      </c>
      <c r="I57" s="111">
        <v>1.0</v>
      </c>
      <c r="J57" s="111">
        <v>1.0</v>
      </c>
      <c r="K57" s="111">
        <v>1.0</v>
      </c>
      <c r="L57" s="111">
        <v>1.0</v>
      </c>
      <c r="M57" s="111">
        <v>1.0</v>
      </c>
      <c r="N57" s="111">
        <v>1.0</v>
      </c>
      <c r="O57" s="111">
        <v>1.0</v>
      </c>
      <c r="P57" s="111">
        <v>1.0</v>
      </c>
      <c r="Q57" s="111">
        <v>1.0</v>
      </c>
      <c r="R57" s="111">
        <v>1.0</v>
      </c>
      <c r="S57" s="111">
        <v>1.0</v>
      </c>
      <c r="T57" s="111">
        <v>1.0</v>
      </c>
      <c r="U57" s="111">
        <v>1.0</v>
      </c>
      <c r="V57" s="111">
        <v>1.0</v>
      </c>
      <c r="W57" s="111">
        <v>1.0</v>
      </c>
      <c r="X57" s="111">
        <v>1.0</v>
      </c>
      <c r="Y57" s="111">
        <v>1.0</v>
      </c>
      <c r="Z57" s="111">
        <v>1.0</v>
      </c>
      <c r="AA57" s="111">
        <v>1.0</v>
      </c>
      <c r="AB57" s="111">
        <v>1.0</v>
      </c>
      <c r="AC57" s="111">
        <v>1.0</v>
      </c>
      <c r="AD57" s="111">
        <v>1.0</v>
      </c>
      <c r="AE57" s="111">
        <v>1.0</v>
      </c>
      <c r="AF57" s="111">
        <v>1.0</v>
      </c>
      <c r="AG57" s="111">
        <v>1.0</v>
      </c>
      <c r="AH57" s="111">
        <v>1.0</v>
      </c>
      <c r="AI57" s="111">
        <v>1.0</v>
      </c>
      <c r="AJ57" s="111">
        <v>1.0</v>
      </c>
      <c r="AK57" s="111">
        <v>1.0</v>
      </c>
      <c r="AL57" s="111">
        <v>1.0</v>
      </c>
      <c r="AM57" s="111">
        <v>1.0</v>
      </c>
      <c r="AN57" s="111">
        <v>1.0</v>
      </c>
      <c r="AO57" s="111">
        <v>1.0</v>
      </c>
      <c r="AP57" s="111">
        <v>1.0</v>
      </c>
      <c r="AQ57" s="111">
        <v>1.0</v>
      </c>
      <c r="AR57" s="111">
        <v>1.0</v>
      </c>
      <c r="AS57" s="111">
        <v>1.0</v>
      </c>
      <c r="AT57" s="111">
        <v>1.0</v>
      </c>
      <c r="AU57" s="111">
        <v>1.0</v>
      </c>
      <c r="AV57" s="111">
        <v>1.0</v>
      </c>
      <c r="AW57" s="111">
        <v>1.0</v>
      </c>
      <c r="AX57" s="111">
        <v>1.0</v>
      </c>
      <c r="AY57" s="111">
        <v>1.0</v>
      </c>
      <c r="AZ57" s="111">
        <v>1.0</v>
      </c>
      <c r="BA57" s="111">
        <v>1.0</v>
      </c>
      <c r="BB57" s="111">
        <v>1.0</v>
      </c>
      <c r="BC57" s="111">
        <v>1.0</v>
      </c>
      <c r="BD57" s="111">
        <v>1.0</v>
      </c>
      <c r="BE57" s="111">
        <v>1.0</v>
      </c>
      <c r="BF57" s="111">
        <v>1.0</v>
      </c>
      <c r="BG57" s="111">
        <v>1.0</v>
      </c>
      <c r="BH57" s="111">
        <v>1.0</v>
      </c>
      <c r="BI57" s="111">
        <v>1.0</v>
      </c>
      <c r="BJ57" s="111">
        <v>1.0</v>
      </c>
      <c r="BK57" s="111">
        <v>1.0</v>
      </c>
      <c r="BL57" s="111">
        <v>1.0</v>
      </c>
      <c r="BM57" s="111">
        <v>1.0</v>
      </c>
      <c r="BN57" s="111"/>
      <c r="BO57" s="111"/>
      <c r="BP57" s="111"/>
      <c r="BQ57" s="111"/>
      <c r="BR57" s="111"/>
      <c r="BS57" s="69"/>
      <c r="BT57" s="69"/>
      <c r="BU57" s="69"/>
      <c r="BV57" s="69"/>
      <c r="BW57" s="69"/>
      <c r="BX57" s="69"/>
      <c r="BY57" s="69"/>
      <c r="BZ57" s="69"/>
      <c r="CA57" s="69"/>
      <c r="CB57" s="69"/>
      <c r="CC57" s="69"/>
      <c r="CD57" s="69"/>
      <c r="CE57" s="69"/>
      <c r="CF57" s="69"/>
      <c r="CG57" s="69"/>
      <c r="CH57" s="69"/>
      <c r="CI57" s="69"/>
      <c r="CJ57" s="69"/>
      <c r="CK57" s="69"/>
      <c r="CL57" s="69"/>
      <c r="CM57" s="69"/>
      <c r="CN57" s="69"/>
      <c r="CO57" s="69"/>
      <c r="CP57" s="69"/>
      <c r="CQ57" s="69"/>
      <c r="CR57" s="69"/>
      <c r="CS57" s="69"/>
      <c r="CT57" s="69"/>
      <c r="CU57" s="69"/>
      <c r="CV57" s="69"/>
      <c r="CW57" s="69"/>
      <c r="CX57" s="69"/>
      <c r="CY57" s="69"/>
      <c r="CZ57" s="69"/>
      <c r="DA57" s="69"/>
      <c r="DB57" s="69"/>
      <c r="DC57" s="69"/>
      <c r="DD57" s="69"/>
      <c r="DE57" s="69"/>
      <c r="DF57" s="69"/>
      <c r="DG57" s="69"/>
      <c r="DH57" s="69"/>
      <c r="DI57" s="69"/>
      <c r="DJ57" s="69"/>
      <c r="DK57" s="69"/>
      <c r="DL57" s="3"/>
      <c r="DM57" s="3"/>
      <c r="DN57" s="3"/>
      <c r="DO57" s="3"/>
      <c r="DP57" s="3"/>
      <c r="DQ57" s="3"/>
      <c r="DR57" s="3"/>
      <c r="DS57" s="3"/>
      <c r="DT57" s="3"/>
      <c r="DU57" s="3"/>
    </row>
    <row r="58" ht="15.75" customHeight="1">
      <c r="A58" s="99">
        <v>10.0</v>
      </c>
      <c r="B58" s="100" t="s">
        <v>213</v>
      </c>
      <c r="C58" s="101" t="s">
        <v>86</v>
      </c>
      <c r="D58" s="102" t="s">
        <v>55</v>
      </c>
      <c r="E58" s="105">
        <v>4.0</v>
      </c>
      <c r="F58" s="102">
        <v>4.0</v>
      </c>
      <c r="G58" s="6">
        <v>44047.0</v>
      </c>
      <c r="H58" s="6">
        <v>44047.0</v>
      </c>
      <c r="I58" s="111">
        <v>1.0</v>
      </c>
      <c r="J58" s="111">
        <v>1.0</v>
      </c>
      <c r="K58" s="111">
        <v>1.0</v>
      </c>
      <c r="L58" s="111">
        <v>1.0</v>
      </c>
      <c r="M58" s="111">
        <v>1.0</v>
      </c>
      <c r="N58" s="111">
        <v>1.0</v>
      </c>
      <c r="O58" s="111">
        <v>1.0</v>
      </c>
      <c r="P58" s="111">
        <v>1.0</v>
      </c>
      <c r="Q58" s="111">
        <v>1.0</v>
      </c>
      <c r="R58" s="111">
        <v>1.0</v>
      </c>
      <c r="S58" s="111">
        <v>1.0</v>
      </c>
      <c r="T58" s="111">
        <v>1.0</v>
      </c>
      <c r="U58" s="111">
        <v>1.0</v>
      </c>
      <c r="V58" s="111">
        <v>1.0</v>
      </c>
      <c r="W58" s="111">
        <v>1.0</v>
      </c>
      <c r="X58" s="111">
        <v>1.0</v>
      </c>
      <c r="Y58" s="111">
        <v>1.0</v>
      </c>
      <c r="Z58" s="111">
        <v>1.0</v>
      </c>
      <c r="AA58" s="111">
        <v>1.0</v>
      </c>
      <c r="AB58" s="111">
        <v>1.0</v>
      </c>
      <c r="AC58" s="111">
        <v>1.0</v>
      </c>
      <c r="AD58" s="111">
        <v>1.0</v>
      </c>
      <c r="AE58" s="111">
        <v>1.0</v>
      </c>
      <c r="AF58" s="111">
        <v>1.0</v>
      </c>
      <c r="AG58" s="111">
        <v>1.0</v>
      </c>
      <c r="AH58" s="111">
        <v>1.0</v>
      </c>
      <c r="AI58" s="111">
        <v>1.0</v>
      </c>
      <c r="AJ58" s="111">
        <v>1.0</v>
      </c>
      <c r="AK58" s="111">
        <v>1.0</v>
      </c>
      <c r="AL58" s="111">
        <v>1.0</v>
      </c>
      <c r="AM58" s="111">
        <v>1.0</v>
      </c>
      <c r="AN58" s="111">
        <v>1.0</v>
      </c>
      <c r="AO58" s="111">
        <v>1.0</v>
      </c>
      <c r="AP58" s="111">
        <v>1.0</v>
      </c>
      <c r="AQ58" s="111">
        <v>1.0</v>
      </c>
      <c r="AR58" s="111">
        <v>1.0</v>
      </c>
      <c r="AS58" s="111">
        <v>1.0</v>
      </c>
      <c r="AT58" s="111">
        <v>1.0</v>
      </c>
      <c r="AU58" s="111">
        <v>1.0</v>
      </c>
      <c r="AV58" s="111">
        <v>1.0</v>
      </c>
      <c r="AW58" s="111">
        <v>1.0</v>
      </c>
      <c r="AX58" s="111">
        <v>1.0</v>
      </c>
      <c r="AY58" s="111">
        <v>1.0</v>
      </c>
      <c r="AZ58" s="111">
        <v>1.0</v>
      </c>
      <c r="BA58" s="111">
        <v>1.0</v>
      </c>
      <c r="BB58" s="111">
        <v>1.0</v>
      </c>
      <c r="BC58" s="111">
        <v>1.0</v>
      </c>
      <c r="BD58" s="111">
        <v>1.0</v>
      </c>
      <c r="BE58" s="111">
        <v>1.0</v>
      </c>
      <c r="BF58" s="111">
        <v>1.0</v>
      </c>
      <c r="BG58" s="111">
        <v>1.0</v>
      </c>
      <c r="BH58" s="111">
        <v>1.0</v>
      </c>
      <c r="BI58" s="111">
        <v>1.0</v>
      </c>
      <c r="BJ58" s="111">
        <v>1.0</v>
      </c>
      <c r="BK58" s="111">
        <v>1.0</v>
      </c>
      <c r="BL58" s="111">
        <v>1.0</v>
      </c>
      <c r="BM58" s="111">
        <v>1.0</v>
      </c>
      <c r="BN58" s="111"/>
      <c r="BO58" s="111"/>
      <c r="BP58" s="111"/>
      <c r="BQ58" s="111"/>
      <c r="BR58" s="111"/>
      <c r="BS58" s="69"/>
      <c r="BT58" s="69"/>
      <c r="BU58" s="69"/>
      <c r="BV58" s="69"/>
      <c r="BW58" s="69"/>
      <c r="BX58" s="69"/>
      <c r="BY58" s="69"/>
      <c r="BZ58" s="69"/>
      <c r="CA58" s="69"/>
      <c r="CB58" s="69"/>
      <c r="CC58" s="69"/>
      <c r="CD58" s="69"/>
      <c r="CE58" s="69"/>
      <c r="CF58" s="69"/>
      <c r="CG58" s="69"/>
      <c r="CH58" s="69"/>
      <c r="CI58" s="69"/>
      <c r="CJ58" s="69"/>
      <c r="CK58" s="69"/>
      <c r="CL58" s="69"/>
      <c r="CM58" s="69"/>
      <c r="CN58" s="69"/>
      <c r="CO58" s="69"/>
      <c r="CP58" s="69"/>
      <c r="CQ58" s="69"/>
      <c r="CR58" s="69"/>
      <c r="CS58" s="69"/>
      <c r="CT58" s="69"/>
      <c r="CU58" s="69"/>
      <c r="CV58" s="69"/>
      <c r="CW58" s="69"/>
      <c r="CX58" s="69"/>
      <c r="CY58" s="69"/>
      <c r="CZ58" s="69"/>
      <c r="DA58" s="69"/>
      <c r="DB58" s="69"/>
      <c r="DC58" s="69"/>
      <c r="DD58" s="69"/>
      <c r="DE58" s="69"/>
      <c r="DF58" s="69"/>
      <c r="DG58" s="69"/>
      <c r="DH58" s="69"/>
      <c r="DI58" s="69"/>
      <c r="DJ58" s="69"/>
      <c r="DK58" s="69"/>
      <c r="DL58" s="3"/>
      <c r="DM58" s="3"/>
      <c r="DN58" s="3"/>
      <c r="DO58" s="3"/>
      <c r="DP58" s="3"/>
      <c r="DQ58" s="3"/>
      <c r="DR58" s="3"/>
      <c r="DS58" s="3"/>
      <c r="DT58" s="3"/>
      <c r="DU58" s="3"/>
    </row>
    <row r="59" ht="15.75" customHeight="1">
      <c r="A59" s="99">
        <v>11.0</v>
      </c>
      <c r="B59" s="100" t="s">
        <v>214</v>
      </c>
      <c r="C59" s="101" t="s">
        <v>86</v>
      </c>
      <c r="D59" s="102" t="s">
        <v>51</v>
      </c>
      <c r="E59" s="105">
        <v>4.0</v>
      </c>
      <c r="F59" s="102">
        <v>4.0</v>
      </c>
      <c r="G59" s="6">
        <v>44048.0</v>
      </c>
      <c r="H59" s="6">
        <v>44048.0</v>
      </c>
      <c r="I59" s="111">
        <v>1.0</v>
      </c>
      <c r="J59" s="111">
        <v>1.0</v>
      </c>
      <c r="K59" s="111">
        <v>1.0</v>
      </c>
      <c r="L59" s="111">
        <v>1.0</v>
      </c>
      <c r="M59" s="111">
        <v>1.0</v>
      </c>
      <c r="N59" s="111">
        <v>1.0</v>
      </c>
      <c r="O59" s="111">
        <v>1.0</v>
      </c>
      <c r="P59" s="111">
        <v>1.0</v>
      </c>
      <c r="Q59" s="111">
        <v>1.0</v>
      </c>
      <c r="R59" s="111">
        <v>1.0</v>
      </c>
      <c r="S59" s="111">
        <v>1.0</v>
      </c>
      <c r="T59" s="111">
        <v>1.0</v>
      </c>
      <c r="U59" s="111">
        <v>1.0</v>
      </c>
      <c r="V59" s="111">
        <v>1.0</v>
      </c>
      <c r="W59" s="111">
        <v>1.0</v>
      </c>
      <c r="X59" s="111">
        <v>1.0</v>
      </c>
      <c r="Y59" s="111">
        <v>1.0</v>
      </c>
      <c r="Z59" s="111">
        <v>1.0</v>
      </c>
      <c r="AA59" s="111">
        <v>1.0</v>
      </c>
      <c r="AB59" s="111">
        <v>1.0</v>
      </c>
      <c r="AC59" s="111">
        <v>1.0</v>
      </c>
      <c r="AD59" s="111">
        <v>1.0</v>
      </c>
      <c r="AE59" s="111">
        <v>1.0</v>
      </c>
      <c r="AF59" s="111">
        <v>1.0</v>
      </c>
      <c r="AG59" s="111">
        <v>1.0</v>
      </c>
      <c r="AH59" s="111">
        <v>1.0</v>
      </c>
      <c r="AI59" s="111">
        <v>1.0</v>
      </c>
      <c r="AJ59" s="111">
        <v>1.0</v>
      </c>
      <c r="AK59" s="111">
        <v>1.0</v>
      </c>
      <c r="AL59" s="111">
        <v>1.0</v>
      </c>
      <c r="AM59" s="111">
        <v>1.0</v>
      </c>
      <c r="AN59" s="111">
        <v>1.0</v>
      </c>
      <c r="AO59" s="111">
        <v>1.0</v>
      </c>
      <c r="AP59" s="111">
        <v>1.0</v>
      </c>
      <c r="AQ59" s="111">
        <v>1.0</v>
      </c>
      <c r="AR59" s="111">
        <v>1.0</v>
      </c>
      <c r="AS59" s="111">
        <v>1.0</v>
      </c>
      <c r="AT59" s="111">
        <v>1.0</v>
      </c>
      <c r="AU59" s="111">
        <v>1.0</v>
      </c>
      <c r="AV59" s="111">
        <v>1.0</v>
      </c>
      <c r="AW59" s="111">
        <v>1.0</v>
      </c>
      <c r="AX59" s="111">
        <v>1.0</v>
      </c>
      <c r="AY59" s="111">
        <v>1.0</v>
      </c>
      <c r="AZ59" s="111">
        <v>1.0</v>
      </c>
      <c r="BA59" s="111">
        <v>1.0</v>
      </c>
      <c r="BB59" s="111">
        <v>1.0</v>
      </c>
      <c r="BC59" s="111">
        <v>1.0</v>
      </c>
      <c r="BD59" s="111">
        <v>1.0</v>
      </c>
      <c r="BE59" s="111">
        <v>1.0</v>
      </c>
      <c r="BF59" s="111">
        <v>1.0</v>
      </c>
      <c r="BG59" s="111">
        <v>1.0</v>
      </c>
      <c r="BH59" s="111">
        <v>1.0</v>
      </c>
      <c r="BI59" s="111">
        <v>1.0</v>
      </c>
      <c r="BJ59" s="111">
        <v>1.0</v>
      </c>
      <c r="BK59" s="111">
        <v>1.0</v>
      </c>
      <c r="BL59" s="111">
        <v>1.0</v>
      </c>
      <c r="BM59" s="111">
        <v>1.0</v>
      </c>
      <c r="BN59" s="111"/>
      <c r="BO59" s="111"/>
      <c r="BP59" s="111"/>
      <c r="BQ59" s="111"/>
      <c r="BR59" s="111"/>
      <c r="BS59" s="69"/>
      <c r="BT59" s="69"/>
      <c r="BU59" s="69"/>
      <c r="BV59" s="69"/>
      <c r="BW59" s="69"/>
      <c r="BX59" s="69"/>
      <c r="BY59" s="69"/>
      <c r="BZ59" s="69"/>
      <c r="CA59" s="69"/>
      <c r="CB59" s="69"/>
      <c r="CC59" s="69"/>
      <c r="CD59" s="69"/>
      <c r="CE59" s="69"/>
      <c r="CF59" s="69"/>
      <c r="CG59" s="69"/>
      <c r="CH59" s="69"/>
      <c r="CI59" s="69"/>
      <c r="CJ59" s="69"/>
      <c r="CK59" s="69"/>
      <c r="CL59" s="69"/>
      <c r="CM59" s="69"/>
      <c r="CN59" s="69"/>
      <c r="CO59" s="69"/>
      <c r="CP59" s="69"/>
      <c r="CQ59" s="69"/>
      <c r="CR59" s="69"/>
      <c r="CS59" s="69"/>
      <c r="CT59" s="69"/>
      <c r="CU59" s="69"/>
      <c r="CV59" s="69"/>
      <c r="CW59" s="69"/>
      <c r="CX59" s="69"/>
      <c r="CY59" s="69"/>
      <c r="CZ59" s="69"/>
      <c r="DA59" s="69"/>
      <c r="DB59" s="69"/>
      <c r="DC59" s="69"/>
      <c r="DD59" s="69"/>
      <c r="DE59" s="69"/>
      <c r="DF59" s="69"/>
      <c r="DG59" s="69"/>
      <c r="DH59" s="69"/>
      <c r="DI59" s="69"/>
      <c r="DJ59" s="69"/>
      <c r="DK59" s="69"/>
      <c r="DL59" s="3"/>
      <c r="DM59" s="3"/>
      <c r="DN59" s="3"/>
      <c r="DO59" s="3"/>
      <c r="DP59" s="3"/>
      <c r="DQ59" s="3"/>
      <c r="DR59" s="3"/>
      <c r="DS59" s="3"/>
      <c r="DT59" s="3"/>
      <c r="DU59" s="3"/>
    </row>
    <row r="60" ht="15.75" customHeight="1">
      <c r="A60" s="99">
        <v>12.0</v>
      </c>
      <c r="B60" s="100" t="s">
        <v>215</v>
      </c>
      <c r="C60" s="101" t="s">
        <v>86</v>
      </c>
      <c r="D60" s="102" t="s">
        <v>51</v>
      </c>
      <c r="E60" s="105">
        <v>8.0</v>
      </c>
      <c r="F60" s="102">
        <v>9.0</v>
      </c>
      <c r="G60" s="6">
        <v>44048.0</v>
      </c>
      <c r="H60" s="6">
        <v>44048.0</v>
      </c>
      <c r="I60" s="111">
        <v>1.0</v>
      </c>
      <c r="J60" s="111">
        <v>1.0</v>
      </c>
      <c r="K60" s="111">
        <v>1.0</v>
      </c>
      <c r="L60" s="111">
        <v>1.0</v>
      </c>
      <c r="M60" s="111">
        <v>1.0</v>
      </c>
      <c r="N60" s="111">
        <v>1.0</v>
      </c>
      <c r="O60" s="111">
        <v>1.0</v>
      </c>
      <c r="P60" s="111">
        <v>1.0</v>
      </c>
      <c r="Q60" s="111">
        <v>1.0</v>
      </c>
      <c r="R60" s="111">
        <v>1.0</v>
      </c>
      <c r="S60" s="111">
        <v>1.0</v>
      </c>
      <c r="T60" s="111">
        <v>1.0</v>
      </c>
      <c r="U60" s="111">
        <v>1.0</v>
      </c>
      <c r="V60" s="111">
        <v>1.0</v>
      </c>
      <c r="W60" s="111">
        <v>1.0</v>
      </c>
      <c r="X60" s="111">
        <v>1.0</v>
      </c>
      <c r="Y60" s="111">
        <v>1.0</v>
      </c>
      <c r="Z60" s="111">
        <v>1.0</v>
      </c>
      <c r="AA60" s="111">
        <v>1.0</v>
      </c>
      <c r="AB60" s="111">
        <v>1.0</v>
      </c>
      <c r="AC60" s="111">
        <v>1.0</v>
      </c>
      <c r="AD60" s="111">
        <v>1.0</v>
      </c>
      <c r="AE60" s="111">
        <v>1.0</v>
      </c>
      <c r="AF60" s="111">
        <v>1.0</v>
      </c>
      <c r="AG60" s="111">
        <v>1.0</v>
      </c>
      <c r="AH60" s="111">
        <v>1.0</v>
      </c>
      <c r="AI60" s="111">
        <v>1.0</v>
      </c>
      <c r="AJ60" s="111">
        <v>1.0</v>
      </c>
      <c r="AK60" s="111">
        <v>1.0</v>
      </c>
      <c r="AL60" s="111">
        <v>1.0</v>
      </c>
      <c r="AM60" s="111">
        <v>1.0</v>
      </c>
      <c r="AN60" s="111">
        <v>1.0</v>
      </c>
      <c r="AO60" s="111">
        <v>1.0</v>
      </c>
      <c r="AP60" s="111">
        <v>1.0</v>
      </c>
      <c r="AQ60" s="111">
        <v>1.0</v>
      </c>
      <c r="AR60" s="111">
        <v>1.0</v>
      </c>
      <c r="AS60" s="111">
        <v>1.0</v>
      </c>
      <c r="AT60" s="111">
        <v>1.0</v>
      </c>
      <c r="AU60" s="111">
        <v>1.0</v>
      </c>
      <c r="AV60" s="111">
        <v>1.0</v>
      </c>
      <c r="AW60" s="111">
        <v>1.0</v>
      </c>
      <c r="AX60" s="111">
        <v>1.0</v>
      </c>
      <c r="AY60" s="111">
        <v>1.0</v>
      </c>
      <c r="AZ60" s="111">
        <v>1.0</v>
      </c>
      <c r="BA60" s="111">
        <v>1.0</v>
      </c>
      <c r="BB60" s="111">
        <v>1.0</v>
      </c>
      <c r="BC60" s="111">
        <v>1.0</v>
      </c>
      <c r="BD60" s="111">
        <v>1.0</v>
      </c>
      <c r="BE60" s="111">
        <v>1.0</v>
      </c>
      <c r="BF60" s="111">
        <v>1.0</v>
      </c>
      <c r="BG60" s="111">
        <v>1.0</v>
      </c>
      <c r="BH60" s="111">
        <v>1.0</v>
      </c>
      <c r="BI60" s="111">
        <v>1.0</v>
      </c>
      <c r="BJ60" s="111">
        <v>1.0</v>
      </c>
      <c r="BK60" s="111">
        <v>1.0</v>
      </c>
      <c r="BL60" s="111">
        <v>1.0</v>
      </c>
      <c r="BM60" s="111">
        <v>1.0</v>
      </c>
      <c r="BN60" s="111"/>
      <c r="BO60" s="111"/>
      <c r="BP60" s="111"/>
      <c r="BQ60" s="111"/>
      <c r="BR60" s="111"/>
      <c r="BS60" s="69"/>
      <c r="BT60" s="69"/>
      <c r="BU60" s="69"/>
      <c r="BV60" s="69"/>
      <c r="BW60" s="69"/>
      <c r="BX60" s="69"/>
      <c r="BY60" s="69"/>
      <c r="BZ60" s="69"/>
      <c r="CA60" s="69"/>
      <c r="CB60" s="69"/>
      <c r="CC60" s="69"/>
      <c r="CD60" s="69"/>
      <c r="CE60" s="69"/>
      <c r="CF60" s="69"/>
      <c r="CG60" s="69"/>
      <c r="CH60" s="69"/>
      <c r="CI60" s="69"/>
      <c r="CJ60" s="69"/>
      <c r="CK60" s="69"/>
      <c r="CL60" s="69"/>
      <c r="CM60" s="69"/>
      <c r="CN60" s="69"/>
      <c r="CO60" s="69"/>
      <c r="CP60" s="69"/>
      <c r="CQ60" s="69"/>
      <c r="CR60" s="69"/>
      <c r="CS60" s="69"/>
      <c r="CT60" s="69"/>
      <c r="CU60" s="69"/>
      <c r="CV60" s="69"/>
      <c r="CW60" s="69"/>
      <c r="CX60" s="69"/>
      <c r="CY60" s="69"/>
      <c r="CZ60" s="69"/>
      <c r="DA60" s="69"/>
      <c r="DB60" s="69"/>
      <c r="DC60" s="69"/>
      <c r="DD60" s="69"/>
      <c r="DE60" s="69"/>
      <c r="DF60" s="69"/>
      <c r="DG60" s="69"/>
      <c r="DH60" s="69"/>
      <c r="DI60" s="69"/>
      <c r="DJ60" s="69"/>
      <c r="DK60" s="69"/>
      <c r="DL60" s="3"/>
      <c r="DM60" s="3"/>
      <c r="DN60" s="3"/>
      <c r="DO60" s="3"/>
      <c r="DP60" s="3"/>
      <c r="DQ60" s="3"/>
      <c r="DR60" s="3"/>
      <c r="DS60" s="3"/>
      <c r="DT60" s="3"/>
      <c r="DU60" s="3"/>
    </row>
    <row r="61" ht="15.75" customHeight="1">
      <c r="A61" s="99">
        <v>13.0</v>
      </c>
      <c r="B61" s="100" t="s">
        <v>216</v>
      </c>
      <c r="C61" s="101" t="s">
        <v>86</v>
      </c>
      <c r="D61" s="102" t="s">
        <v>42</v>
      </c>
      <c r="E61" s="105">
        <v>8.0</v>
      </c>
      <c r="F61" s="102">
        <v>8.0</v>
      </c>
      <c r="G61" s="6">
        <v>44047.0</v>
      </c>
      <c r="H61" s="6">
        <v>44047.0</v>
      </c>
      <c r="I61" s="111">
        <v>1.0</v>
      </c>
      <c r="J61" s="111">
        <v>1.0</v>
      </c>
      <c r="K61" s="111">
        <v>1.0</v>
      </c>
      <c r="L61" s="111">
        <v>1.0</v>
      </c>
      <c r="M61" s="111">
        <v>1.0</v>
      </c>
      <c r="N61" s="111">
        <v>1.0</v>
      </c>
      <c r="O61" s="111">
        <v>1.0</v>
      </c>
      <c r="P61" s="111">
        <v>1.0</v>
      </c>
      <c r="Q61" s="111">
        <v>1.0</v>
      </c>
      <c r="R61" s="111">
        <v>1.0</v>
      </c>
      <c r="S61" s="111">
        <v>1.0</v>
      </c>
      <c r="T61" s="111">
        <v>1.0</v>
      </c>
      <c r="U61" s="111">
        <v>1.0</v>
      </c>
      <c r="V61" s="111">
        <v>1.0</v>
      </c>
      <c r="W61" s="111">
        <v>1.0</v>
      </c>
      <c r="X61" s="111">
        <v>1.0</v>
      </c>
      <c r="Y61" s="111">
        <v>1.0</v>
      </c>
      <c r="Z61" s="111">
        <v>1.0</v>
      </c>
      <c r="AA61" s="111">
        <v>1.0</v>
      </c>
      <c r="AB61" s="111">
        <v>1.0</v>
      </c>
      <c r="AC61" s="111">
        <v>1.0</v>
      </c>
      <c r="AD61" s="111">
        <v>1.0</v>
      </c>
      <c r="AE61" s="111">
        <v>1.0</v>
      </c>
      <c r="AF61" s="111">
        <v>1.0</v>
      </c>
      <c r="AG61" s="111">
        <v>1.0</v>
      </c>
      <c r="AH61" s="111">
        <v>1.0</v>
      </c>
      <c r="AI61" s="111">
        <v>1.0</v>
      </c>
      <c r="AJ61" s="111">
        <v>1.0</v>
      </c>
      <c r="AK61" s="111">
        <v>1.0</v>
      </c>
      <c r="AL61" s="111">
        <v>1.0</v>
      </c>
      <c r="AM61" s="111">
        <v>1.0</v>
      </c>
      <c r="AN61" s="111">
        <v>1.0</v>
      </c>
      <c r="AO61" s="111">
        <v>1.0</v>
      </c>
      <c r="AP61" s="111">
        <v>1.0</v>
      </c>
      <c r="AQ61" s="111">
        <v>1.0</v>
      </c>
      <c r="AR61" s="111">
        <v>1.0</v>
      </c>
      <c r="AS61" s="111">
        <v>1.0</v>
      </c>
      <c r="AT61" s="111">
        <v>1.0</v>
      </c>
      <c r="AU61" s="111">
        <v>1.0</v>
      </c>
      <c r="AV61" s="111">
        <v>1.0</v>
      </c>
      <c r="AW61" s="111">
        <v>1.0</v>
      </c>
      <c r="AX61" s="111">
        <v>1.0</v>
      </c>
      <c r="AY61" s="111">
        <v>1.0</v>
      </c>
      <c r="AZ61" s="111">
        <v>1.0</v>
      </c>
      <c r="BA61" s="111">
        <v>1.0</v>
      </c>
      <c r="BB61" s="111">
        <v>1.0</v>
      </c>
      <c r="BC61" s="111">
        <v>1.0</v>
      </c>
      <c r="BD61" s="111">
        <v>1.0</v>
      </c>
      <c r="BE61" s="111">
        <v>1.0</v>
      </c>
      <c r="BF61" s="111">
        <v>1.0</v>
      </c>
      <c r="BG61" s="111">
        <v>1.0</v>
      </c>
      <c r="BH61" s="111">
        <v>1.0</v>
      </c>
      <c r="BI61" s="111">
        <v>1.0</v>
      </c>
      <c r="BJ61" s="111">
        <v>1.0</v>
      </c>
      <c r="BK61" s="111">
        <v>1.0</v>
      </c>
      <c r="BL61" s="111">
        <v>1.0</v>
      </c>
      <c r="BM61" s="111">
        <v>1.0</v>
      </c>
      <c r="BN61" s="111"/>
      <c r="BO61" s="111"/>
      <c r="BP61" s="111"/>
      <c r="BQ61" s="111"/>
      <c r="BR61" s="111"/>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c r="CS61" s="69"/>
      <c r="CT61" s="69"/>
      <c r="CU61" s="69"/>
      <c r="CV61" s="69"/>
      <c r="CW61" s="69"/>
      <c r="CX61" s="69"/>
      <c r="CY61" s="69"/>
      <c r="CZ61" s="69"/>
      <c r="DA61" s="69"/>
      <c r="DB61" s="69"/>
      <c r="DC61" s="69"/>
      <c r="DD61" s="69"/>
      <c r="DE61" s="69"/>
      <c r="DF61" s="69"/>
      <c r="DG61" s="69"/>
      <c r="DH61" s="69"/>
      <c r="DI61" s="69"/>
      <c r="DJ61" s="69"/>
      <c r="DK61" s="69"/>
      <c r="DL61" s="3"/>
      <c r="DM61" s="3"/>
      <c r="DN61" s="3"/>
      <c r="DO61" s="3"/>
      <c r="DP61" s="3"/>
      <c r="DQ61" s="3"/>
      <c r="DR61" s="3"/>
      <c r="DS61" s="3"/>
      <c r="DT61" s="3"/>
      <c r="DU61" s="3"/>
    </row>
    <row r="62" ht="15.75" customHeight="1">
      <c r="A62" s="99">
        <v>14.0</v>
      </c>
      <c r="B62" s="100" t="s">
        <v>217</v>
      </c>
      <c r="C62" s="101" t="s">
        <v>86</v>
      </c>
      <c r="D62" s="102" t="s">
        <v>55</v>
      </c>
      <c r="E62" s="102">
        <v>8.0</v>
      </c>
      <c r="F62" s="102">
        <v>8.0</v>
      </c>
      <c r="G62" s="6">
        <v>44047.0</v>
      </c>
      <c r="H62" s="6">
        <v>44047.0</v>
      </c>
      <c r="I62" s="111">
        <v>1.0</v>
      </c>
      <c r="J62" s="111">
        <v>1.0</v>
      </c>
      <c r="K62" s="111">
        <v>1.0</v>
      </c>
      <c r="L62" s="111">
        <v>1.0</v>
      </c>
      <c r="M62" s="111">
        <v>1.0</v>
      </c>
      <c r="N62" s="111">
        <v>1.0</v>
      </c>
      <c r="O62" s="111">
        <v>1.0</v>
      </c>
      <c r="P62" s="111">
        <v>1.0</v>
      </c>
      <c r="Q62" s="111">
        <v>1.0</v>
      </c>
      <c r="R62" s="111">
        <v>1.0</v>
      </c>
      <c r="S62" s="111">
        <v>1.0</v>
      </c>
      <c r="T62" s="111">
        <v>1.0</v>
      </c>
      <c r="U62" s="111">
        <v>1.0</v>
      </c>
      <c r="V62" s="111">
        <v>1.0</v>
      </c>
      <c r="W62" s="111">
        <v>1.0</v>
      </c>
      <c r="X62" s="111">
        <v>1.0</v>
      </c>
      <c r="Y62" s="111">
        <v>1.0</v>
      </c>
      <c r="Z62" s="111">
        <v>1.0</v>
      </c>
      <c r="AA62" s="111">
        <v>1.0</v>
      </c>
      <c r="AB62" s="111">
        <v>1.0</v>
      </c>
      <c r="AC62" s="111">
        <v>1.0</v>
      </c>
      <c r="AD62" s="111">
        <v>1.0</v>
      </c>
      <c r="AE62" s="111">
        <v>1.0</v>
      </c>
      <c r="AF62" s="111">
        <v>1.0</v>
      </c>
      <c r="AG62" s="111">
        <v>1.0</v>
      </c>
      <c r="AH62" s="111">
        <v>1.0</v>
      </c>
      <c r="AI62" s="111">
        <v>1.0</v>
      </c>
      <c r="AJ62" s="111">
        <v>1.0</v>
      </c>
      <c r="AK62" s="111">
        <v>1.0</v>
      </c>
      <c r="AL62" s="111">
        <v>1.0</v>
      </c>
      <c r="AM62" s="111">
        <v>1.0</v>
      </c>
      <c r="AN62" s="111">
        <v>1.0</v>
      </c>
      <c r="AO62" s="111">
        <v>1.0</v>
      </c>
      <c r="AP62" s="111">
        <v>1.0</v>
      </c>
      <c r="AQ62" s="111">
        <v>1.0</v>
      </c>
      <c r="AR62" s="111">
        <v>1.0</v>
      </c>
      <c r="AS62" s="111">
        <v>1.0</v>
      </c>
      <c r="AT62" s="111">
        <v>1.0</v>
      </c>
      <c r="AU62" s="111">
        <v>1.0</v>
      </c>
      <c r="AV62" s="111">
        <v>1.0</v>
      </c>
      <c r="AW62" s="111">
        <v>1.0</v>
      </c>
      <c r="AX62" s="111">
        <v>1.0</v>
      </c>
      <c r="AY62" s="111">
        <v>1.0</v>
      </c>
      <c r="AZ62" s="111">
        <v>1.0</v>
      </c>
      <c r="BA62" s="111">
        <v>1.0</v>
      </c>
      <c r="BB62" s="111">
        <v>1.0</v>
      </c>
      <c r="BC62" s="111">
        <v>1.0</v>
      </c>
      <c r="BD62" s="111">
        <v>1.0</v>
      </c>
      <c r="BE62" s="111">
        <v>1.0</v>
      </c>
      <c r="BF62" s="111">
        <v>1.0</v>
      </c>
      <c r="BG62" s="111">
        <v>1.0</v>
      </c>
      <c r="BH62" s="111">
        <v>1.0</v>
      </c>
      <c r="BI62" s="111">
        <v>1.0</v>
      </c>
      <c r="BJ62" s="111">
        <v>1.0</v>
      </c>
      <c r="BK62" s="111">
        <v>1.0</v>
      </c>
      <c r="BL62" s="111">
        <v>1.0</v>
      </c>
      <c r="BM62" s="111">
        <v>1.0</v>
      </c>
      <c r="BN62" s="111"/>
      <c r="BO62" s="111"/>
      <c r="BP62" s="111"/>
      <c r="BQ62" s="111"/>
      <c r="BR62" s="111"/>
      <c r="BS62" s="69"/>
      <c r="BT62" s="69"/>
      <c r="BU62" s="69"/>
      <c r="BV62" s="69"/>
      <c r="BW62" s="69"/>
      <c r="BX62" s="69"/>
      <c r="BY62" s="69"/>
      <c r="BZ62" s="69"/>
      <c r="CA62" s="69"/>
      <c r="CB62" s="69"/>
      <c r="CC62" s="69"/>
      <c r="CD62" s="69"/>
      <c r="CE62" s="69"/>
      <c r="CF62" s="69"/>
      <c r="CG62" s="69"/>
      <c r="CH62" s="69"/>
      <c r="CI62" s="69"/>
      <c r="CJ62" s="69"/>
      <c r="CK62" s="69"/>
      <c r="CL62" s="69"/>
      <c r="CM62" s="69"/>
      <c r="CN62" s="69"/>
      <c r="CO62" s="69"/>
      <c r="CP62" s="69"/>
      <c r="CQ62" s="69"/>
      <c r="CR62" s="69"/>
      <c r="CS62" s="69"/>
      <c r="CT62" s="69"/>
      <c r="CU62" s="69"/>
      <c r="CV62" s="69"/>
      <c r="CW62" s="69"/>
      <c r="CX62" s="69"/>
      <c r="CY62" s="69"/>
      <c r="CZ62" s="69"/>
      <c r="DA62" s="69"/>
      <c r="DB62" s="69"/>
      <c r="DC62" s="69"/>
      <c r="DD62" s="69"/>
      <c r="DE62" s="69"/>
      <c r="DF62" s="69"/>
      <c r="DG62" s="69"/>
      <c r="DH62" s="69"/>
      <c r="DI62" s="69"/>
      <c r="DJ62" s="69"/>
      <c r="DK62" s="69"/>
      <c r="DL62" s="3"/>
      <c r="DM62" s="3"/>
      <c r="DN62" s="3"/>
      <c r="DO62" s="3"/>
      <c r="DP62" s="3"/>
      <c r="DQ62" s="3"/>
      <c r="DR62" s="3"/>
      <c r="DS62" s="3"/>
      <c r="DT62" s="3"/>
      <c r="DU62" s="3"/>
    </row>
    <row r="63" ht="15.75" customHeight="1">
      <c r="A63" s="99">
        <v>15.0</v>
      </c>
      <c r="B63" s="100" t="s">
        <v>218</v>
      </c>
      <c r="C63" s="101" t="s">
        <v>86</v>
      </c>
      <c r="D63" s="102" t="s">
        <v>42</v>
      </c>
      <c r="E63" s="105">
        <v>16.0</v>
      </c>
      <c r="F63" s="102">
        <v>16.0</v>
      </c>
      <c r="G63" s="6">
        <v>44048.0</v>
      </c>
      <c r="H63" s="6">
        <v>44055.0</v>
      </c>
      <c r="I63" s="111">
        <v>1.0</v>
      </c>
      <c r="J63" s="111">
        <v>1.0</v>
      </c>
      <c r="K63" s="111">
        <v>1.0</v>
      </c>
      <c r="L63" s="111">
        <v>1.0</v>
      </c>
      <c r="M63" s="111">
        <v>1.0</v>
      </c>
      <c r="N63" s="111">
        <v>1.0</v>
      </c>
      <c r="O63" s="111">
        <v>1.0</v>
      </c>
      <c r="P63" s="111">
        <v>1.0</v>
      </c>
      <c r="Q63" s="111">
        <v>1.0</v>
      </c>
      <c r="R63" s="111">
        <v>1.0</v>
      </c>
      <c r="S63" s="111">
        <v>1.0</v>
      </c>
      <c r="T63" s="111">
        <v>1.0</v>
      </c>
      <c r="U63" s="111">
        <v>1.0</v>
      </c>
      <c r="V63" s="111">
        <v>1.0</v>
      </c>
      <c r="W63" s="111">
        <v>1.0</v>
      </c>
      <c r="X63" s="111">
        <v>1.0</v>
      </c>
      <c r="Y63" s="111">
        <v>1.0</v>
      </c>
      <c r="Z63" s="111">
        <v>1.0</v>
      </c>
      <c r="AA63" s="111">
        <v>1.0</v>
      </c>
      <c r="AB63" s="111">
        <v>1.0</v>
      </c>
      <c r="AC63" s="111">
        <v>1.0</v>
      </c>
      <c r="AD63" s="111">
        <v>1.0</v>
      </c>
      <c r="AE63" s="111">
        <v>1.0</v>
      </c>
      <c r="AF63" s="111">
        <v>1.0</v>
      </c>
      <c r="AG63" s="111">
        <v>1.0</v>
      </c>
      <c r="AH63" s="111">
        <v>1.0</v>
      </c>
      <c r="AI63" s="111">
        <v>1.0</v>
      </c>
      <c r="AJ63" s="111">
        <v>1.0</v>
      </c>
      <c r="AK63" s="111">
        <v>1.0</v>
      </c>
      <c r="AL63" s="111">
        <v>1.0</v>
      </c>
      <c r="AM63" s="111">
        <v>1.0</v>
      </c>
      <c r="AN63" s="111">
        <v>1.0</v>
      </c>
      <c r="AO63" s="111">
        <v>1.0</v>
      </c>
      <c r="AP63" s="111">
        <v>1.0</v>
      </c>
      <c r="AQ63" s="111">
        <v>1.0</v>
      </c>
      <c r="AR63" s="111">
        <v>1.0</v>
      </c>
      <c r="AS63" s="111">
        <v>1.0</v>
      </c>
      <c r="AT63" s="111">
        <v>1.0</v>
      </c>
      <c r="AU63" s="111">
        <v>1.0</v>
      </c>
      <c r="AV63" s="111">
        <v>1.0</v>
      </c>
      <c r="AW63" s="111">
        <v>1.0</v>
      </c>
      <c r="AX63" s="111">
        <v>1.0</v>
      </c>
      <c r="AY63" s="111">
        <v>1.0</v>
      </c>
      <c r="AZ63" s="111">
        <v>1.0</v>
      </c>
      <c r="BA63" s="111">
        <v>1.0</v>
      </c>
      <c r="BB63" s="111">
        <v>1.0</v>
      </c>
      <c r="BC63" s="111">
        <v>1.0</v>
      </c>
      <c r="BD63" s="111">
        <v>1.0</v>
      </c>
      <c r="BE63" s="111">
        <v>1.0</v>
      </c>
      <c r="BF63" s="111">
        <v>1.0</v>
      </c>
      <c r="BG63" s="111">
        <v>1.0</v>
      </c>
      <c r="BH63" s="111">
        <v>0.7</v>
      </c>
      <c r="BI63" s="111">
        <v>0.7</v>
      </c>
      <c r="BJ63" s="111">
        <v>0.7</v>
      </c>
      <c r="BK63" s="111">
        <v>0.7</v>
      </c>
      <c r="BL63" s="111">
        <v>0.7</v>
      </c>
      <c r="BM63" s="111">
        <v>0.7</v>
      </c>
      <c r="BN63" s="111"/>
      <c r="BO63" s="111"/>
      <c r="BP63" s="111"/>
      <c r="BQ63" s="111"/>
      <c r="BR63" s="111"/>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3"/>
      <c r="DM63" s="3"/>
      <c r="DN63" s="3"/>
      <c r="DO63" s="3"/>
      <c r="DP63" s="3"/>
      <c r="DQ63" s="3"/>
      <c r="DR63" s="3"/>
      <c r="DS63" s="3"/>
      <c r="DT63" s="3"/>
      <c r="DU63" s="3"/>
    </row>
    <row r="64" ht="15.75" customHeight="1">
      <c r="A64" s="99">
        <v>16.0</v>
      </c>
      <c r="B64" s="100" t="s">
        <v>219</v>
      </c>
      <c r="C64" s="101" t="s">
        <v>86</v>
      </c>
      <c r="D64" s="102" t="s">
        <v>55</v>
      </c>
      <c r="E64" s="105">
        <v>16.0</v>
      </c>
      <c r="F64" s="102">
        <v>16.0</v>
      </c>
      <c r="G64" s="6">
        <v>44048.0</v>
      </c>
      <c r="H64" s="6">
        <v>44053.0</v>
      </c>
      <c r="I64" s="111">
        <v>1.0</v>
      </c>
      <c r="J64" s="111">
        <v>1.0</v>
      </c>
      <c r="K64" s="111">
        <v>1.0</v>
      </c>
      <c r="L64" s="111">
        <v>1.0</v>
      </c>
      <c r="M64" s="111">
        <v>1.0</v>
      </c>
      <c r="N64" s="111">
        <v>1.0</v>
      </c>
      <c r="O64" s="111">
        <v>1.0</v>
      </c>
      <c r="P64" s="111">
        <v>1.0</v>
      </c>
      <c r="Q64" s="111">
        <v>1.0</v>
      </c>
      <c r="R64" s="111">
        <v>1.0</v>
      </c>
      <c r="S64" s="111">
        <v>1.0</v>
      </c>
      <c r="T64" s="111">
        <v>1.0</v>
      </c>
      <c r="U64" s="111">
        <v>1.0</v>
      </c>
      <c r="V64" s="111">
        <v>1.0</v>
      </c>
      <c r="W64" s="111">
        <v>1.0</v>
      </c>
      <c r="X64" s="111">
        <v>1.0</v>
      </c>
      <c r="Y64" s="111">
        <v>1.0</v>
      </c>
      <c r="Z64" s="111">
        <v>1.0</v>
      </c>
      <c r="AA64" s="111">
        <v>1.0</v>
      </c>
      <c r="AB64" s="111">
        <v>1.0</v>
      </c>
      <c r="AC64" s="111">
        <v>1.0</v>
      </c>
      <c r="AD64" s="111">
        <v>1.0</v>
      </c>
      <c r="AE64" s="111">
        <v>1.0</v>
      </c>
      <c r="AF64" s="111">
        <v>1.0</v>
      </c>
      <c r="AG64" s="111">
        <v>1.0</v>
      </c>
      <c r="AH64" s="111">
        <v>1.0</v>
      </c>
      <c r="AI64" s="111">
        <v>1.0</v>
      </c>
      <c r="AJ64" s="111">
        <v>1.0</v>
      </c>
      <c r="AK64" s="111">
        <v>1.0</v>
      </c>
      <c r="AL64" s="111">
        <v>1.0</v>
      </c>
      <c r="AM64" s="111">
        <v>1.0</v>
      </c>
      <c r="AN64" s="111">
        <v>1.0</v>
      </c>
      <c r="AO64" s="111">
        <v>1.0</v>
      </c>
      <c r="AP64" s="111">
        <v>1.0</v>
      </c>
      <c r="AQ64" s="111">
        <v>1.0</v>
      </c>
      <c r="AR64" s="111">
        <v>1.0</v>
      </c>
      <c r="AS64" s="111">
        <v>1.0</v>
      </c>
      <c r="AT64" s="111">
        <v>1.0</v>
      </c>
      <c r="AU64" s="111">
        <v>1.0</v>
      </c>
      <c r="AV64" s="111">
        <v>1.0</v>
      </c>
      <c r="AW64" s="111">
        <v>1.0</v>
      </c>
      <c r="AX64" s="111">
        <v>1.0</v>
      </c>
      <c r="AY64" s="111">
        <v>1.0</v>
      </c>
      <c r="AZ64" s="111">
        <v>1.0</v>
      </c>
      <c r="BA64" s="111">
        <v>1.0</v>
      </c>
      <c r="BB64" s="111">
        <v>1.0</v>
      </c>
      <c r="BC64" s="111">
        <v>1.0</v>
      </c>
      <c r="BD64" s="111">
        <v>1.0</v>
      </c>
      <c r="BE64" s="111">
        <v>1.0</v>
      </c>
      <c r="BF64" s="111">
        <v>1.0</v>
      </c>
      <c r="BG64" s="111">
        <v>1.0</v>
      </c>
      <c r="BH64" s="111">
        <v>1.0</v>
      </c>
      <c r="BI64" s="111">
        <v>1.0</v>
      </c>
      <c r="BJ64" s="111">
        <v>0.7</v>
      </c>
      <c r="BK64" s="111">
        <v>0.7</v>
      </c>
      <c r="BL64" s="111">
        <v>0.7</v>
      </c>
      <c r="BM64" s="111">
        <v>0.7</v>
      </c>
      <c r="BN64" s="111"/>
      <c r="BO64" s="111"/>
      <c r="BP64" s="111"/>
      <c r="BQ64" s="111"/>
      <c r="BR64" s="111"/>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c r="CY64" s="69"/>
      <c r="CZ64" s="69"/>
      <c r="DA64" s="69"/>
      <c r="DB64" s="69"/>
      <c r="DC64" s="69"/>
      <c r="DD64" s="69"/>
      <c r="DE64" s="69"/>
      <c r="DF64" s="69"/>
      <c r="DG64" s="69"/>
      <c r="DH64" s="69"/>
      <c r="DI64" s="69"/>
      <c r="DJ64" s="69"/>
      <c r="DK64" s="69"/>
      <c r="DL64" s="3"/>
      <c r="DM64" s="3"/>
      <c r="DN64" s="3"/>
      <c r="DO64" s="3"/>
      <c r="DP64" s="3"/>
      <c r="DQ64" s="3"/>
      <c r="DR64" s="3"/>
      <c r="DS64" s="3"/>
      <c r="DT64" s="3"/>
      <c r="DU64" s="3"/>
    </row>
    <row r="65" ht="15.75" customHeight="1">
      <c r="A65" s="99">
        <v>17.0</v>
      </c>
      <c r="B65" s="100" t="s">
        <v>220</v>
      </c>
      <c r="C65" s="101" t="s">
        <v>86</v>
      </c>
      <c r="D65" s="102" t="s">
        <v>51</v>
      </c>
      <c r="E65" s="105">
        <v>8.0</v>
      </c>
      <c r="F65" s="102">
        <v>8.0</v>
      </c>
      <c r="G65" s="6">
        <v>44050.0</v>
      </c>
      <c r="H65" s="6">
        <v>44050.0</v>
      </c>
      <c r="I65" s="111">
        <v>1.0</v>
      </c>
      <c r="J65" s="111">
        <v>1.0</v>
      </c>
      <c r="K65" s="111">
        <v>1.0</v>
      </c>
      <c r="L65" s="111">
        <v>1.0</v>
      </c>
      <c r="M65" s="111">
        <v>1.0</v>
      </c>
      <c r="N65" s="111">
        <v>1.0</v>
      </c>
      <c r="O65" s="111">
        <v>1.0</v>
      </c>
      <c r="P65" s="111">
        <v>1.0</v>
      </c>
      <c r="Q65" s="111">
        <v>1.0</v>
      </c>
      <c r="R65" s="111">
        <v>1.0</v>
      </c>
      <c r="S65" s="111">
        <v>1.0</v>
      </c>
      <c r="T65" s="111">
        <v>1.0</v>
      </c>
      <c r="U65" s="111">
        <v>1.0</v>
      </c>
      <c r="V65" s="111">
        <v>1.0</v>
      </c>
      <c r="W65" s="111">
        <v>1.0</v>
      </c>
      <c r="X65" s="111">
        <v>1.0</v>
      </c>
      <c r="Y65" s="111">
        <v>1.0</v>
      </c>
      <c r="Z65" s="111">
        <v>1.0</v>
      </c>
      <c r="AA65" s="111">
        <v>1.0</v>
      </c>
      <c r="AB65" s="111">
        <v>1.0</v>
      </c>
      <c r="AC65" s="111">
        <v>1.0</v>
      </c>
      <c r="AD65" s="111">
        <v>1.0</v>
      </c>
      <c r="AE65" s="111">
        <v>1.0</v>
      </c>
      <c r="AF65" s="111">
        <v>1.0</v>
      </c>
      <c r="AG65" s="111">
        <v>1.0</v>
      </c>
      <c r="AH65" s="111">
        <v>1.0</v>
      </c>
      <c r="AI65" s="111">
        <v>1.0</v>
      </c>
      <c r="AJ65" s="111">
        <v>1.0</v>
      </c>
      <c r="AK65" s="111">
        <v>1.0</v>
      </c>
      <c r="AL65" s="111">
        <v>1.0</v>
      </c>
      <c r="AM65" s="111">
        <v>1.0</v>
      </c>
      <c r="AN65" s="111">
        <v>1.0</v>
      </c>
      <c r="AO65" s="111">
        <v>1.0</v>
      </c>
      <c r="AP65" s="111">
        <v>1.0</v>
      </c>
      <c r="AQ65" s="111">
        <v>1.0</v>
      </c>
      <c r="AR65" s="111">
        <v>1.0</v>
      </c>
      <c r="AS65" s="111">
        <v>1.0</v>
      </c>
      <c r="AT65" s="111">
        <v>1.0</v>
      </c>
      <c r="AU65" s="111">
        <v>1.0</v>
      </c>
      <c r="AV65" s="111">
        <v>1.0</v>
      </c>
      <c r="AW65" s="111">
        <v>1.0</v>
      </c>
      <c r="AX65" s="111">
        <v>1.0</v>
      </c>
      <c r="AY65" s="111">
        <v>1.0</v>
      </c>
      <c r="AZ65" s="111">
        <v>1.0</v>
      </c>
      <c r="BA65" s="111">
        <v>1.0</v>
      </c>
      <c r="BB65" s="111">
        <v>1.0</v>
      </c>
      <c r="BC65" s="111">
        <v>1.0</v>
      </c>
      <c r="BD65" s="111">
        <v>1.0</v>
      </c>
      <c r="BE65" s="111">
        <v>1.0</v>
      </c>
      <c r="BF65" s="111">
        <v>1.0</v>
      </c>
      <c r="BG65" s="111">
        <v>1.0</v>
      </c>
      <c r="BH65" s="111">
        <v>1.0</v>
      </c>
      <c r="BI65" s="111">
        <v>1.0</v>
      </c>
      <c r="BJ65" s="111">
        <v>1.0</v>
      </c>
      <c r="BK65" s="111">
        <v>1.0</v>
      </c>
      <c r="BL65" s="111"/>
      <c r="BM65" s="111"/>
      <c r="BN65" s="111"/>
      <c r="BO65" s="111"/>
      <c r="BP65" s="111"/>
      <c r="BQ65" s="111"/>
      <c r="BR65" s="111"/>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3"/>
      <c r="DM65" s="3"/>
      <c r="DN65" s="3"/>
      <c r="DO65" s="3"/>
      <c r="DP65" s="3"/>
      <c r="DQ65" s="3"/>
      <c r="DR65" s="3"/>
      <c r="DS65" s="3"/>
      <c r="DT65" s="3"/>
      <c r="DU65" s="3"/>
    </row>
    <row r="66" ht="15.75" customHeight="1">
      <c r="A66" s="99">
        <v>18.0</v>
      </c>
      <c r="B66" s="100" t="s">
        <v>221</v>
      </c>
      <c r="C66" s="101" t="s">
        <v>86</v>
      </c>
      <c r="D66" s="102" t="s">
        <v>42</v>
      </c>
      <c r="E66" s="102">
        <v>8.0</v>
      </c>
      <c r="F66" s="102">
        <v>8.0</v>
      </c>
      <c r="G66" s="6">
        <v>44054.0</v>
      </c>
      <c r="H66" s="6">
        <v>44054.0</v>
      </c>
      <c r="I66" s="111">
        <v>1.0</v>
      </c>
      <c r="J66" s="111">
        <v>1.0</v>
      </c>
      <c r="K66" s="111">
        <v>1.0</v>
      </c>
      <c r="L66" s="111">
        <v>1.0</v>
      </c>
      <c r="M66" s="111">
        <v>1.0</v>
      </c>
      <c r="N66" s="111">
        <v>1.0</v>
      </c>
      <c r="O66" s="111">
        <v>1.0</v>
      </c>
      <c r="P66" s="111">
        <v>1.0</v>
      </c>
      <c r="Q66" s="111">
        <v>1.0</v>
      </c>
      <c r="R66" s="111">
        <v>1.0</v>
      </c>
      <c r="S66" s="111">
        <v>1.0</v>
      </c>
      <c r="T66" s="111">
        <v>1.0</v>
      </c>
      <c r="U66" s="111">
        <v>1.0</v>
      </c>
      <c r="V66" s="111">
        <v>1.0</v>
      </c>
      <c r="W66" s="111">
        <v>1.0</v>
      </c>
      <c r="X66" s="111">
        <v>1.0</v>
      </c>
      <c r="Y66" s="111">
        <v>1.0</v>
      </c>
      <c r="Z66" s="111">
        <v>1.0</v>
      </c>
      <c r="AA66" s="111">
        <v>1.0</v>
      </c>
      <c r="AB66" s="111">
        <v>1.0</v>
      </c>
      <c r="AC66" s="111">
        <v>1.0</v>
      </c>
      <c r="AD66" s="111">
        <v>1.0</v>
      </c>
      <c r="AE66" s="111">
        <v>1.0</v>
      </c>
      <c r="AF66" s="111">
        <v>1.0</v>
      </c>
      <c r="AG66" s="111">
        <v>1.0</v>
      </c>
      <c r="AH66" s="111">
        <v>1.0</v>
      </c>
      <c r="AI66" s="111">
        <v>1.0</v>
      </c>
      <c r="AJ66" s="111">
        <v>1.0</v>
      </c>
      <c r="AK66" s="111">
        <v>1.0</v>
      </c>
      <c r="AL66" s="111">
        <v>1.0</v>
      </c>
      <c r="AM66" s="111">
        <v>1.0</v>
      </c>
      <c r="AN66" s="111">
        <v>1.0</v>
      </c>
      <c r="AO66" s="111">
        <v>1.0</v>
      </c>
      <c r="AP66" s="111">
        <v>1.0</v>
      </c>
      <c r="AQ66" s="111">
        <v>1.0</v>
      </c>
      <c r="AR66" s="111">
        <v>1.0</v>
      </c>
      <c r="AS66" s="111">
        <v>1.0</v>
      </c>
      <c r="AT66" s="111">
        <v>1.0</v>
      </c>
      <c r="AU66" s="111">
        <v>1.0</v>
      </c>
      <c r="AV66" s="111">
        <v>1.0</v>
      </c>
      <c r="AW66" s="111">
        <v>1.0</v>
      </c>
      <c r="AX66" s="111">
        <v>1.0</v>
      </c>
      <c r="AY66" s="111">
        <v>1.0</v>
      </c>
      <c r="AZ66" s="111">
        <v>1.0</v>
      </c>
      <c r="BA66" s="111">
        <v>1.0</v>
      </c>
      <c r="BB66" s="111">
        <v>1.0</v>
      </c>
      <c r="BC66" s="111">
        <v>1.0</v>
      </c>
      <c r="BD66" s="111">
        <v>1.0</v>
      </c>
      <c r="BE66" s="111">
        <v>1.0</v>
      </c>
      <c r="BF66" s="111">
        <v>1.0</v>
      </c>
      <c r="BG66" s="111">
        <v>1.0</v>
      </c>
      <c r="BH66" s="111">
        <v>1.0</v>
      </c>
      <c r="BI66" s="111"/>
      <c r="BJ66" s="111"/>
      <c r="BK66" s="111"/>
      <c r="BL66" s="111"/>
      <c r="BM66" s="111"/>
      <c r="BN66" s="111"/>
      <c r="BO66" s="111"/>
      <c r="BP66" s="111"/>
      <c r="BQ66" s="111"/>
      <c r="BR66" s="111"/>
      <c r="BS66" s="69"/>
      <c r="BT66" s="69"/>
      <c r="BU66" s="69"/>
      <c r="BV66" s="69"/>
      <c r="BW66" s="69"/>
      <c r="BX66" s="69"/>
      <c r="BY66" s="69"/>
      <c r="BZ66" s="69"/>
      <c r="CA66" s="69"/>
      <c r="CB66" s="69"/>
      <c r="CC66" s="69"/>
      <c r="CD66" s="69"/>
      <c r="CE66" s="69"/>
      <c r="CF66" s="69"/>
      <c r="CG66" s="69"/>
      <c r="CH66" s="69"/>
      <c r="CI66" s="69"/>
      <c r="CJ66" s="69"/>
      <c r="CK66" s="69"/>
      <c r="CL66" s="69"/>
      <c r="CM66" s="69"/>
      <c r="CN66" s="69"/>
      <c r="CO66" s="69"/>
      <c r="CP66" s="69"/>
      <c r="CQ66" s="69"/>
      <c r="CR66" s="69"/>
      <c r="CS66" s="69"/>
      <c r="CT66" s="69"/>
      <c r="CU66" s="69"/>
      <c r="CV66" s="69"/>
      <c r="CW66" s="69"/>
      <c r="CX66" s="69"/>
      <c r="CY66" s="69"/>
      <c r="CZ66" s="69"/>
      <c r="DA66" s="69"/>
      <c r="DB66" s="69"/>
      <c r="DC66" s="69"/>
      <c r="DD66" s="69"/>
      <c r="DE66" s="69"/>
      <c r="DF66" s="69"/>
      <c r="DG66" s="69"/>
      <c r="DH66" s="69"/>
      <c r="DI66" s="69"/>
      <c r="DJ66" s="69"/>
      <c r="DK66" s="69"/>
      <c r="DL66" s="3"/>
      <c r="DM66" s="3"/>
      <c r="DN66" s="3"/>
      <c r="DO66" s="3"/>
      <c r="DP66" s="3"/>
      <c r="DQ66" s="3"/>
      <c r="DR66" s="3"/>
      <c r="DS66" s="3"/>
      <c r="DT66" s="3"/>
      <c r="DU66" s="3"/>
    </row>
    <row r="67" ht="15.75" customHeight="1">
      <c r="A67" s="99">
        <v>19.0</v>
      </c>
      <c r="B67" s="100" t="s">
        <v>222</v>
      </c>
      <c r="C67" s="101" t="s">
        <v>86</v>
      </c>
      <c r="D67" s="102" t="s">
        <v>55</v>
      </c>
      <c r="E67" s="102">
        <v>8.0</v>
      </c>
      <c r="F67" s="102">
        <v>8.0</v>
      </c>
      <c r="G67" s="6">
        <v>44053.0</v>
      </c>
      <c r="H67" s="6">
        <v>44053.0</v>
      </c>
      <c r="I67" s="111">
        <v>1.0</v>
      </c>
      <c r="J67" s="111">
        <v>1.0</v>
      </c>
      <c r="K67" s="111">
        <v>1.0</v>
      </c>
      <c r="L67" s="111">
        <v>1.0</v>
      </c>
      <c r="M67" s="111">
        <v>1.0</v>
      </c>
      <c r="N67" s="111">
        <v>1.0</v>
      </c>
      <c r="O67" s="111">
        <v>1.0</v>
      </c>
      <c r="P67" s="111">
        <v>1.0</v>
      </c>
      <c r="Q67" s="111">
        <v>1.0</v>
      </c>
      <c r="R67" s="111">
        <v>1.0</v>
      </c>
      <c r="S67" s="111">
        <v>1.0</v>
      </c>
      <c r="T67" s="111">
        <v>1.0</v>
      </c>
      <c r="U67" s="111">
        <v>1.0</v>
      </c>
      <c r="V67" s="111">
        <v>1.0</v>
      </c>
      <c r="W67" s="111">
        <v>1.0</v>
      </c>
      <c r="X67" s="111">
        <v>1.0</v>
      </c>
      <c r="Y67" s="111">
        <v>1.0</v>
      </c>
      <c r="Z67" s="111">
        <v>1.0</v>
      </c>
      <c r="AA67" s="111">
        <v>1.0</v>
      </c>
      <c r="AB67" s="111">
        <v>1.0</v>
      </c>
      <c r="AC67" s="111">
        <v>1.0</v>
      </c>
      <c r="AD67" s="111">
        <v>1.0</v>
      </c>
      <c r="AE67" s="111">
        <v>1.0</v>
      </c>
      <c r="AF67" s="111">
        <v>1.0</v>
      </c>
      <c r="AG67" s="111">
        <v>1.0</v>
      </c>
      <c r="AH67" s="111">
        <v>1.0</v>
      </c>
      <c r="AI67" s="111">
        <v>1.0</v>
      </c>
      <c r="AJ67" s="111">
        <v>1.0</v>
      </c>
      <c r="AK67" s="111">
        <v>1.0</v>
      </c>
      <c r="AL67" s="111">
        <v>1.0</v>
      </c>
      <c r="AM67" s="111">
        <v>1.0</v>
      </c>
      <c r="AN67" s="111">
        <v>1.0</v>
      </c>
      <c r="AO67" s="111">
        <v>1.0</v>
      </c>
      <c r="AP67" s="111">
        <v>1.0</v>
      </c>
      <c r="AQ67" s="111">
        <v>1.0</v>
      </c>
      <c r="AR67" s="111">
        <v>1.0</v>
      </c>
      <c r="AS67" s="111">
        <v>1.0</v>
      </c>
      <c r="AT67" s="111">
        <v>1.0</v>
      </c>
      <c r="AU67" s="111">
        <v>1.0</v>
      </c>
      <c r="AV67" s="111">
        <v>1.0</v>
      </c>
      <c r="AW67" s="111">
        <v>1.0</v>
      </c>
      <c r="AX67" s="111">
        <v>1.0</v>
      </c>
      <c r="AY67" s="111">
        <v>1.0</v>
      </c>
      <c r="AZ67" s="111">
        <v>1.0</v>
      </c>
      <c r="BA67" s="111">
        <v>1.0</v>
      </c>
      <c r="BB67" s="111">
        <v>1.0</v>
      </c>
      <c r="BC67" s="111">
        <v>1.0</v>
      </c>
      <c r="BD67" s="111">
        <v>1.0</v>
      </c>
      <c r="BE67" s="111">
        <v>1.0</v>
      </c>
      <c r="BF67" s="111">
        <v>1.0</v>
      </c>
      <c r="BG67" s="111">
        <v>1.0</v>
      </c>
      <c r="BH67" s="111">
        <v>1.0</v>
      </c>
      <c r="BI67" s="111">
        <v>1.0</v>
      </c>
      <c r="BJ67" s="111"/>
      <c r="BK67" s="111"/>
      <c r="BL67" s="111"/>
      <c r="BM67" s="111"/>
      <c r="BN67" s="111"/>
      <c r="BO67" s="111"/>
      <c r="BP67" s="111"/>
      <c r="BQ67" s="111"/>
      <c r="BR67" s="111"/>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3"/>
      <c r="DM67" s="3"/>
      <c r="DN67" s="3"/>
      <c r="DO67" s="3"/>
      <c r="DP67" s="3"/>
      <c r="DQ67" s="3"/>
      <c r="DR67" s="3"/>
      <c r="DS67" s="3"/>
      <c r="DT67" s="3"/>
      <c r="DU67" s="3"/>
    </row>
    <row r="68" ht="15.75" customHeight="1">
      <c r="A68" s="99">
        <v>20.0</v>
      </c>
      <c r="B68" s="100" t="s">
        <v>223</v>
      </c>
      <c r="C68" s="101" t="s">
        <v>86</v>
      </c>
      <c r="D68" s="102" t="s">
        <v>51</v>
      </c>
      <c r="E68" s="102">
        <v>8.0</v>
      </c>
      <c r="F68" s="102">
        <v>8.0</v>
      </c>
      <c r="G68" s="6">
        <v>44051.0</v>
      </c>
      <c r="H68" s="6">
        <v>44051.0</v>
      </c>
      <c r="I68" s="111">
        <v>1.0</v>
      </c>
      <c r="J68" s="111">
        <v>1.0</v>
      </c>
      <c r="K68" s="111">
        <v>1.0</v>
      </c>
      <c r="L68" s="111">
        <v>1.0</v>
      </c>
      <c r="M68" s="111">
        <v>1.0</v>
      </c>
      <c r="N68" s="111">
        <v>1.0</v>
      </c>
      <c r="O68" s="111">
        <v>1.0</v>
      </c>
      <c r="P68" s="111">
        <v>1.0</v>
      </c>
      <c r="Q68" s="111">
        <v>1.0</v>
      </c>
      <c r="R68" s="111">
        <v>1.0</v>
      </c>
      <c r="S68" s="111">
        <v>1.0</v>
      </c>
      <c r="T68" s="111">
        <v>1.0</v>
      </c>
      <c r="U68" s="111">
        <v>1.0</v>
      </c>
      <c r="V68" s="111">
        <v>1.0</v>
      </c>
      <c r="W68" s="111">
        <v>1.0</v>
      </c>
      <c r="X68" s="111">
        <v>1.0</v>
      </c>
      <c r="Y68" s="111">
        <v>1.0</v>
      </c>
      <c r="Z68" s="111">
        <v>1.0</v>
      </c>
      <c r="AA68" s="111">
        <v>1.0</v>
      </c>
      <c r="AB68" s="111">
        <v>1.0</v>
      </c>
      <c r="AC68" s="111">
        <v>1.0</v>
      </c>
      <c r="AD68" s="111">
        <v>1.0</v>
      </c>
      <c r="AE68" s="111">
        <v>1.0</v>
      </c>
      <c r="AF68" s="111">
        <v>1.0</v>
      </c>
      <c r="AG68" s="111">
        <v>1.0</v>
      </c>
      <c r="AH68" s="111">
        <v>1.0</v>
      </c>
      <c r="AI68" s="111">
        <v>1.0</v>
      </c>
      <c r="AJ68" s="111">
        <v>1.0</v>
      </c>
      <c r="AK68" s="111">
        <v>1.0</v>
      </c>
      <c r="AL68" s="111">
        <v>1.0</v>
      </c>
      <c r="AM68" s="111">
        <v>1.0</v>
      </c>
      <c r="AN68" s="111">
        <v>1.0</v>
      </c>
      <c r="AO68" s="111">
        <v>1.0</v>
      </c>
      <c r="AP68" s="111">
        <v>1.0</v>
      </c>
      <c r="AQ68" s="111">
        <v>1.0</v>
      </c>
      <c r="AR68" s="111">
        <v>1.0</v>
      </c>
      <c r="AS68" s="111">
        <v>1.0</v>
      </c>
      <c r="AT68" s="111">
        <v>1.0</v>
      </c>
      <c r="AU68" s="111">
        <v>1.0</v>
      </c>
      <c r="AV68" s="111">
        <v>1.0</v>
      </c>
      <c r="AW68" s="111">
        <v>1.0</v>
      </c>
      <c r="AX68" s="111">
        <v>1.0</v>
      </c>
      <c r="AY68" s="111">
        <v>1.0</v>
      </c>
      <c r="AZ68" s="111">
        <v>1.0</v>
      </c>
      <c r="BA68" s="111">
        <v>1.0</v>
      </c>
      <c r="BB68" s="111">
        <v>1.0</v>
      </c>
      <c r="BC68" s="111">
        <v>1.0</v>
      </c>
      <c r="BD68" s="111">
        <v>1.0</v>
      </c>
      <c r="BE68" s="111">
        <v>1.0</v>
      </c>
      <c r="BF68" s="111">
        <v>1.0</v>
      </c>
      <c r="BG68" s="111">
        <v>1.0</v>
      </c>
      <c r="BH68" s="111">
        <v>1.0</v>
      </c>
      <c r="BI68" s="111">
        <v>1.0</v>
      </c>
      <c r="BJ68" s="111">
        <v>1.0</v>
      </c>
      <c r="BK68" s="111"/>
      <c r="BL68" s="111"/>
      <c r="BM68" s="111"/>
      <c r="BN68" s="111"/>
      <c r="BO68" s="111"/>
      <c r="BP68" s="111"/>
      <c r="BQ68" s="111"/>
      <c r="BR68" s="111"/>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3"/>
      <c r="DM68" s="3"/>
      <c r="DN68" s="3"/>
      <c r="DO68" s="3"/>
      <c r="DP68" s="3"/>
      <c r="DQ68" s="3"/>
      <c r="DR68" s="3"/>
      <c r="DS68" s="3"/>
      <c r="DT68" s="3"/>
      <c r="DU68" s="3"/>
    </row>
    <row r="69" ht="15.75" customHeight="1">
      <c r="A69" s="99">
        <v>21.0</v>
      </c>
      <c r="B69" s="100" t="s">
        <v>224</v>
      </c>
      <c r="C69" s="101" t="s">
        <v>86</v>
      </c>
      <c r="D69" s="102" t="s">
        <v>42</v>
      </c>
      <c r="E69" s="3">
        <v>24.0</v>
      </c>
      <c r="F69" s="102">
        <v>24.0</v>
      </c>
      <c r="G69" s="6">
        <v>44042.0</v>
      </c>
      <c r="H69" s="6">
        <v>44045.0</v>
      </c>
      <c r="I69" s="111">
        <v>1.0</v>
      </c>
      <c r="J69" s="111">
        <v>1.0</v>
      </c>
      <c r="K69" s="111">
        <v>1.0</v>
      </c>
      <c r="L69" s="111">
        <v>1.0</v>
      </c>
      <c r="M69" s="111">
        <v>1.0</v>
      </c>
      <c r="N69" s="111">
        <v>1.0</v>
      </c>
      <c r="O69" s="111">
        <v>1.0</v>
      </c>
      <c r="P69" s="111">
        <v>1.0</v>
      </c>
      <c r="Q69" s="111">
        <v>1.0</v>
      </c>
      <c r="R69" s="111">
        <v>1.0</v>
      </c>
      <c r="S69" s="111">
        <v>1.0</v>
      </c>
      <c r="T69" s="111">
        <v>1.0</v>
      </c>
      <c r="U69" s="111">
        <v>1.0</v>
      </c>
      <c r="V69" s="111">
        <v>1.0</v>
      </c>
      <c r="W69" s="111">
        <v>1.0</v>
      </c>
      <c r="X69" s="111">
        <v>1.0</v>
      </c>
      <c r="Y69" s="111">
        <v>1.0</v>
      </c>
      <c r="Z69" s="111">
        <v>1.0</v>
      </c>
      <c r="AA69" s="111">
        <v>1.0</v>
      </c>
      <c r="AB69" s="111">
        <v>1.0</v>
      </c>
      <c r="AC69" s="111">
        <v>1.0</v>
      </c>
      <c r="AD69" s="111">
        <v>1.0</v>
      </c>
      <c r="AE69" s="111">
        <v>1.0</v>
      </c>
      <c r="AF69" s="111">
        <v>1.0</v>
      </c>
      <c r="AG69" s="111">
        <v>1.0</v>
      </c>
      <c r="AH69" s="111">
        <v>1.0</v>
      </c>
      <c r="AI69" s="111">
        <v>1.0</v>
      </c>
      <c r="AJ69" s="111">
        <v>1.0</v>
      </c>
      <c r="AK69" s="111">
        <v>1.0</v>
      </c>
      <c r="AL69" s="111">
        <v>1.0</v>
      </c>
      <c r="AM69" s="111">
        <v>1.0</v>
      </c>
      <c r="AN69" s="111">
        <v>1.0</v>
      </c>
      <c r="AO69" s="111">
        <v>1.0</v>
      </c>
      <c r="AP69" s="111">
        <v>1.0</v>
      </c>
      <c r="AQ69" s="111">
        <v>1.0</v>
      </c>
      <c r="AR69" s="111">
        <v>1.0</v>
      </c>
      <c r="AS69" s="111">
        <v>1.0</v>
      </c>
      <c r="AT69" s="111">
        <v>1.0</v>
      </c>
      <c r="AU69" s="111">
        <v>1.0</v>
      </c>
      <c r="AV69" s="111">
        <v>1.0</v>
      </c>
      <c r="AW69" s="111">
        <v>1.0</v>
      </c>
      <c r="AX69" s="111">
        <v>1.0</v>
      </c>
      <c r="AY69" s="111">
        <v>1.0</v>
      </c>
      <c r="AZ69" s="111">
        <v>1.0</v>
      </c>
      <c r="BA69" s="111">
        <v>1.0</v>
      </c>
      <c r="BB69" s="111">
        <v>1.0</v>
      </c>
      <c r="BC69" s="111">
        <v>1.0</v>
      </c>
      <c r="BD69" s="111">
        <v>1.0</v>
      </c>
      <c r="BE69" s="111">
        <v>1.0</v>
      </c>
      <c r="BF69" s="111">
        <v>1.0</v>
      </c>
      <c r="BG69" s="111">
        <v>1.0</v>
      </c>
      <c r="BH69" s="111">
        <v>1.0</v>
      </c>
      <c r="BI69" s="111">
        <v>1.0</v>
      </c>
      <c r="BJ69" s="111">
        <v>1.0</v>
      </c>
      <c r="BK69" s="111">
        <v>1.0</v>
      </c>
      <c r="BL69" s="111">
        <v>1.0</v>
      </c>
      <c r="BM69" s="111">
        <v>1.0</v>
      </c>
      <c r="BN69" s="111">
        <v>1.0</v>
      </c>
      <c r="BO69" s="111">
        <v>1.0</v>
      </c>
      <c r="BP69" s="111">
        <v>1.0</v>
      </c>
      <c r="BQ69" s="111">
        <v>0.6</v>
      </c>
      <c r="BR69" s="111">
        <v>0.3</v>
      </c>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3"/>
      <c r="DM69" s="3"/>
      <c r="DN69" s="3"/>
      <c r="DO69" s="3"/>
      <c r="DP69" s="3"/>
      <c r="DQ69" s="3"/>
      <c r="DR69" s="3"/>
      <c r="DS69" s="3"/>
      <c r="DT69" s="3"/>
      <c r="DU69" s="3"/>
    </row>
    <row r="70" ht="15.75" customHeight="1">
      <c r="A70" s="99">
        <v>22.0</v>
      </c>
      <c r="B70" s="100" t="s">
        <v>225</v>
      </c>
      <c r="C70" s="101" t="s">
        <v>86</v>
      </c>
      <c r="D70" s="102" t="s">
        <v>55</v>
      </c>
      <c r="E70" s="102">
        <v>24.0</v>
      </c>
      <c r="F70" s="102">
        <v>24.0</v>
      </c>
      <c r="G70" s="6">
        <v>44042.0</v>
      </c>
      <c r="H70" s="6">
        <v>44045.0</v>
      </c>
      <c r="I70" s="111">
        <v>1.0</v>
      </c>
      <c r="J70" s="111">
        <v>1.0</v>
      </c>
      <c r="K70" s="111">
        <v>1.0</v>
      </c>
      <c r="L70" s="111">
        <v>1.0</v>
      </c>
      <c r="M70" s="111">
        <v>1.0</v>
      </c>
      <c r="N70" s="111">
        <v>1.0</v>
      </c>
      <c r="O70" s="111">
        <v>1.0</v>
      </c>
      <c r="P70" s="111">
        <v>1.0</v>
      </c>
      <c r="Q70" s="111">
        <v>1.0</v>
      </c>
      <c r="R70" s="111">
        <v>1.0</v>
      </c>
      <c r="S70" s="111">
        <v>1.0</v>
      </c>
      <c r="T70" s="111">
        <v>1.0</v>
      </c>
      <c r="U70" s="111">
        <v>1.0</v>
      </c>
      <c r="V70" s="111">
        <v>1.0</v>
      </c>
      <c r="W70" s="111">
        <v>1.0</v>
      </c>
      <c r="X70" s="111">
        <v>1.0</v>
      </c>
      <c r="Y70" s="111">
        <v>1.0</v>
      </c>
      <c r="Z70" s="111">
        <v>1.0</v>
      </c>
      <c r="AA70" s="111">
        <v>1.0</v>
      </c>
      <c r="AB70" s="111">
        <v>1.0</v>
      </c>
      <c r="AC70" s="111">
        <v>1.0</v>
      </c>
      <c r="AD70" s="111">
        <v>1.0</v>
      </c>
      <c r="AE70" s="111">
        <v>1.0</v>
      </c>
      <c r="AF70" s="111">
        <v>1.0</v>
      </c>
      <c r="AG70" s="111">
        <v>1.0</v>
      </c>
      <c r="AH70" s="111">
        <v>1.0</v>
      </c>
      <c r="AI70" s="111">
        <v>1.0</v>
      </c>
      <c r="AJ70" s="111">
        <v>1.0</v>
      </c>
      <c r="AK70" s="111">
        <v>1.0</v>
      </c>
      <c r="AL70" s="111">
        <v>1.0</v>
      </c>
      <c r="AM70" s="111">
        <v>1.0</v>
      </c>
      <c r="AN70" s="111">
        <v>1.0</v>
      </c>
      <c r="AO70" s="111">
        <v>1.0</v>
      </c>
      <c r="AP70" s="111">
        <v>1.0</v>
      </c>
      <c r="AQ70" s="111">
        <v>1.0</v>
      </c>
      <c r="AR70" s="111">
        <v>1.0</v>
      </c>
      <c r="AS70" s="111">
        <v>1.0</v>
      </c>
      <c r="AT70" s="111">
        <v>1.0</v>
      </c>
      <c r="AU70" s="111">
        <v>1.0</v>
      </c>
      <c r="AV70" s="111">
        <v>1.0</v>
      </c>
      <c r="AW70" s="111">
        <v>1.0</v>
      </c>
      <c r="AX70" s="111">
        <v>1.0</v>
      </c>
      <c r="AY70" s="111">
        <v>1.0</v>
      </c>
      <c r="AZ70" s="111">
        <v>1.0</v>
      </c>
      <c r="BA70" s="111">
        <v>1.0</v>
      </c>
      <c r="BB70" s="111">
        <v>1.0</v>
      </c>
      <c r="BC70" s="111">
        <v>1.0</v>
      </c>
      <c r="BD70" s="111">
        <v>1.0</v>
      </c>
      <c r="BE70" s="111">
        <v>1.0</v>
      </c>
      <c r="BF70" s="111">
        <v>1.0</v>
      </c>
      <c r="BG70" s="111">
        <v>1.0</v>
      </c>
      <c r="BH70" s="111">
        <v>1.0</v>
      </c>
      <c r="BI70" s="111">
        <v>1.0</v>
      </c>
      <c r="BJ70" s="111">
        <v>1.0</v>
      </c>
      <c r="BK70" s="111">
        <v>1.0</v>
      </c>
      <c r="BL70" s="111">
        <v>1.0</v>
      </c>
      <c r="BM70" s="111">
        <v>1.0</v>
      </c>
      <c r="BN70" s="111">
        <v>1.0</v>
      </c>
      <c r="BO70" s="111">
        <v>1.0</v>
      </c>
      <c r="BP70" s="111">
        <v>1.0</v>
      </c>
      <c r="BQ70" s="111">
        <v>0.6</v>
      </c>
      <c r="BR70" s="111">
        <v>0.3</v>
      </c>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3"/>
      <c r="DM70" s="3"/>
      <c r="DN70" s="3"/>
      <c r="DO70" s="3"/>
      <c r="DP70" s="3"/>
      <c r="DQ70" s="3"/>
      <c r="DR70" s="3"/>
      <c r="DS70" s="3"/>
      <c r="DT70" s="3"/>
      <c r="DU70" s="3"/>
    </row>
    <row r="71" ht="15.75" customHeight="1">
      <c r="A71" s="99">
        <v>23.0</v>
      </c>
      <c r="B71" s="100" t="s">
        <v>226</v>
      </c>
      <c r="C71" s="101" t="s">
        <v>86</v>
      </c>
      <c r="D71" s="102" t="s">
        <v>51</v>
      </c>
      <c r="E71" s="105">
        <v>24.0</v>
      </c>
      <c r="F71" s="102">
        <v>24.0</v>
      </c>
      <c r="G71" s="6">
        <v>44042.0</v>
      </c>
      <c r="H71" s="6">
        <v>44046.0</v>
      </c>
      <c r="I71" s="111">
        <v>1.0</v>
      </c>
      <c r="J71" s="111">
        <v>1.0</v>
      </c>
      <c r="K71" s="111">
        <v>1.0</v>
      </c>
      <c r="L71" s="111">
        <v>1.0</v>
      </c>
      <c r="M71" s="111">
        <v>1.0</v>
      </c>
      <c r="N71" s="111">
        <v>1.0</v>
      </c>
      <c r="O71" s="111">
        <v>1.0</v>
      </c>
      <c r="P71" s="111">
        <v>1.0</v>
      </c>
      <c r="Q71" s="111">
        <v>1.0</v>
      </c>
      <c r="R71" s="111">
        <v>1.0</v>
      </c>
      <c r="S71" s="111">
        <v>1.0</v>
      </c>
      <c r="T71" s="111">
        <v>1.0</v>
      </c>
      <c r="U71" s="111">
        <v>1.0</v>
      </c>
      <c r="V71" s="111">
        <v>1.0</v>
      </c>
      <c r="W71" s="111">
        <v>1.0</v>
      </c>
      <c r="X71" s="111">
        <v>1.0</v>
      </c>
      <c r="Y71" s="111">
        <v>1.0</v>
      </c>
      <c r="Z71" s="111">
        <v>1.0</v>
      </c>
      <c r="AA71" s="111">
        <v>1.0</v>
      </c>
      <c r="AB71" s="111">
        <v>1.0</v>
      </c>
      <c r="AC71" s="111">
        <v>1.0</v>
      </c>
      <c r="AD71" s="111">
        <v>1.0</v>
      </c>
      <c r="AE71" s="111">
        <v>1.0</v>
      </c>
      <c r="AF71" s="111">
        <v>1.0</v>
      </c>
      <c r="AG71" s="111">
        <v>1.0</v>
      </c>
      <c r="AH71" s="111">
        <v>1.0</v>
      </c>
      <c r="AI71" s="111">
        <v>1.0</v>
      </c>
      <c r="AJ71" s="111">
        <v>1.0</v>
      </c>
      <c r="AK71" s="111">
        <v>1.0</v>
      </c>
      <c r="AL71" s="111">
        <v>1.0</v>
      </c>
      <c r="AM71" s="111">
        <v>1.0</v>
      </c>
      <c r="AN71" s="111">
        <v>1.0</v>
      </c>
      <c r="AO71" s="111">
        <v>1.0</v>
      </c>
      <c r="AP71" s="111">
        <v>1.0</v>
      </c>
      <c r="AQ71" s="111">
        <v>1.0</v>
      </c>
      <c r="AR71" s="111">
        <v>1.0</v>
      </c>
      <c r="AS71" s="111">
        <v>1.0</v>
      </c>
      <c r="AT71" s="111">
        <v>1.0</v>
      </c>
      <c r="AU71" s="111">
        <v>1.0</v>
      </c>
      <c r="AV71" s="111">
        <v>1.0</v>
      </c>
      <c r="AW71" s="111">
        <v>1.0</v>
      </c>
      <c r="AX71" s="111">
        <v>1.0</v>
      </c>
      <c r="AY71" s="111">
        <v>1.0</v>
      </c>
      <c r="AZ71" s="111">
        <v>1.0</v>
      </c>
      <c r="BA71" s="111">
        <v>1.0</v>
      </c>
      <c r="BB71" s="111">
        <v>1.0</v>
      </c>
      <c r="BC71" s="111">
        <v>1.0</v>
      </c>
      <c r="BD71" s="111">
        <v>1.0</v>
      </c>
      <c r="BE71" s="111">
        <v>1.0</v>
      </c>
      <c r="BF71" s="111">
        <v>1.0</v>
      </c>
      <c r="BG71" s="111">
        <v>1.0</v>
      </c>
      <c r="BH71" s="111">
        <v>1.0</v>
      </c>
      <c r="BI71" s="111">
        <v>1.0</v>
      </c>
      <c r="BJ71" s="111">
        <v>1.0</v>
      </c>
      <c r="BK71" s="111">
        <v>1.0</v>
      </c>
      <c r="BL71" s="111">
        <v>1.0</v>
      </c>
      <c r="BM71" s="111">
        <v>1.0</v>
      </c>
      <c r="BN71" s="111">
        <v>1.0</v>
      </c>
      <c r="BO71" s="111">
        <v>1.0</v>
      </c>
      <c r="BP71" s="111">
        <v>0.6</v>
      </c>
      <c r="BQ71" s="111">
        <v>0.6</v>
      </c>
      <c r="BR71" s="111">
        <v>0.3</v>
      </c>
      <c r="BS71" s="69"/>
      <c r="BT71" s="69"/>
      <c r="BU71" s="69"/>
      <c r="BV71" s="69"/>
      <c r="BW71" s="69"/>
      <c r="BX71" s="69"/>
      <c r="BY71" s="69"/>
      <c r="BZ71" s="69"/>
      <c r="CA71" s="69"/>
      <c r="CB71" s="69"/>
      <c r="CC71" s="69"/>
      <c r="CD71" s="69"/>
      <c r="CE71" s="69"/>
      <c r="CF71" s="69"/>
      <c r="CG71" s="69"/>
      <c r="CH71" s="69"/>
      <c r="CI71" s="69"/>
      <c r="CJ71" s="69"/>
      <c r="CK71" s="69"/>
      <c r="CL71" s="69"/>
      <c r="CM71" s="69"/>
      <c r="CN71" s="69"/>
      <c r="CO71" s="69"/>
      <c r="CP71" s="69"/>
      <c r="CQ71" s="69"/>
      <c r="CR71" s="69"/>
      <c r="CS71" s="69"/>
      <c r="CT71" s="69"/>
      <c r="CU71" s="69"/>
      <c r="CV71" s="69"/>
      <c r="CW71" s="69"/>
      <c r="CX71" s="69"/>
      <c r="CY71" s="69"/>
      <c r="CZ71" s="69"/>
      <c r="DA71" s="69"/>
      <c r="DB71" s="69"/>
      <c r="DC71" s="69"/>
      <c r="DD71" s="69"/>
      <c r="DE71" s="69"/>
      <c r="DF71" s="69"/>
      <c r="DG71" s="69"/>
      <c r="DH71" s="69"/>
      <c r="DI71" s="69"/>
      <c r="DJ71" s="69"/>
      <c r="DK71" s="69"/>
      <c r="DL71" s="3"/>
      <c r="DM71" s="3"/>
      <c r="DN71" s="3"/>
      <c r="DO71" s="3"/>
      <c r="DP71" s="3"/>
      <c r="DQ71" s="3"/>
      <c r="DR71" s="3"/>
      <c r="DS71" s="3"/>
      <c r="DT71" s="3"/>
      <c r="DU71" s="3"/>
    </row>
    <row r="72" ht="15.75" customHeight="1">
      <c r="A72" s="99">
        <v>24.0</v>
      </c>
      <c r="B72" s="100" t="s">
        <v>227</v>
      </c>
      <c r="C72" s="101" t="s">
        <v>86</v>
      </c>
      <c r="D72" s="102" t="s">
        <v>42</v>
      </c>
      <c r="E72" s="102">
        <v>4.0</v>
      </c>
      <c r="F72" s="102">
        <v>4.0</v>
      </c>
      <c r="G72" s="6">
        <v>44049.0</v>
      </c>
      <c r="H72" s="6">
        <v>44049.0</v>
      </c>
      <c r="I72" s="111">
        <v>1.0</v>
      </c>
      <c r="J72" s="111">
        <v>1.0</v>
      </c>
      <c r="K72" s="111">
        <v>1.0</v>
      </c>
      <c r="L72" s="111">
        <v>1.0</v>
      </c>
      <c r="M72" s="111">
        <v>1.0</v>
      </c>
      <c r="N72" s="111">
        <v>1.0</v>
      </c>
      <c r="O72" s="111">
        <v>1.0</v>
      </c>
      <c r="P72" s="111">
        <v>1.0</v>
      </c>
      <c r="Q72" s="111">
        <v>1.0</v>
      </c>
      <c r="R72" s="111">
        <v>1.0</v>
      </c>
      <c r="S72" s="111">
        <v>1.0</v>
      </c>
      <c r="T72" s="111">
        <v>1.0</v>
      </c>
      <c r="U72" s="111">
        <v>1.0</v>
      </c>
      <c r="V72" s="111">
        <v>1.0</v>
      </c>
      <c r="W72" s="111">
        <v>1.0</v>
      </c>
      <c r="X72" s="111">
        <v>1.0</v>
      </c>
      <c r="Y72" s="111">
        <v>1.0</v>
      </c>
      <c r="Z72" s="111">
        <v>1.0</v>
      </c>
      <c r="AA72" s="111">
        <v>1.0</v>
      </c>
      <c r="AB72" s="111">
        <v>1.0</v>
      </c>
      <c r="AC72" s="111">
        <v>1.0</v>
      </c>
      <c r="AD72" s="111">
        <v>1.0</v>
      </c>
      <c r="AE72" s="111">
        <v>1.0</v>
      </c>
      <c r="AF72" s="111">
        <v>1.0</v>
      </c>
      <c r="AG72" s="111">
        <v>1.0</v>
      </c>
      <c r="AH72" s="111">
        <v>1.0</v>
      </c>
      <c r="AI72" s="111">
        <v>1.0</v>
      </c>
      <c r="AJ72" s="111">
        <v>1.0</v>
      </c>
      <c r="AK72" s="111">
        <v>1.0</v>
      </c>
      <c r="AL72" s="111">
        <v>1.0</v>
      </c>
      <c r="AM72" s="111">
        <v>1.0</v>
      </c>
      <c r="AN72" s="111">
        <v>1.0</v>
      </c>
      <c r="AO72" s="111">
        <v>1.0</v>
      </c>
      <c r="AP72" s="111">
        <v>1.0</v>
      </c>
      <c r="AQ72" s="111">
        <v>1.0</v>
      </c>
      <c r="AR72" s="111">
        <v>1.0</v>
      </c>
      <c r="AS72" s="111">
        <v>1.0</v>
      </c>
      <c r="AT72" s="111">
        <v>1.0</v>
      </c>
      <c r="AU72" s="111">
        <v>1.0</v>
      </c>
      <c r="AV72" s="111">
        <v>1.0</v>
      </c>
      <c r="AW72" s="111">
        <v>1.0</v>
      </c>
      <c r="AX72" s="111">
        <v>1.0</v>
      </c>
      <c r="AY72" s="111">
        <v>1.0</v>
      </c>
      <c r="AZ72" s="111">
        <v>1.0</v>
      </c>
      <c r="BA72" s="111">
        <v>1.0</v>
      </c>
      <c r="BB72" s="111">
        <v>1.0</v>
      </c>
      <c r="BC72" s="111">
        <v>1.0</v>
      </c>
      <c r="BD72" s="111">
        <v>1.0</v>
      </c>
      <c r="BE72" s="111">
        <v>1.0</v>
      </c>
      <c r="BF72" s="111">
        <v>1.0</v>
      </c>
      <c r="BG72" s="111">
        <v>1.0</v>
      </c>
      <c r="BH72" s="111">
        <v>1.0</v>
      </c>
      <c r="BI72" s="111">
        <v>1.0</v>
      </c>
      <c r="BJ72" s="111">
        <v>1.0</v>
      </c>
      <c r="BK72" s="111">
        <v>1.0</v>
      </c>
      <c r="BL72" s="111">
        <v>1.0</v>
      </c>
      <c r="BM72" s="111"/>
      <c r="BN72" s="111"/>
      <c r="BO72" s="111"/>
      <c r="BP72" s="111"/>
      <c r="BQ72" s="111"/>
      <c r="BR72" s="111"/>
      <c r="BS72" s="69"/>
      <c r="BT72" s="69"/>
      <c r="BU72" s="69"/>
      <c r="BV72" s="69"/>
      <c r="BW72" s="69"/>
      <c r="BX72" s="69"/>
      <c r="BY72" s="69"/>
      <c r="BZ72" s="69"/>
      <c r="CA72" s="69"/>
      <c r="CB72" s="69"/>
      <c r="CC72" s="69"/>
      <c r="CD72" s="69"/>
      <c r="CE72" s="69"/>
      <c r="CF72" s="69"/>
      <c r="CG72" s="69"/>
      <c r="CH72" s="69"/>
      <c r="CI72" s="69"/>
      <c r="CJ72" s="69"/>
      <c r="CK72" s="69"/>
      <c r="CL72" s="69"/>
      <c r="CM72" s="69"/>
      <c r="CN72" s="69"/>
      <c r="CO72" s="69"/>
      <c r="CP72" s="69"/>
      <c r="CQ72" s="69"/>
      <c r="CR72" s="69"/>
      <c r="CS72" s="69"/>
      <c r="CT72" s="69"/>
      <c r="CU72" s="69"/>
      <c r="CV72" s="69"/>
      <c r="CW72" s="69"/>
      <c r="CX72" s="69"/>
      <c r="CY72" s="69"/>
      <c r="CZ72" s="69"/>
      <c r="DA72" s="69"/>
      <c r="DB72" s="69"/>
      <c r="DC72" s="69"/>
      <c r="DD72" s="69"/>
      <c r="DE72" s="69"/>
      <c r="DF72" s="69"/>
      <c r="DG72" s="69"/>
      <c r="DH72" s="69"/>
      <c r="DI72" s="69"/>
      <c r="DJ72" s="69"/>
      <c r="DK72" s="69"/>
      <c r="DL72" s="3"/>
      <c r="DM72" s="3"/>
      <c r="DN72" s="3"/>
      <c r="DO72" s="3"/>
      <c r="DP72" s="3"/>
      <c r="DQ72" s="3"/>
      <c r="DR72" s="3"/>
      <c r="DS72" s="3"/>
      <c r="DT72" s="3"/>
      <c r="DU72" s="3"/>
    </row>
    <row r="73" ht="15.75" customHeight="1">
      <c r="A73" s="99">
        <v>25.0</v>
      </c>
      <c r="B73" s="100" t="s">
        <v>228</v>
      </c>
      <c r="C73" s="101" t="s">
        <v>86</v>
      </c>
      <c r="D73" s="102" t="s">
        <v>55</v>
      </c>
      <c r="E73" s="105">
        <v>4.0</v>
      </c>
      <c r="F73" s="102">
        <v>4.0</v>
      </c>
      <c r="G73" s="6">
        <v>44051.0</v>
      </c>
      <c r="H73" s="6">
        <v>44051.0</v>
      </c>
      <c r="I73" s="111">
        <v>1.0</v>
      </c>
      <c r="J73" s="111">
        <v>1.0</v>
      </c>
      <c r="K73" s="111">
        <v>1.0</v>
      </c>
      <c r="L73" s="111">
        <v>1.0</v>
      </c>
      <c r="M73" s="111">
        <v>1.0</v>
      </c>
      <c r="N73" s="111">
        <v>1.0</v>
      </c>
      <c r="O73" s="111">
        <v>1.0</v>
      </c>
      <c r="P73" s="111">
        <v>1.0</v>
      </c>
      <c r="Q73" s="111">
        <v>1.0</v>
      </c>
      <c r="R73" s="111">
        <v>1.0</v>
      </c>
      <c r="S73" s="111">
        <v>1.0</v>
      </c>
      <c r="T73" s="111">
        <v>1.0</v>
      </c>
      <c r="U73" s="111">
        <v>1.0</v>
      </c>
      <c r="V73" s="111">
        <v>1.0</v>
      </c>
      <c r="W73" s="111">
        <v>1.0</v>
      </c>
      <c r="X73" s="111">
        <v>1.0</v>
      </c>
      <c r="Y73" s="111">
        <v>1.0</v>
      </c>
      <c r="Z73" s="111">
        <v>1.0</v>
      </c>
      <c r="AA73" s="111">
        <v>1.0</v>
      </c>
      <c r="AB73" s="111">
        <v>1.0</v>
      </c>
      <c r="AC73" s="111">
        <v>1.0</v>
      </c>
      <c r="AD73" s="111">
        <v>1.0</v>
      </c>
      <c r="AE73" s="111">
        <v>1.0</v>
      </c>
      <c r="AF73" s="111">
        <v>1.0</v>
      </c>
      <c r="AG73" s="111">
        <v>1.0</v>
      </c>
      <c r="AH73" s="111">
        <v>1.0</v>
      </c>
      <c r="AI73" s="111">
        <v>1.0</v>
      </c>
      <c r="AJ73" s="111">
        <v>1.0</v>
      </c>
      <c r="AK73" s="111">
        <v>1.0</v>
      </c>
      <c r="AL73" s="111">
        <v>1.0</v>
      </c>
      <c r="AM73" s="111">
        <v>1.0</v>
      </c>
      <c r="AN73" s="111">
        <v>1.0</v>
      </c>
      <c r="AO73" s="111">
        <v>1.0</v>
      </c>
      <c r="AP73" s="111">
        <v>1.0</v>
      </c>
      <c r="AQ73" s="111">
        <v>1.0</v>
      </c>
      <c r="AR73" s="111">
        <v>1.0</v>
      </c>
      <c r="AS73" s="111">
        <v>1.0</v>
      </c>
      <c r="AT73" s="111">
        <v>1.0</v>
      </c>
      <c r="AU73" s="111">
        <v>1.0</v>
      </c>
      <c r="AV73" s="111">
        <v>1.0</v>
      </c>
      <c r="AW73" s="111">
        <v>1.0</v>
      </c>
      <c r="AX73" s="111">
        <v>1.0</v>
      </c>
      <c r="AY73" s="111">
        <v>1.0</v>
      </c>
      <c r="AZ73" s="111">
        <v>1.0</v>
      </c>
      <c r="BA73" s="111">
        <v>1.0</v>
      </c>
      <c r="BB73" s="111">
        <v>1.0</v>
      </c>
      <c r="BC73" s="111">
        <v>1.0</v>
      </c>
      <c r="BD73" s="111">
        <v>1.0</v>
      </c>
      <c r="BE73" s="111">
        <v>1.0</v>
      </c>
      <c r="BF73" s="111">
        <v>1.0</v>
      </c>
      <c r="BG73" s="111">
        <v>1.0</v>
      </c>
      <c r="BH73" s="111">
        <v>1.0</v>
      </c>
      <c r="BI73" s="111">
        <v>1.0</v>
      </c>
      <c r="BJ73" s="111">
        <v>1.0</v>
      </c>
      <c r="BK73" s="111"/>
      <c r="BL73" s="111"/>
      <c r="BM73" s="111"/>
      <c r="BN73" s="111"/>
      <c r="BO73" s="111"/>
      <c r="BP73" s="111"/>
      <c r="BQ73" s="111"/>
      <c r="BR73" s="111"/>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c r="CX73" s="69"/>
      <c r="CY73" s="69"/>
      <c r="CZ73" s="69"/>
      <c r="DA73" s="69"/>
      <c r="DB73" s="69"/>
      <c r="DC73" s="69"/>
      <c r="DD73" s="69"/>
      <c r="DE73" s="69"/>
      <c r="DF73" s="69"/>
      <c r="DG73" s="69"/>
      <c r="DH73" s="69"/>
      <c r="DI73" s="69"/>
      <c r="DJ73" s="69"/>
      <c r="DK73" s="69"/>
      <c r="DL73" s="3"/>
      <c r="DM73" s="3"/>
      <c r="DN73" s="3"/>
      <c r="DO73" s="3"/>
      <c r="DP73" s="3"/>
      <c r="DQ73" s="3"/>
      <c r="DR73" s="3"/>
      <c r="DS73" s="3"/>
      <c r="DT73" s="3"/>
      <c r="DU73" s="3"/>
    </row>
    <row r="74" ht="15.75" customHeight="1">
      <c r="A74" s="99">
        <v>26.0</v>
      </c>
      <c r="B74" s="100" t="s">
        <v>229</v>
      </c>
      <c r="C74" s="101" t="s">
        <v>86</v>
      </c>
      <c r="D74" s="102" t="s">
        <v>42</v>
      </c>
      <c r="E74" s="105">
        <v>4.0</v>
      </c>
      <c r="F74" s="102">
        <v>4.0</v>
      </c>
      <c r="G74" s="6">
        <v>44049.0</v>
      </c>
      <c r="H74" s="6">
        <v>44049.0</v>
      </c>
      <c r="I74" s="111">
        <v>1.0</v>
      </c>
      <c r="J74" s="111">
        <v>1.0</v>
      </c>
      <c r="K74" s="111">
        <v>1.0</v>
      </c>
      <c r="L74" s="111">
        <v>1.0</v>
      </c>
      <c r="M74" s="111">
        <v>1.0</v>
      </c>
      <c r="N74" s="111">
        <v>1.0</v>
      </c>
      <c r="O74" s="111">
        <v>1.0</v>
      </c>
      <c r="P74" s="111">
        <v>1.0</v>
      </c>
      <c r="Q74" s="111">
        <v>1.0</v>
      </c>
      <c r="R74" s="111">
        <v>1.0</v>
      </c>
      <c r="S74" s="111">
        <v>1.0</v>
      </c>
      <c r="T74" s="111">
        <v>1.0</v>
      </c>
      <c r="U74" s="111">
        <v>1.0</v>
      </c>
      <c r="V74" s="111">
        <v>1.0</v>
      </c>
      <c r="W74" s="111">
        <v>1.0</v>
      </c>
      <c r="X74" s="111">
        <v>1.0</v>
      </c>
      <c r="Y74" s="111">
        <v>1.0</v>
      </c>
      <c r="Z74" s="111">
        <v>1.0</v>
      </c>
      <c r="AA74" s="111">
        <v>1.0</v>
      </c>
      <c r="AB74" s="111">
        <v>1.0</v>
      </c>
      <c r="AC74" s="111">
        <v>1.0</v>
      </c>
      <c r="AD74" s="111">
        <v>1.0</v>
      </c>
      <c r="AE74" s="111">
        <v>1.0</v>
      </c>
      <c r="AF74" s="111">
        <v>1.0</v>
      </c>
      <c r="AG74" s="111">
        <v>1.0</v>
      </c>
      <c r="AH74" s="111">
        <v>1.0</v>
      </c>
      <c r="AI74" s="111">
        <v>1.0</v>
      </c>
      <c r="AJ74" s="111">
        <v>1.0</v>
      </c>
      <c r="AK74" s="111">
        <v>1.0</v>
      </c>
      <c r="AL74" s="111">
        <v>1.0</v>
      </c>
      <c r="AM74" s="111">
        <v>1.0</v>
      </c>
      <c r="AN74" s="111">
        <v>1.0</v>
      </c>
      <c r="AO74" s="111">
        <v>1.0</v>
      </c>
      <c r="AP74" s="111">
        <v>1.0</v>
      </c>
      <c r="AQ74" s="111">
        <v>1.0</v>
      </c>
      <c r="AR74" s="111">
        <v>1.0</v>
      </c>
      <c r="AS74" s="111">
        <v>1.0</v>
      </c>
      <c r="AT74" s="111">
        <v>1.0</v>
      </c>
      <c r="AU74" s="111">
        <v>1.0</v>
      </c>
      <c r="AV74" s="111">
        <v>1.0</v>
      </c>
      <c r="AW74" s="111">
        <v>1.0</v>
      </c>
      <c r="AX74" s="111">
        <v>1.0</v>
      </c>
      <c r="AY74" s="111">
        <v>1.0</v>
      </c>
      <c r="AZ74" s="111">
        <v>1.0</v>
      </c>
      <c r="BA74" s="111">
        <v>1.0</v>
      </c>
      <c r="BB74" s="111">
        <v>1.0</v>
      </c>
      <c r="BC74" s="111">
        <v>1.0</v>
      </c>
      <c r="BD74" s="111">
        <v>1.0</v>
      </c>
      <c r="BE74" s="111">
        <v>1.0</v>
      </c>
      <c r="BF74" s="111">
        <v>1.0</v>
      </c>
      <c r="BG74" s="111">
        <v>1.0</v>
      </c>
      <c r="BH74" s="111">
        <v>1.0</v>
      </c>
      <c r="BI74" s="111">
        <v>1.0</v>
      </c>
      <c r="BJ74" s="111">
        <v>1.0</v>
      </c>
      <c r="BK74" s="111">
        <v>1.0</v>
      </c>
      <c r="BL74" s="111">
        <v>1.0</v>
      </c>
      <c r="BM74" s="111"/>
      <c r="BN74" s="111"/>
      <c r="BO74" s="111"/>
      <c r="BP74" s="111"/>
      <c r="BQ74" s="111"/>
      <c r="BR74" s="111"/>
      <c r="BS74" s="69"/>
      <c r="BT74" s="69"/>
      <c r="BU74" s="69"/>
      <c r="BV74" s="69"/>
      <c r="BW74" s="69"/>
      <c r="BX74" s="69"/>
      <c r="BY74" s="69"/>
      <c r="BZ74" s="69"/>
      <c r="CA74" s="69"/>
      <c r="CB74" s="69"/>
      <c r="CC74" s="69"/>
      <c r="CD74" s="69"/>
      <c r="CE74" s="69"/>
      <c r="CF74" s="69"/>
      <c r="CG74" s="69"/>
      <c r="CH74" s="69"/>
      <c r="CI74" s="69"/>
      <c r="CJ74" s="69"/>
      <c r="CK74" s="69"/>
      <c r="CL74" s="69"/>
      <c r="CM74" s="69"/>
      <c r="CN74" s="69"/>
      <c r="CO74" s="69"/>
      <c r="CP74" s="69"/>
      <c r="CQ74" s="69"/>
      <c r="CR74" s="69"/>
      <c r="CS74" s="69"/>
      <c r="CT74" s="69"/>
      <c r="CU74" s="69"/>
      <c r="CV74" s="69"/>
      <c r="CW74" s="69"/>
      <c r="CX74" s="69"/>
      <c r="CY74" s="69"/>
      <c r="CZ74" s="69"/>
      <c r="DA74" s="69"/>
      <c r="DB74" s="69"/>
      <c r="DC74" s="69"/>
      <c r="DD74" s="69"/>
      <c r="DE74" s="69"/>
      <c r="DF74" s="69"/>
      <c r="DG74" s="69"/>
      <c r="DH74" s="69"/>
      <c r="DI74" s="69"/>
      <c r="DJ74" s="69"/>
      <c r="DK74" s="69"/>
      <c r="DL74" s="3"/>
      <c r="DM74" s="3"/>
      <c r="DN74" s="3"/>
      <c r="DO74" s="3"/>
      <c r="DP74" s="3"/>
      <c r="DQ74" s="3"/>
      <c r="DR74" s="3"/>
      <c r="DS74" s="3"/>
      <c r="DT74" s="3"/>
      <c r="DU74" s="3"/>
    </row>
    <row r="75" ht="15.75" customHeight="1">
      <c r="A75" s="99">
        <v>27.0</v>
      </c>
      <c r="B75" s="100" t="s">
        <v>230</v>
      </c>
      <c r="C75" s="101" t="s">
        <v>86</v>
      </c>
      <c r="D75" s="102" t="s">
        <v>55</v>
      </c>
      <c r="E75" s="102">
        <v>4.0</v>
      </c>
      <c r="F75" s="102">
        <v>4.0</v>
      </c>
      <c r="G75" s="6">
        <v>44050.0</v>
      </c>
      <c r="H75" s="6">
        <v>44050.0</v>
      </c>
      <c r="I75" s="111">
        <v>1.0</v>
      </c>
      <c r="J75" s="111">
        <v>1.0</v>
      </c>
      <c r="K75" s="111">
        <v>1.0</v>
      </c>
      <c r="L75" s="111">
        <v>1.0</v>
      </c>
      <c r="M75" s="111">
        <v>1.0</v>
      </c>
      <c r="N75" s="111">
        <v>1.0</v>
      </c>
      <c r="O75" s="111">
        <v>1.0</v>
      </c>
      <c r="P75" s="111">
        <v>1.0</v>
      </c>
      <c r="Q75" s="111">
        <v>1.0</v>
      </c>
      <c r="R75" s="111">
        <v>1.0</v>
      </c>
      <c r="S75" s="111">
        <v>1.0</v>
      </c>
      <c r="T75" s="111">
        <v>1.0</v>
      </c>
      <c r="U75" s="111">
        <v>1.0</v>
      </c>
      <c r="V75" s="111">
        <v>1.0</v>
      </c>
      <c r="W75" s="111">
        <v>1.0</v>
      </c>
      <c r="X75" s="111">
        <v>1.0</v>
      </c>
      <c r="Y75" s="111">
        <v>1.0</v>
      </c>
      <c r="Z75" s="111">
        <v>1.0</v>
      </c>
      <c r="AA75" s="111">
        <v>1.0</v>
      </c>
      <c r="AB75" s="111">
        <v>1.0</v>
      </c>
      <c r="AC75" s="111">
        <v>1.0</v>
      </c>
      <c r="AD75" s="111">
        <v>1.0</v>
      </c>
      <c r="AE75" s="111">
        <v>1.0</v>
      </c>
      <c r="AF75" s="111">
        <v>1.0</v>
      </c>
      <c r="AG75" s="111">
        <v>1.0</v>
      </c>
      <c r="AH75" s="111">
        <v>1.0</v>
      </c>
      <c r="AI75" s="111">
        <v>1.0</v>
      </c>
      <c r="AJ75" s="111">
        <v>1.0</v>
      </c>
      <c r="AK75" s="111">
        <v>1.0</v>
      </c>
      <c r="AL75" s="111">
        <v>1.0</v>
      </c>
      <c r="AM75" s="111">
        <v>1.0</v>
      </c>
      <c r="AN75" s="111">
        <v>1.0</v>
      </c>
      <c r="AO75" s="111">
        <v>1.0</v>
      </c>
      <c r="AP75" s="111">
        <v>1.0</v>
      </c>
      <c r="AQ75" s="111">
        <v>1.0</v>
      </c>
      <c r="AR75" s="111">
        <v>1.0</v>
      </c>
      <c r="AS75" s="111">
        <v>1.0</v>
      </c>
      <c r="AT75" s="111">
        <v>1.0</v>
      </c>
      <c r="AU75" s="111">
        <v>1.0</v>
      </c>
      <c r="AV75" s="111">
        <v>1.0</v>
      </c>
      <c r="AW75" s="111">
        <v>1.0</v>
      </c>
      <c r="AX75" s="111">
        <v>1.0</v>
      </c>
      <c r="AY75" s="111">
        <v>1.0</v>
      </c>
      <c r="AZ75" s="111">
        <v>1.0</v>
      </c>
      <c r="BA75" s="111">
        <v>1.0</v>
      </c>
      <c r="BB75" s="111">
        <v>1.0</v>
      </c>
      <c r="BC75" s="111">
        <v>1.0</v>
      </c>
      <c r="BD75" s="111">
        <v>1.0</v>
      </c>
      <c r="BE75" s="111">
        <v>1.0</v>
      </c>
      <c r="BF75" s="111">
        <v>1.0</v>
      </c>
      <c r="BG75" s="111">
        <v>1.0</v>
      </c>
      <c r="BH75" s="111">
        <v>1.0</v>
      </c>
      <c r="BI75" s="111">
        <v>1.0</v>
      </c>
      <c r="BJ75" s="111">
        <v>1.0</v>
      </c>
      <c r="BK75" s="111">
        <v>1.0</v>
      </c>
      <c r="BL75" s="111"/>
      <c r="BM75" s="111"/>
      <c r="BN75" s="111"/>
      <c r="BO75" s="111"/>
      <c r="BP75" s="111"/>
      <c r="BQ75" s="111"/>
      <c r="BR75" s="111"/>
      <c r="BS75" s="69"/>
      <c r="BT75" s="69"/>
      <c r="BU75" s="69"/>
      <c r="BV75" s="69"/>
      <c r="BW75" s="69"/>
      <c r="BX75" s="69"/>
      <c r="BY75" s="69"/>
      <c r="BZ75" s="69"/>
      <c r="CA75" s="69"/>
      <c r="CB75" s="69"/>
      <c r="CC75" s="69"/>
      <c r="CD75" s="69"/>
      <c r="CE75" s="69"/>
      <c r="CF75" s="69"/>
      <c r="CG75" s="69"/>
      <c r="CH75" s="69"/>
      <c r="CI75" s="69"/>
      <c r="CJ75" s="69"/>
      <c r="CK75" s="69"/>
      <c r="CL75" s="69"/>
      <c r="CM75" s="69"/>
      <c r="CN75" s="69"/>
      <c r="CO75" s="69"/>
      <c r="CP75" s="69"/>
      <c r="CQ75" s="69"/>
      <c r="CR75" s="69"/>
      <c r="CS75" s="69"/>
      <c r="CT75" s="69"/>
      <c r="CU75" s="69"/>
      <c r="CV75" s="69"/>
      <c r="CW75" s="69"/>
      <c r="CX75" s="69"/>
      <c r="CY75" s="69"/>
      <c r="CZ75" s="69"/>
      <c r="DA75" s="69"/>
      <c r="DB75" s="69"/>
      <c r="DC75" s="69"/>
      <c r="DD75" s="69"/>
      <c r="DE75" s="69"/>
      <c r="DF75" s="69"/>
      <c r="DG75" s="69"/>
      <c r="DH75" s="69"/>
      <c r="DI75" s="69"/>
      <c r="DJ75" s="69"/>
      <c r="DK75" s="69"/>
      <c r="DL75" s="3"/>
      <c r="DM75" s="3"/>
      <c r="DN75" s="3"/>
      <c r="DO75" s="3"/>
      <c r="DP75" s="3"/>
      <c r="DQ75" s="3"/>
      <c r="DR75" s="3"/>
      <c r="DS75" s="3"/>
      <c r="DT75" s="3"/>
      <c r="DU75" s="3"/>
    </row>
    <row r="76" ht="15.75" customHeight="1">
      <c r="A76" s="99">
        <v>28.0</v>
      </c>
      <c r="B76" s="100" t="s">
        <v>231</v>
      </c>
      <c r="C76" s="101" t="s">
        <v>86</v>
      </c>
      <c r="D76" s="102" t="s">
        <v>51</v>
      </c>
      <c r="E76" s="105">
        <v>4.0</v>
      </c>
      <c r="F76" s="102">
        <v>4.0</v>
      </c>
      <c r="G76" s="6">
        <v>44053.0</v>
      </c>
      <c r="H76" s="6">
        <v>44053.0</v>
      </c>
      <c r="I76" s="111">
        <v>1.0</v>
      </c>
      <c r="J76" s="111">
        <v>1.0</v>
      </c>
      <c r="K76" s="111">
        <v>1.0</v>
      </c>
      <c r="L76" s="111">
        <v>1.0</v>
      </c>
      <c r="M76" s="111">
        <v>1.0</v>
      </c>
      <c r="N76" s="111">
        <v>1.0</v>
      </c>
      <c r="O76" s="111">
        <v>1.0</v>
      </c>
      <c r="P76" s="111">
        <v>1.0</v>
      </c>
      <c r="Q76" s="111">
        <v>1.0</v>
      </c>
      <c r="R76" s="111">
        <v>1.0</v>
      </c>
      <c r="S76" s="111">
        <v>1.0</v>
      </c>
      <c r="T76" s="111">
        <v>1.0</v>
      </c>
      <c r="U76" s="111">
        <v>1.0</v>
      </c>
      <c r="V76" s="111">
        <v>1.0</v>
      </c>
      <c r="W76" s="111">
        <v>1.0</v>
      </c>
      <c r="X76" s="111">
        <v>1.0</v>
      </c>
      <c r="Y76" s="111">
        <v>1.0</v>
      </c>
      <c r="Z76" s="111">
        <v>1.0</v>
      </c>
      <c r="AA76" s="111">
        <v>1.0</v>
      </c>
      <c r="AB76" s="111">
        <v>1.0</v>
      </c>
      <c r="AC76" s="111">
        <v>1.0</v>
      </c>
      <c r="AD76" s="111">
        <v>1.0</v>
      </c>
      <c r="AE76" s="111">
        <v>1.0</v>
      </c>
      <c r="AF76" s="111">
        <v>1.0</v>
      </c>
      <c r="AG76" s="111">
        <v>1.0</v>
      </c>
      <c r="AH76" s="111">
        <v>1.0</v>
      </c>
      <c r="AI76" s="111">
        <v>1.0</v>
      </c>
      <c r="AJ76" s="111">
        <v>1.0</v>
      </c>
      <c r="AK76" s="111">
        <v>1.0</v>
      </c>
      <c r="AL76" s="111">
        <v>1.0</v>
      </c>
      <c r="AM76" s="111">
        <v>1.0</v>
      </c>
      <c r="AN76" s="111">
        <v>1.0</v>
      </c>
      <c r="AO76" s="111">
        <v>1.0</v>
      </c>
      <c r="AP76" s="111">
        <v>1.0</v>
      </c>
      <c r="AQ76" s="111">
        <v>1.0</v>
      </c>
      <c r="AR76" s="111">
        <v>1.0</v>
      </c>
      <c r="AS76" s="111">
        <v>1.0</v>
      </c>
      <c r="AT76" s="111">
        <v>1.0</v>
      </c>
      <c r="AU76" s="111">
        <v>1.0</v>
      </c>
      <c r="AV76" s="111">
        <v>1.0</v>
      </c>
      <c r="AW76" s="111">
        <v>1.0</v>
      </c>
      <c r="AX76" s="111">
        <v>1.0</v>
      </c>
      <c r="AY76" s="111">
        <v>1.0</v>
      </c>
      <c r="AZ76" s="111">
        <v>1.0</v>
      </c>
      <c r="BA76" s="111">
        <v>1.0</v>
      </c>
      <c r="BB76" s="111">
        <v>1.0</v>
      </c>
      <c r="BC76" s="111">
        <v>1.0</v>
      </c>
      <c r="BD76" s="111">
        <v>1.0</v>
      </c>
      <c r="BE76" s="111">
        <v>1.0</v>
      </c>
      <c r="BF76" s="111">
        <v>1.0</v>
      </c>
      <c r="BG76" s="111">
        <v>1.0</v>
      </c>
      <c r="BH76" s="111">
        <v>1.0</v>
      </c>
      <c r="BI76" s="111">
        <v>1.0</v>
      </c>
      <c r="BJ76" s="111"/>
      <c r="BK76" s="111"/>
      <c r="BL76" s="111"/>
      <c r="BM76" s="111"/>
      <c r="BN76" s="111"/>
      <c r="BO76" s="111"/>
      <c r="BP76" s="111"/>
      <c r="BQ76" s="111"/>
      <c r="BR76" s="111"/>
      <c r="BS76" s="69"/>
      <c r="BT76" s="69"/>
      <c r="BU76" s="69"/>
      <c r="BV76" s="69"/>
      <c r="BW76" s="69"/>
      <c r="BX76" s="69"/>
      <c r="BY76" s="69"/>
      <c r="BZ76" s="69"/>
      <c r="CA76" s="69"/>
      <c r="CB76" s="69"/>
      <c r="CC76" s="69"/>
      <c r="CD76" s="69"/>
      <c r="CE76" s="69"/>
      <c r="CF76" s="69"/>
      <c r="CG76" s="69"/>
      <c r="CH76" s="69"/>
      <c r="CI76" s="69"/>
      <c r="CJ76" s="69"/>
      <c r="CK76" s="69"/>
      <c r="CL76" s="69"/>
      <c r="CM76" s="69"/>
      <c r="CN76" s="69"/>
      <c r="CO76" s="69"/>
      <c r="CP76" s="69"/>
      <c r="CQ76" s="69"/>
      <c r="CR76" s="69"/>
      <c r="CS76" s="69"/>
      <c r="CT76" s="69"/>
      <c r="CU76" s="69"/>
      <c r="CV76" s="69"/>
      <c r="CW76" s="69"/>
      <c r="CX76" s="69"/>
      <c r="CY76" s="69"/>
      <c r="CZ76" s="69"/>
      <c r="DA76" s="69"/>
      <c r="DB76" s="69"/>
      <c r="DC76" s="69"/>
      <c r="DD76" s="69"/>
      <c r="DE76" s="69"/>
      <c r="DF76" s="69"/>
      <c r="DG76" s="69"/>
      <c r="DH76" s="69"/>
      <c r="DI76" s="69"/>
      <c r="DJ76" s="69"/>
      <c r="DK76" s="69"/>
      <c r="DL76" s="3"/>
      <c r="DM76" s="3"/>
      <c r="DN76" s="3"/>
      <c r="DO76" s="3"/>
      <c r="DP76" s="3"/>
      <c r="DQ76" s="3"/>
      <c r="DR76" s="3"/>
      <c r="DS76" s="3"/>
      <c r="DT76" s="3"/>
      <c r="DU76" s="3"/>
    </row>
    <row r="77" ht="15.75" customHeight="1">
      <c r="A77" s="99">
        <v>29.0</v>
      </c>
      <c r="B77" s="100" t="s">
        <v>232</v>
      </c>
      <c r="C77" s="101" t="s">
        <v>86</v>
      </c>
      <c r="D77" s="102" t="s">
        <v>42</v>
      </c>
      <c r="E77" s="105">
        <v>16.0</v>
      </c>
      <c r="F77" s="102">
        <v>20.0</v>
      </c>
      <c r="G77" s="6">
        <v>44083.0</v>
      </c>
      <c r="H77" s="6">
        <v>44085.0</v>
      </c>
      <c r="I77" s="111">
        <v>1.0</v>
      </c>
      <c r="J77" s="111">
        <v>1.0</v>
      </c>
      <c r="K77" s="111">
        <v>1.0</v>
      </c>
      <c r="L77" s="111">
        <v>1.0</v>
      </c>
      <c r="M77" s="111">
        <v>1.0</v>
      </c>
      <c r="N77" s="111">
        <v>1.0</v>
      </c>
      <c r="O77" s="111">
        <v>1.0</v>
      </c>
      <c r="P77" s="111">
        <v>1.0</v>
      </c>
      <c r="Q77" s="111">
        <v>1.0</v>
      </c>
      <c r="R77" s="111">
        <v>1.0</v>
      </c>
      <c r="S77" s="111">
        <v>1.0</v>
      </c>
      <c r="T77" s="111">
        <v>1.0</v>
      </c>
      <c r="U77" s="111">
        <v>1.0</v>
      </c>
      <c r="V77" s="111">
        <v>1.0</v>
      </c>
      <c r="W77" s="111">
        <v>1.0</v>
      </c>
      <c r="X77" s="111">
        <v>1.0</v>
      </c>
      <c r="Y77" s="111">
        <v>1.0</v>
      </c>
      <c r="Z77" s="111">
        <v>1.0</v>
      </c>
      <c r="AA77" s="111">
        <v>1.0</v>
      </c>
      <c r="AB77" s="111">
        <v>1.0</v>
      </c>
      <c r="AC77" s="111">
        <v>1.0</v>
      </c>
      <c r="AD77" s="111">
        <v>1.0</v>
      </c>
      <c r="AE77" s="111">
        <v>1.0</v>
      </c>
      <c r="AF77" s="111">
        <v>1.0</v>
      </c>
      <c r="AG77" s="111">
        <v>1.0</v>
      </c>
      <c r="AH77" s="111">
        <v>1.0</v>
      </c>
      <c r="AI77" s="111">
        <v>1.0</v>
      </c>
      <c r="AJ77" s="111">
        <v>1.0</v>
      </c>
      <c r="AK77" s="111">
        <v>1.0</v>
      </c>
      <c r="AL77" s="111">
        <v>0.7</v>
      </c>
      <c r="AM77" s="111">
        <v>0.4</v>
      </c>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69"/>
      <c r="BT77" s="69"/>
      <c r="BU77" s="69"/>
      <c r="BV77" s="69"/>
      <c r="BW77" s="69"/>
      <c r="BX77" s="69"/>
      <c r="BY77" s="69"/>
      <c r="BZ77" s="69"/>
      <c r="CA77" s="69"/>
      <c r="CB77" s="69"/>
      <c r="CC77" s="69"/>
      <c r="CD77" s="69"/>
      <c r="CE77" s="69"/>
      <c r="CF77" s="69"/>
      <c r="CG77" s="69"/>
      <c r="CH77" s="69"/>
      <c r="CI77" s="69"/>
      <c r="CJ77" s="69"/>
      <c r="CK77" s="69"/>
      <c r="CL77" s="69"/>
      <c r="CM77" s="69"/>
      <c r="CN77" s="69"/>
      <c r="CO77" s="69"/>
      <c r="CP77" s="69"/>
      <c r="CQ77" s="69"/>
      <c r="CR77" s="69"/>
      <c r="CS77" s="69"/>
      <c r="CT77" s="69"/>
      <c r="CU77" s="69"/>
      <c r="CV77" s="69"/>
      <c r="CW77" s="69"/>
      <c r="CX77" s="69"/>
      <c r="CY77" s="69"/>
      <c r="CZ77" s="69"/>
      <c r="DA77" s="69"/>
      <c r="DB77" s="69"/>
      <c r="DC77" s="69"/>
      <c r="DD77" s="69"/>
      <c r="DE77" s="69"/>
      <c r="DF77" s="69"/>
      <c r="DG77" s="69"/>
      <c r="DH77" s="69"/>
      <c r="DI77" s="69"/>
      <c r="DJ77" s="69"/>
      <c r="DK77" s="69"/>
      <c r="DL77" s="3"/>
      <c r="DM77" s="3"/>
      <c r="DN77" s="3"/>
      <c r="DO77" s="3"/>
      <c r="DP77" s="3"/>
      <c r="DQ77" s="3"/>
      <c r="DR77" s="3"/>
      <c r="DS77" s="3"/>
      <c r="DT77" s="3"/>
      <c r="DU77" s="3"/>
    </row>
    <row r="78" ht="15.75" customHeight="1">
      <c r="A78" s="99">
        <v>30.0</v>
      </c>
      <c r="B78" s="100" t="s">
        <v>233</v>
      </c>
      <c r="C78" s="101" t="s">
        <v>86</v>
      </c>
      <c r="D78" s="102" t="s">
        <v>55</v>
      </c>
      <c r="E78" s="105">
        <v>16.0</v>
      </c>
      <c r="F78" s="102">
        <v>16.0</v>
      </c>
      <c r="G78" s="6">
        <v>44083.0</v>
      </c>
      <c r="H78" s="6">
        <v>44085.0</v>
      </c>
      <c r="I78" s="111">
        <v>1.0</v>
      </c>
      <c r="J78" s="111">
        <v>1.0</v>
      </c>
      <c r="K78" s="111">
        <v>1.0</v>
      </c>
      <c r="L78" s="111">
        <v>1.0</v>
      </c>
      <c r="M78" s="111">
        <v>1.0</v>
      </c>
      <c r="N78" s="111">
        <v>1.0</v>
      </c>
      <c r="O78" s="111">
        <v>1.0</v>
      </c>
      <c r="P78" s="111">
        <v>1.0</v>
      </c>
      <c r="Q78" s="111">
        <v>1.0</v>
      </c>
      <c r="R78" s="111">
        <v>1.0</v>
      </c>
      <c r="S78" s="111">
        <v>1.0</v>
      </c>
      <c r="T78" s="111">
        <v>1.0</v>
      </c>
      <c r="U78" s="111">
        <v>1.0</v>
      </c>
      <c r="V78" s="111">
        <v>1.0</v>
      </c>
      <c r="W78" s="111">
        <v>1.0</v>
      </c>
      <c r="X78" s="111">
        <v>1.0</v>
      </c>
      <c r="Y78" s="111">
        <v>1.0</v>
      </c>
      <c r="Z78" s="111">
        <v>1.0</v>
      </c>
      <c r="AA78" s="111">
        <v>1.0</v>
      </c>
      <c r="AB78" s="111">
        <v>1.0</v>
      </c>
      <c r="AC78" s="111">
        <v>1.0</v>
      </c>
      <c r="AD78" s="111">
        <v>1.0</v>
      </c>
      <c r="AE78" s="111">
        <v>1.0</v>
      </c>
      <c r="AF78" s="111">
        <v>1.0</v>
      </c>
      <c r="AG78" s="111">
        <v>1.0</v>
      </c>
      <c r="AH78" s="111">
        <v>1.0</v>
      </c>
      <c r="AI78" s="111">
        <v>1.0</v>
      </c>
      <c r="AJ78" s="111">
        <v>1.0</v>
      </c>
      <c r="AK78" s="111">
        <v>1.0</v>
      </c>
      <c r="AL78" s="111">
        <v>0.7</v>
      </c>
      <c r="AM78" s="111">
        <v>0.4</v>
      </c>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69"/>
      <c r="BT78" s="69"/>
      <c r="BU78" s="69"/>
      <c r="BV78" s="69"/>
      <c r="BW78" s="69"/>
      <c r="BX78" s="69"/>
      <c r="BY78" s="69"/>
      <c r="BZ78" s="69"/>
      <c r="CA78" s="69"/>
      <c r="CB78" s="69"/>
      <c r="CC78" s="69"/>
      <c r="CD78" s="69"/>
      <c r="CE78" s="69"/>
      <c r="CF78" s="69"/>
      <c r="CG78" s="69"/>
      <c r="CH78" s="69"/>
      <c r="CI78" s="69"/>
      <c r="CJ78" s="69"/>
      <c r="CK78" s="69"/>
      <c r="CL78" s="69"/>
      <c r="CM78" s="69"/>
      <c r="CN78" s="69"/>
      <c r="CO78" s="69"/>
      <c r="CP78" s="69"/>
      <c r="CQ78" s="69"/>
      <c r="CR78" s="69"/>
      <c r="CS78" s="69"/>
      <c r="CT78" s="69"/>
      <c r="CU78" s="69"/>
      <c r="CV78" s="69"/>
      <c r="CW78" s="69"/>
      <c r="CX78" s="69"/>
      <c r="CY78" s="69"/>
      <c r="CZ78" s="69"/>
      <c r="DA78" s="69"/>
      <c r="DB78" s="69"/>
      <c r="DC78" s="69"/>
      <c r="DD78" s="69"/>
      <c r="DE78" s="69"/>
      <c r="DF78" s="69"/>
      <c r="DG78" s="69"/>
      <c r="DH78" s="69"/>
      <c r="DI78" s="69"/>
      <c r="DJ78" s="69"/>
      <c r="DK78" s="69"/>
      <c r="DL78" s="3"/>
      <c r="DM78" s="3"/>
      <c r="DN78" s="3"/>
      <c r="DO78" s="3"/>
      <c r="DP78" s="3"/>
      <c r="DQ78" s="3"/>
      <c r="DR78" s="3"/>
      <c r="DS78" s="3"/>
      <c r="DT78" s="3"/>
      <c r="DU78" s="3"/>
    </row>
    <row r="79" ht="15.75" customHeight="1">
      <c r="A79" s="99">
        <v>31.0</v>
      </c>
      <c r="B79" s="100" t="s">
        <v>234</v>
      </c>
      <c r="C79" s="101" t="s">
        <v>86</v>
      </c>
      <c r="D79" s="102" t="s">
        <v>51</v>
      </c>
      <c r="E79" s="105">
        <v>16.0</v>
      </c>
      <c r="F79" s="102">
        <v>8.0</v>
      </c>
      <c r="G79" s="6">
        <v>44083.0</v>
      </c>
      <c r="H79" s="6">
        <v>44083.0</v>
      </c>
      <c r="I79" s="111">
        <v>1.0</v>
      </c>
      <c r="J79" s="111">
        <v>1.0</v>
      </c>
      <c r="K79" s="111">
        <v>1.0</v>
      </c>
      <c r="L79" s="111">
        <v>1.0</v>
      </c>
      <c r="M79" s="111">
        <v>1.0</v>
      </c>
      <c r="N79" s="111">
        <v>1.0</v>
      </c>
      <c r="O79" s="111">
        <v>1.0</v>
      </c>
      <c r="P79" s="111">
        <v>1.0</v>
      </c>
      <c r="Q79" s="111">
        <v>1.0</v>
      </c>
      <c r="R79" s="111">
        <v>1.0</v>
      </c>
      <c r="S79" s="111">
        <v>1.0</v>
      </c>
      <c r="T79" s="111">
        <v>1.0</v>
      </c>
      <c r="U79" s="111">
        <v>1.0</v>
      </c>
      <c r="V79" s="111">
        <v>1.0</v>
      </c>
      <c r="W79" s="111">
        <v>1.0</v>
      </c>
      <c r="X79" s="111">
        <v>1.0</v>
      </c>
      <c r="Y79" s="111">
        <v>1.0</v>
      </c>
      <c r="Z79" s="111">
        <v>1.0</v>
      </c>
      <c r="AA79" s="111">
        <v>1.0</v>
      </c>
      <c r="AB79" s="111">
        <v>1.0</v>
      </c>
      <c r="AC79" s="111">
        <v>1.0</v>
      </c>
      <c r="AD79" s="111">
        <v>1.0</v>
      </c>
      <c r="AE79" s="111">
        <v>1.0</v>
      </c>
      <c r="AF79" s="111">
        <v>1.0</v>
      </c>
      <c r="AG79" s="111">
        <v>1.0</v>
      </c>
      <c r="AH79" s="111">
        <v>1.0</v>
      </c>
      <c r="AI79" s="111">
        <v>1.0</v>
      </c>
      <c r="AJ79" s="111">
        <v>1.0</v>
      </c>
      <c r="AK79" s="111">
        <v>1.0</v>
      </c>
      <c r="AL79" s="111">
        <v>1.0</v>
      </c>
      <c r="AM79" s="111">
        <v>1.0</v>
      </c>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69"/>
      <c r="BT79" s="69"/>
      <c r="BU79" s="69"/>
      <c r="BV79" s="69"/>
      <c r="BW79" s="69"/>
      <c r="BX79" s="69"/>
      <c r="BY79" s="69"/>
      <c r="BZ79" s="69"/>
      <c r="CA79" s="69"/>
      <c r="CB79" s="69"/>
      <c r="CC79" s="69"/>
      <c r="CD79" s="69"/>
      <c r="CE79" s="69"/>
      <c r="CF79" s="69"/>
      <c r="CG79" s="69"/>
      <c r="CH79" s="69"/>
      <c r="CI79" s="69"/>
      <c r="CJ79" s="69"/>
      <c r="CK79" s="69"/>
      <c r="CL79" s="69"/>
      <c r="CM79" s="69"/>
      <c r="CN79" s="69"/>
      <c r="CO79" s="69"/>
      <c r="CP79" s="69"/>
      <c r="CQ79" s="69"/>
      <c r="CR79" s="69"/>
      <c r="CS79" s="69"/>
      <c r="CT79" s="69"/>
      <c r="CU79" s="69"/>
      <c r="CV79" s="69"/>
      <c r="CW79" s="69"/>
      <c r="CX79" s="69"/>
      <c r="CY79" s="69"/>
      <c r="CZ79" s="69"/>
      <c r="DA79" s="69"/>
      <c r="DB79" s="69"/>
      <c r="DC79" s="69"/>
      <c r="DD79" s="69"/>
      <c r="DE79" s="69"/>
      <c r="DF79" s="69"/>
      <c r="DG79" s="69"/>
      <c r="DH79" s="69"/>
      <c r="DI79" s="69"/>
      <c r="DJ79" s="69"/>
      <c r="DK79" s="69"/>
      <c r="DL79" s="3"/>
      <c r="DM79" s="3"/>
      <c r="DN79" s="3"/>
      <c r="DO79" s="3"/>
      <c r="DP79" s="3"/>
      <c r="DQ79" s="3"/>
      <c r="DR79" s="3"/>
      <c r="DS79" s="3"/>
      <c r="DT79" s="3"/>
      <c r="DU79" s="3"/>
    </row>
    <row r="80" ht="15.75" customHeight="1">
      <c r="A80" s="99">
        <v>32.0</v>
      </c>
      <c r="B80" s="100" t="s">
        <v>107</v>
      </c>
      <c r="C80" s="101" t="s">
        <v>86</v>
      </c>
      <c r="D80" s="102" t="s">
        <v>42</v>
      </c>
      <c r="E80" s="105">
        <v>16.0</v>
      </c>
      <c r="F80" s="102">
        <v>18.0</v>
      </c>
      <c r="G80" s="6">
        <v>44051.0</v>
      </c>
      <c r="H80" s="6">
        <v>44085.0</v>
      </c>
      <c r="I80" s="111">
        <v>1.0</v>
      </c>
      <c r="J80" s="111">
        <v>1.0</v>
      </c>
      <c r="K80" s="111">
        <v>1.0</v>
      </c>
      <c r="L80" s="111">
        <v>1.0</v>
      </c>
      <c r="M80" s="111">
        <v>1.0</v>
      </c>
      <c r="N80" s="111">
        <v>1.0</v>
      </c>
      <c r="O80" s="111">
        <v>1.0</v>
      </c>
      <c r="P80" s="111">
        <v>1.0</v>
      </c>
      <c r="Q80" s="111">
        <v>1.0</v>
      </c>
      <c r="R80" s="111">
        <v>1.0</v>
      </c>
      <c r="S80" s="111">
        <v>1.0</v>
      </c>
      <c r="T80" s="111">
        <v>1.0</v>
      </c>
      <c r="U80" s="111">
        <v>1.0</v>
      </c>
      <c r="V80" s="111">
        <v>1.0</v>
      </c>
      <c r="W80" s="111">
        <v>1.0</v>
      </c>
      <c r="X80" s="111">
        <v>1.0</v>
      </c>
      <c r="Y80" s="111">
        <v>1.0</v>
      </c>
      <c r="Z80" s="111">
        <v>1.0</v>
      </c>
      <c r="AA80" s="111">
        <v>1.0</v>
      </c>
      <c r="AB80" s="111">
        <v>1.0</v>
      </c>
      <c r="AC80" s="111">
        <v>1.0</v>
      </c>
      <c r="AD80" s="111">
        <v>1.0</v>
      </c>
      <c r="AE80" s="111">
        <v>1.0</v>
      </c>
      <c r="AF80" s="111">
        <v>1.0</v>
      </c>
      <c r="AG80" s="111">
        <v>1.0</v>
      </c>
      <c r="AH80" s="111">
        <v>1.0</v>
      </c>
      <c r="AI80" s="111">
        <v>1.0</v>
      </c>
      <c r="AJ80" s="111">
        <v>1.0</v>
      </c>
      <c r="AK80" s="111">
        <v>1.0</v>
      </c>
      <c r="AL80" s="111">
        <v>0.3</v>
      </c>
      <c r="AM80" s="111">
        <v>0.3</v>
      </c>
      <c r="AN80" s="111">
        <v>0.3</v>
      </c>
      <c r="AO80" s="111">
        <v>0.3</v>
      </c>
      <c r="AP80" s="111">
        <v>0.3</v>
      </c>
      <c r="AQ80" s="111">
        <v>0.3</v>
      </c>
      <c r="AR80" s="111">
        <v>0.3</v>
      </c>
      <c r="AS80" s="111">
        <v>0.3</v>
      </c>
      <c r="AT80" s="111">
        <v>0.3</v>
      </c>
      <c r="AU80" s="111">
        <v>0.3</v>
      </c>
      <c r="AV80" s="111">
        <v>0.3</v>
      </c>
      <c r="AW80" s="111">
        <v>0.3</v>
      </c>
      <c r="AX80" s="111">
        <v>0.3</v>
      </c>
      <c r="AY80" s="111">
        <v>0.3</v>
      </c>
      <c r="AZ80" s="111">
        <v>0.3</v>
      </c>
      <c r="BA80" s="111">
        <v>0.3</v>
      </c>
      <c r="BB80" s="111">
        <v>0.3</v>
      </c>
      <c r="BC80" s="111">
        <v>0.3</v>
      </c>
      <c r="BD80" s="111">
        <v>0.3</v>
      </c>
      <c r="BE80" s="111">
        <v>0.3</v>
      </c>
      <c r="BF80" s="111">
        <v>0.3</v>
      </c>
      <c r="BG80" s="111">
        <v>0.2</v>
      </c>
      <c r="BH80" s="111">
        <v>0.1</v>
      </c>
      <c r="BI80" s="111">
        <v>0.1</v>
      </c>
      <c r="BJ80" s="111">
        <v>0.1</v>
      </c>
      <c r="BK80" s="111"/>
      <c r="BL80" s="111"/>
      <c r="BM80" s="111"/>
      <c r="BN80" s="111"/>
      <c r="BO80" s="111"/>
      <c r="BP80" s="111"/>
      <c r="BQ80" s="111"/>
      <c r="BR80" s="111"/>
      <c r="BS80" s="69"/>
      <c r="BT80" s="69"/>
      <c r="BU80" s="69"/>
      <c r="BV80" s="69"/>
      <c r="BW80" s="69"/>
      <c r="BX80" s="69"/>
      <c r="BY80" s="69"/>
      <c r="BZ80" s="69"/>
      <c r="CA80" s="69"/>
      <c r="CB80" s="69"/>
      <c r="CC80" s="69"/>
      <c r="CD80" s="69"/>
      <c r="CE80" s="69"/>
      <c r="CF80" s="69"/>
      <c r="CG80" s="69"/>
      <c r="CH80" s="69"/>
      <c r="CI80" s="69"/>
      <c r="CJ80" s="69"/>
      <c r="CK80" s="69"/>
      <c r="CL80" s="69"/>
      <c r="CM80" s="69"/>
      <c r="CN80" s="69"/>
      <c r="CO80" s="69"/>
      <c r="CP80" s="69"/>
      <c r="CQ80" s="69"/>
      <c r="CR80" s="69"/>
      <c r="CS80" s="69"/>
      <c r="CT80" s="69"/>
      <c r="CU80" s="69"/>
      <c r="CV80" s="69"/>
      <c r="CW80" s="69"/>
      <c r="CX80" s="69"/>
      <c r="CY80" s="69"/>
      <c r="CZ80" s="69"/>
      <c r="DA80" s="69"/>
      <c r="DB80" s="69"/>
      <c r="DC80" s="69"/>
      <c r="DD80" s="69"/>
      <c r="DE80" s="69"/>
      <c r="DF80" s="69"/>
      <c r="DG80" s="69"/>
      <c r="DH80" s="69"/>
      <c r="DI80" s="69"/>
      <c r="DJ80" s="69"/>
      <c r="DK80" s="69"/>
      <c r="DL80" s="3"/>
      <c r="DM80" s="3"/>
      <c r="DN80" s="3"/>
      <c r="DO80" s="3"/>
      <c r="DP80" s="3"/>
      <c r="DQ80" s="3"/>
      <c r="DR80" s="3"/>
      <c r="DS80" s="3"/>
      <c r="DT80" s="3"/>
      <c r="DU80" s="3"/>
    </row>
    <row r="81" ht="15.75" customHeight="1">
      <c r="A81" s="99">
        <v>33.0</v>
      </c>
      <c r="B81" s="100" t="s">
        <v>108</v>
      </c>
      <c r="C81" s="101" t="s">
        <v>86</v>
      </c>
      <c r="D81" s="102" t="s">
        <v>55</v>
      </c>
      <c r="E81" s="105">
        <v>16.0</v>
      </c>
      <c r="F81" s="102">
        <v>24.0</v>
      </c>
      <c r="G81" s="6">
        <v>44049.0</v>
      </c>
      <c r="H81" s="6">
        <v>44085.0</v>
      </c>
      <c r="I81" s="111">
        <v>1.0</v>
      </c>
      <c r="J81" s="111">
        <v>1.0</v>
      </c>
      <c r="K81" s="111">
        <v>1.0</v>
      </c>
      <c r="L81" s="111">
        <v>1.0</v>
      </c>
      <c r="M81" s="111">
        <v>1.0</v>
      </c>
      <c r="N81" s="111">
        <v>1.0</v>
      </c>
      <c r="O81" s="111">
        <v>1.0</v>
      </c>
      <c r="P81" s="111">
        <v>1.0</v>
      </c>
      <c r="Q81" s="111">
        <v>1.0</v>
      </c>
      <c r="R81" s="111">
        <v>1.0</v>
      </c>
      <c r="S81" s="111">
        <v>1.0</v>
      </c>
      <c r="T81" s="111">
        <v>1.0</v>
      </c>
      <c r="U81" s="111">
        <v>1.0</v>
      </c>
      <c r="V81" s="111">
        <v>1.0</v>
      </c>
      <c r="W81" s="111">
        <v>1.0</v>
      </c>
      <c r="X81" s="111">
        <v>1.0</v>
      </c>
      <c r="Y81" s="111">
        <v>1.0</v>
      </c>
      <c r="Z81" s="111">
        <v>1.0</v>
      </c>
      <c r="AA81" s="111">
        <v>1.0</v>
      </c>
      <c r="AB81" s="111">
        <v>1.0</v>
      </c>
      <c r="AC81" s="111">
        <v>1.0</v>
      </c>
      <c r="AD81" s="111">
        <v>1.0</v>
      </c>
      <c r="AE81" s="111">
        <v>1.0</v>
      </c>
      <c r="AF81" s="111">
        <v>1.0</v>
      </c>
      <c r="AG81" s="111">
        <v>1.0</v>
      </c>
      <c r="AH81" s="111">
        <v>1.0</v>
      </c>
      <c r="AI81" s="111">
        <v>1.0</v>
      </c>
      <c r="AJ81" s="111">
        <v>1.0</v>
      </c>
      <c r="AK81" s="111">
        <v>1.0</v>
      </c>
      <c r="AL81" s="111">
        <v>0.5</v>
      </c>
      <c r="AM81" s="111">
        <v>0.5</v>
      </c>
      <c r="AN81" s="111">
        <v>0.5</v>
      </c>
      <c r="AO81" s="111">
        <v>0.5</v>
      </c>
      <c r="AP81" s="111">
        <v>0.5</v>
      </c>
      <c r="AQ81" s="111">
        <v>0.5</v>
      </c>
      <c r="AR81" s="111">
        <v>0.5</v>
      </c>
      <c r="AS81" s="111">
        <v>0.5</v>
      </c>
      <c r="AT81" s="111">
        <v>0.5</v>
      </c>
      <c r="AU81" s="111">
        <v>0.5</v>
      </c>
      <c r="AV81" s="111">
        <v>0.5</v>
      </c>
      <c r="AW81" s="111">
        <v>0.5</v>
      </c>
      <c r="AX81" s="111">
        <v>0.5</v>
      </c>
      <c r="AY81" s="111">
        <v>0.5</v>
      </c>
      <c r="AZ81" s="111">
        <v>0.5</v>
      </c>
      <c r="BA81" s="111">
        <v>0.5</v>
      </c>
      <c r="BB81" s="111">
        <v>0.5</v>
      </c>
      <c r="BC81" s="111">
        <v>0.5</v>
      </c>
      <c r="BD81" s="111">
        <v>0.5</v>
      </c>
      <c r="BE81" s="111">
        <v>0.5</v>
      </c>
      <c r="BF81" s="111">
        <v>0.5</v>
      </c>
      <c r="BG81" s="111">
        <v>0.5</v>
      </c>
      <c r="BH81" s="111">
        <v>0.3</v>
      </c>
      <c r="BI81" s="111">
        <v>0.3</v>
      </c>
      <c r="BJ81" s="111">
        <v>0.1</v>
      </c>
      <c r="BK81" s="111">
        <v>0.1</v>
      </c>
      <c r="BL81" s="111">
        <v>0.1</v>
      </c>
      <c r="BM81" s="111"/>
      <c r="BN81" s="111"/>
      <c r="BO81" s="111"/>
      <c r="BP81" s="111"/>
      <c r="BQ81" s="111"/>
      <c r="BR81" s="111"/>
      <c r="BS81" s="69"/>
      <c r="BT81" s="69"/>
      <c r="BU81" s="69"/>
      <c r="BV81" s="69"/>
      <c r="BW81" s="69"/>
      <c r="BX81" s="69"/>
      <c r="BY81" s="69"/>
      <c r="BZ81" s="69"/>
      <c r="CA81" s="69"/>
      <c r="CB81" s="69"/>
      <c r="CC81" s="69"/>
      <c r="CD81" s="69"/>
      <c r="CE81" s="69"/>
      <c r="CF81" s="69"/>
      <c r="CG81" s="69"/>
      <c r="CH81" s="69"/>
      <c r="CI81" s="69"/>
      <c r="CJ81" s="69"/>
      <c r="CK81" s="69"/>
      <c r="CL81" s="69"/>
      <c r="CM81" s="69"/>
      <c r="CN81" s="69"/>
      <c r="CO81" s="69"/>
      <c r="CP81" s="69"/>
      <c r="CQ81" s="69"/>
      <c r="CR81" s="69"/>
      <c r="CS81" s="69"/>
      <c r="CT81" s="69"/>
      <c r="CU81" s="69"/>
      <c r="CV81" s="69"/>
      <c r="CW81" s="69"/>
      <c r="CX81" s="69"/>
      <c r="CY81" s="69"/>
      <c r="CZ81" s="69"/>
      <c r="DA81" s="69"/>
      <c r="DB81" s="69"/>
      <c r="DC81" s="69"/>
      <c r="DD81" s="69"/>
      <c r="DE81" s="69"/>
      <c r="DF81" s="69"/>
      <c r="DG81" s="69"/>
      <c r="DH81" s="69"/>
      <c r="DI81" s="69"/>
      <c r="DJ81" s="69"/>
      <c r="DK81" s="69"/>
      <c r="DL81" s="3"/>
      <c r="DM81" s="3"/>
      <c r="DN81" s="3"/>
      <c r="DO81" s="3"/>
      <c r="DP81" s="3"/>
      <c r="DQ81" s="3"/>
      <c r="DR81" s="3"/>
      <c r="DS81" s="3"/>
      <c r="DT81" s="3"/>
      <c r="DU81" s="3"/>
    </row>
    <row r="82" ht="15.75" customHeight="1">
      <c r="A82" s="99">
        <v>34.0</v>
      </c>
      <c r="B82" s="100" t="s">
        <v>109</v>
      </c>
      <c r="C82" s="101" t="s">
        <v>86</v>
      </c>
      <c r="D82" s="102" t="s">
        <v>51</v>
      </c>
      <c r="E82" s="102">
        <v>16.0</v>
      </c>
      <c r="F82" s="102">
        <v>16.0</v>
      </c>
      <c r="G82" s="6">
        <v>44054.0</v>
      </c>
      <c r="H82" s="6">
        <v>44085.0</v>
      </c>
      <c r="I82" s="111">
        <v>1.0</v>
      </c>
      <c r="J82" s="111">
        <v>1.0</v>
      </c>
      <c r="K82" s="111">
        <v>1.0</v>
      </c>
      <c r="L82" s="111">
        <v>1.0</v>
      </c>
      <c r="M82" s="111">
        <v>1.0</v>
      </c>
      <c r="N82" s="111">
        <v>1.0</v>
      </c>
      <c r="O82" s="111">
        <v>1.0</v>
      </c>
      <c r="P82" s="111">
        <v>1.0</v>
      </c>
      <c r="Q82" s="111">
        <v>1.0</v>
      </c>
      <c r="R82" s="111">
        <v>1.0</v>
      </c>
      <c r="S82" s="111">
        <v>1.0</v>
      </c>
      <c r="T82" s="111">
        <v>1.0</v>
      </c>
      <c r="U82" s="111">
        <v>1.0</v>
      </c>
      <c r="V82" s="111">
        <v>1.0</v>
      </c>
      <c r="W82" s="111">
        <v>1.0</v>
      </c>
      <c r="X82" s="111">
        <v>1.0</v>
      </c>
      <c r="Y82" s="111">
        <v>1.0</v>
      </c>
      <c r="Z82" s="111">
        <v>1.0</v>
      </c>
      <c r="AA82" s="111">
        <v>1.0</v>
      </c>
      <c r="AB82" s="111">
        <v>1.0</v>
      </c>
      <c r="AC82" s="111">
        <v>1.0</v>
      </c>
      <c r="AD82" s="111">
        <v>1.0</v>
      </c>
      <c r="AE82" s="111">
        <v>1.0</v>
      </c>
      <c r="AF82" s="111">
        <v>1.0</v>
      </c>
      <c r="AG82" s="111">
        <v>1.0</v>
      </c>
      <c r="AH82" s="111">
        <v>1.0</v>
      </c>
      <c r="AI82" s="111">
        <v>1.0</v>
      </c>
      <c r="AJ82" s="111">
        <v>1.0</v>
      </c>
      <c r="AK82" s="111">
        <v>1.0</v>
      </c>
      <c r="AL82" s="111">
        <v>0.6</v>
      </c>
      <c r="AM82" s="111">
        <v>0.6</v>
      </c>
      <c r="AN82" s="111">
        <v>0.6</v>
      </c>
      <c r="AO82" s="111">
        <v>0.6</v>
      </c>
      <c r="AP82" s="111">
        <v>0.6</v>
      </c>
      <c r="AQ82" s="111">
        <v>0.6</v>
      </c>
      <c r="AR82" s="111">
        <v>0.6</v>
      </c>
      <c r="AS82" s="111">
        <v>0.6</v>
      </c>
      <c r="AT82" s="111">
        <v>0.6</v>
      </c>
      <c r="AU82" s="111">
        <v>0.6</v>
      </c>
      <c r="AV82" s="111">
        <v>0.6</v>
      </c>
      <c r="AW82" s="111">
        <v>0.6</v>
      </c>
      <c r="AX82" s="111">
        <v>0.6</v>
      </c>
      <c r="AY82" s="111">
        <v>0.6</v>
      </c>
      <c r="AZ82" s="111">
        <v>0.6</v>
      </c>
      <c r="BA82" s="111">
        <v>0.6</v>
      </c>
      <c r="BB82" s="111">
        <v>0.6</v>
      </c>
      <c r="BC82" s="111">
        <v>0.6</v>
      </c>
      <c r="BD82" s="111">
        <v>0.6</v>
      </c>
      <c r="BE82" s="111">
        <v>0.6</v>
      </c>
      <c r="BF82" s="111">
        <v>0.6</v>
      </c>
      <c r="BG82" s="111">
        <v>0.4</v>
      </c>
      <c r="BH82" s="111">
        <v>0.2</v>
      </c>
      <c r="BI82" s="111"/>
      <c r="BJ82" s="111"/>
      <c r="BK82" s="111"/>
      <c r="BL82" s="111"/>
      <c r="BM82" s="111"/>
      <c r="BN82" s="111"/>
      <c r="BO82" s="111"/>
      <c r="BP82" s="111"/>
      <c r="BQ82" s="111"/>
      <c r="BR82" s="111"/>
      <c r="BS82" s="69"/>
      <c r="BT82" s="69"/>
      <c r="BU82" s="69"/>
      <c r="BV82" s="69"/>
      <c r="BW82" s="69"/>
      <c r="BX82" s="69"/>
      <c r="BY82" s="69"/>
      <c r="BZ82" s="69"/>
      <c r="CA82" s="69"/>
      <c r="CB82" s="69"/>
      <c r="CC82" s="69"/>
      <c r="CD82" s="69"/>
      <c r="CE82" s="69"/>
      <c r="CF82" s="69"/>
      <c r="CG82" s="69"/>
      <c r="CH82" s="69"/>
      <c r="CI82" s="69"/>
      <c r="CJ82" s="69"/>
      <c r="CK82" s="69"/>
      <c r="CL82" s="69"/>
      <c r="CM82" s="69"/>
      <c r="CN82" s="69"/>
      <c r="CO82" s="69"/>
      <c r="CP82" s="69"/>
      <c r="CQ82" s="69"/>
      <c r="CR82" s="69"/>
      <c r="CS82" s="69"/>
      <c r="CT82" s="69"/>
      <c r="CU82" s="69"/>
      <c r="CV82" s="69"/>
      <c r="CW82" s="69"/>
      <c r="CX82" s="69"/>
      <c r="CY82" s="69"/>
      <c r="CZ82" s="69"/>
      <c r="DA82" s="69"/>
      <c r="DB82" s="69"/>
      <c r="DC82" s="69"/>
      <c r="DD82" s="69"/>
      <c r="DE82" s="69"/>
      <c r="DF82" s="69"/>
      <c r="DG82" s="69"/>
      <c r="DH82" s="69"/>
      <c r="DI82" s="69"/>
      <c r="DJ82" s="69"/>
      <c r="DK82" s="69"/>
      <c r="DL82" s="3"/>
      <c r="DM82" s="3"/>
      <c r="DN82" s="3"/>
      <c r="DO82" s="3"/>
      <c r="DP82" s="3"/>
      <c r="DQ82" s="3"/>
      <c r="DR82" s="3"/>
      <c r="DS82" s="3"/>
      <c r="DT82" s="3"/>
      <c r="DU82" s="3"/>
    </row>
    <row r="83" ht="15.0" customHeight="1">
      <c r="A83" s="108" t="s">
        <v>45</v>
      </c>
      <c r="B83" s="50"/>
      <c r="C83" s="51"/>
      <c r="D83" s="101"/>
      <c r="E83" s="109">
        <f t="shared" ref="E83:F83" si="4">SUM(E49:E82)</f>
        <v>336</v>
      </c>
      <c r="F83" s="109">
        <f t="shared" si="4"/>
        <v>343</v>
      </c>
      <c r="G83" s="110"/>
      <c r="H83" s="110"/>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69"/>
      <c r="BT83" s="69"/>
      <c r="BU83" s="69"/>
      <c r="BV83" s="69"/>
      <c r="BW83" s="69"/>
      <c r="BX83" s="69"/>
      <c r="BY83" s="69"/>
      <c r="BZ83" s="69"/>
      <c r="CA83" s="69"/>
      <c r="CB83" s="69"/>
      <c r="CC83" s="69"/>
      <c r="CD83" s="69"/>
      <c r="CE83" s="69"/>
      <c r="CF83" s="69"/>
      <c r="CG83" s="69"/>
      <c r="CH83" s="69"/>
      <c r="CI83" s="69"/>
      <c r="CJ83" s="69"/>
      <c r="CK83" s="69"/>
      <c r="CL83" s="69"/>
      <c r="CM83" s="69"/>
      <c r="CN83" s="69"/>
      <c r="CO83" s="69"/>
      <c r="CP83" s="69"/>
      <c r="CQ83" s="69"/>
      <c r="CR83" s="69"/>
      <c r="CS83" s="69"/>
      <c r="CT83" s="69"/>
      <c r="CU83" s="69"/>
      <c r="CV83" s="69"/>
      <c r="CW83" s="69"/>
      <c r="CX83" s="69"/>
      <c r="CY83" s="69"/>
      <c r="CZ83" s="69"/>
      <c r="DA83" s="69"/>
      <c r="DB83" s="69"/>
      <c r="DC83" s="69"/>
      <c r="DD83" s="69"/>
      <c r="DE83" s="69"/>
      <c r="DF83" s="69"/>
      <c r="DG83" s="69"/>
      <c r="DH83" s="69"/>
      <c r="DI83" s="69"/>
      <c r="DJ83" s="69"/>
      <c r="DK83" s="69"/>
      <c r="DL83" s="112"/>
      <c r="DM83" s="112"/>
      <c r="DN83" s="112"/>
      <c r="DO83" s="112"/>
      <c r="DP83" s="112"/>
      <c r="DQ83" s="112"/>
      <c r="DR83" s="112"/>
      <c r="DS83" s="112"/>
      <c r="DT83" s="112"/>
      <c r="DU83" s="112"/>
    </row>
    <row r="84" ht="19.5" customHeight="1">
      <c r="A84" s="113" t="s">
        <v>166</v>
      </c>
      <c r="B84" s="50"/>
      <c r="C84" s="50"/>
      <c r="D84" s="50"/>
      <c r="E84" s="50"/>
      <c r="F84" s="50"/>
      <c r="G84" s="50"/>
      <c r="H84" s="50"/>
      <c r="I84" s="124">
        <v>44055.0</v>
      </c>
      <c r="J84" s="124"/>
      <c r="K84" s="124"/>
      <c r="L84" s="124"/>
      <c r="M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69"/>
      <c r="BT84" s="69"/>
      <c r="BU84" s="69"/>
      <c r="BV84" s="69"/>
      <c r="BW84" s="69"/>
      <c r="BX84" s="69"/>
      <c r="BY84" s="69"/>
      <c r="BZ84" s="69"/>
      <c r="CA84" s="69"/>
      <c r="CB84" s="69"/>
      <c r="CC84" s="69"/>
      <c r="CD84" s="69"/>
      <c r="CE84" s="69"/>
      <c r="CF84" s="69"/>
      <c r="CG84" s="69"/>
      <c r="CH84" s="69"/>
      <c r="CI84" s="69"/>
      <c r="CJ84" s="69"/>
      <c r="CK84" s="69"/>
      <c r="CL84" s="69"/>
      <c r="CM84" s="69"/>
      <c r="CN84" s="69"/>
      <c r="CO84" s="69"/>
      <c r="CP84" s="69"/>
      <c r="CQ84" s="69"/>
      <c r="CR84" s="69"/>
      <c r="CS84" s="69"/>
      <c r="CT84" s="69"/>
      <c r="CU84" s="69"/>
      <c r="CV84" s="69"/>
      <c r="CW84" s="69"/>
      <c r="CX84" s="69"/>
      <c r="CY84" s="69"/>
      <c r="CZ84" s="69"/>
      <c r="DA84" s="69"/>
      <c r="DB84" s="69"/>
      <c r="DC84" s="69"/>
      <c r="DD84" s="69"/>
      <c r="DE84" s="69"/>
      <c r="DF84" s="69"/>
      <c r="DG84" s="69"/>
      <c r="DH84" s="69"/>
      <c r="DI84" s="69"/>
      <c r="DJ84" s="69"/>
      <c r="DK84" s="69"/>
      <c r="DL84" s="117"/>
      <c r="DM84" s="117"/>
      <c r="DN84" s="117"/>
      <c r="DO84" s="117"/>
      <c r="DP84" s="117"/>
      <c r="DQ84" s="117"/>
      <c r="DR84" s="117"/>
      <c r="DS84" s="117"/>
      <c r="DT84" s="117"/>
      <c r="DU84" s="117"/>
    </row>
    <row r="85" ht="15.75" customHeight="1">
      <c r="A85" s="104"/>
      <c r="B85" s="127"/>
      <c r="C85" s="128"/>
      <c r="D85" s="104"/>
      <c r="E85" s="104"/>
      <c r="F85" s="104"/>
      <c r="G85" s="129"/>
      <c r="H85" s="129"/>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c r="BA85" s="130"/>
      <c r="BB85" s="130"/>
      <c r="BC85" s="130"/>
      <c r="BD85" s="130"/>
      <c r="BE85" s="130"/>
      <c r="BF85" s="130"/>
      <c r="BG85" s="130"/>
      <c r="BH85" s="130"/>
      <c r="BI85" s="130"/>
      <c r="BJ85" s="130"/>
      <c r="BK85" s="130"/>
      <c r="BL85" s="130"/>
      <c r="BM85" s="130"/>
      <c r="BN85" s="130"/>
      <c r="BO85" s="130"/>
      <c r="BP85" s="130"/>
      <c r="BQ85" s="130"/>
      <c r="BR85" s="130"/>
      <c r="BS85" s="69"/>
      <c r="BT85" s="69"/>
      <c r="BU85" s="69"/>
      <c r="BV85" s="69"/>
      <c r="BW85" s="69"/>
      <c r="BX85" s="69"/>
      <c r="BY85" s="69"/>
      <c r="BZ85" s="69"/>
      <c r="CA85" s="69"/>
      <c r="CB85" s="69"/>
      <c r="CC85" s="69"/>
      <c r="CD85" s="69"/>
      <c r="CE85" s="69"/>
      <c r="CF85" s="69"/>
      <c r="CG85" s="69"/>
      <c r="CH85" s="69"/>
      <c r="CI85" s="69"/>
      <c r="CJ85" s="69"/>
      <c r="CK85" s="69"/>
      <c r="CL85" s="69"/>
      <c r="CM85" s="69"/>
      <c r="CN85" s="69"/>
      <c r="CO85" s="69"/>
      <c r="CP85" s="69"/>
      <c r="CQ85" s="69"/>
      <c r="CR85" s="69"/>
      <c r="CS85" s="69"/>
      <c r="CT85" s="69"/>
      <c r="CU85" s="69"/>
      <c r="CV85" s="69"/>
      <c r="CW85" s="69"/>
      <c r="CX85" s="69"/>
      <c r="CY85" s="69"/>
      <c r="CZ85" s="69"/>
      <c r="DA85" s="69"/>
      <c r="DB85" s="69"/>
      <c r="DC85" s="69"/>
      <c r="DD85" s="69"/>
      <c r="DE85" s="69"/>
      <c r="DF85" s="69"/>
      <c r="DG85" s="69"/>
      <c r="DH85" s="69"/>
      <c r="DI85" s="69"/>
      <c r="DJ85" s="69"/>
      <c r="DK85" s="69"/>
      <c r="DL85" s="3"/>
      <c r="DM85" s="3"/>
      <c r="DN85" s="3"/>
      <c r="DO85" s="3"/>
      <c r="DP85" s="3"/>
      <c r="DQ85" s="3"/>
      <c r="DR85" s="3"/>
      <c r="DS85" s="3"/>
      <c r="DT85" s="3"/>
      <c r="DU85" s="3"/>
    </row>
    <row r="86" ht="15.75" customHeight="1">
      <c r="A86" s="118" t="s">
        <v>235</v>
      </c>
      <c r="B86" s="67"/>
      <c r="C86" s="67"/>
      <c r="D86" s="67"/>
      <c r="E86" s="67"/>
      <c r="F86" s="67"/>
      <c r="G86" s="67"/>
      <c r="H86" s="68"/>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c r="BC86" s="94"/>
      <c r="BD86" s="94"/>
      <c r="BE86" s="94"/>
      <c r="BF86" s="130"/>
      <c r="BG86" s="130"/>
      <c r="BH86" s="130"/>
      <c r="BI86" s="130"/>
      <c r="BJ86" s="130"/>
      <c r="BK86" s="130"/>
      <c r="BL86" s="130"/>
      <c r="BM86" s="130"/>
      <c r="BN86" s="130"/>
      <c r="BO86" s="130"/>
      <c r="BP86" s="130"/>
      <c r="BQ86" s="130"/>
      <c r="BR86" s="130"/>
      <c r="BS86" s="69"/>
      <c r="BT86" s="69"/>
      <c r="BU86" s="69"/>
      <c r="BV86" s="69"/>
      <c r="BW86" s="69"/>
      <c r="BX86" s="69"/>
      <c r="BY86" s="69"/>
      <c r="BZ86" s="69"/>
      <c r="CA86" s="69"/>
      <c r="CB86" s="69"/>
      <c r="CC86" s="69"/>
      <c r="CD86" s="69"/>
      <c r="CE86" s="69"/>
      <c r="CF86" s="69"/>
      <c r="CG86" s="69"/>
      <c r="CH86" s="69"/>
      <c r="CI86" s="69"/>
      <c r="CJ86" s="69"/>
      <c r="CK86" s="69"/>
      <c r="CL86" s="69"/>
      <c r="CM86" s="69"/>
      <c r="CN86" s="69"/>
      <c r="CO86" s="69"/>
      <c r="CP86" s="69"/>
      <c r="CQ86" s="69"/>
      <c r="CR86" s="69"/>
      <c r="CS86" s="69"/>
      <c r="CT86" s="69"/>
      <c r="CU86" s="69"/>
      <c r="CV86" s="69"/>
      <c r="CW86" s="69"/>
      <c r="CX86" s="69"/>
      <c r="CY86" s="69"/>
      <c r="CZ86" s="69"/>
      <c r="DA86" s="69"/>
      <c r="DB86" s="69"/>
      <c r="DC86" s="69"/>
      <c r="DD86" s="69"/>
      <c r="DE86" s="69"/>
      <c r="DF86" s="69"/>
      <c r="DG86" s="69"/>
      <c r="DH86" s="69"/>
      <c r="DI86" s="69"/>
      <c r="DJ86" s="69"/>
      <c r="DK86" s="69"/>
      <c r="DL86" s="3"/>
      <c r="DM86" s="3"/>
      <c r="DN86" s="3"/>
      <c r="DO86" s="3"/>
      <c r="DP86" s="3"/>
      <c r="DQ86" s="3"/>
      <c r="DR86" s="3"/>
      <c r="DS86" s="3"/>
      <c r="DT86" s="3"/>
      <c r="DU86" s="3"/>
    </row>
    <row r="87" ht="15.75" customHeight="1">
      <c r="A87" s="95" t="s">
        <v>6</v>
      </c>
      <c r="B87" s="96" t="s">
        <v>7</v>
      </c>
      <c r="C87" s="97" t="s">
        <v>8</v>
      </c>
      <c r="D87" s="96" t="s">
        <v>9</v>
      </c>
      <c r="E87" s="96" t="s">
        <v>10</v>
      </c>
      <c r="F87" s="96" t="s">
        <v>11</v>
      </c>
      <c r="G87" s="96" t="s">
        <v>12</v>
      </c>
      <c r="H87" s="96" t="s">
        <v>13</v>
      </c>
      <c r="I87" s="98">
        <v>44123.0</v>
      </c>
      <c r="J87" s="98">
        <v>44120.0</v>
      </c>
      <c r="K87" s="98">
        <v>44119.0</v>
      </c>
      <c r="L87" s="98">
        <v>44118.0</v>
      </c>
      <c r="M87" s="98">
        <v>44117.0</v>
      </c>
      <c r="N87" s="98">
        <v>44116.0</v>
      </c>
      <c r="O87" s="98">
        <v>44114.0</v>
      </c>
      <c r="P87" s="98">
        <v>44113.0</v>
      </c>
      <c r="Q87" s="98">
        <v>44112.0</v>
      </c>
      <c r="R87" s="98">
        <v>44111.0</v>
      </c>
      <c r="S87" s="98">
        <v>44110.0</v>
      </c>
      <c r="T87" s="98">
        <v>44109.0</v>
      </c>
      <c r="U87" s="98">
        <v>44105.0</v>
      </c>
      <c r="V87" s="98">
        <v>44104.0</v>
      </c>
      <c r="W87" s="98">
        <v>44103.0</v>
      </c>
      <c r="X87" s="98">
        <v>44102.0</v>
      </c>
      <c r="Y87" s="98">
        <v>44100.0</v>
      </c>
      <c r="Z87" s="98">
        <v>44099.0</v>
      </c>
      <c r="AA87" s="98">
        <v>44098.0</v>
      </c>
      <c r="AB87" s="98">
        <v>44097.0</v>
      </c>
      <c r="AC87" s="98">
        <v>44096.0</v>
      </c>
      <c r="AD87" s="98">
        <v>44095.0</v>
      </c>
      <c r="AE87" s="98">
        <v>44092.0</v>
      </c>
      <c r="AF87" s="98">
        <v>44091.0</v>
      </c>
      <c r="AG87" s="98">
        <v>44090.0</v>
      </c>
      <c r="AH87" s="98">
        <v>44089.0</v>
      </c>
      <c r="AI87" s="98">
        <v>44088.0</v>
      </c>
      <c r="AJ87" s="98">
        <v>44086.0</v>
      </c>
      <c r="AK87" s="98">
        <v>44085.0</v>
      </c>
      <c r="AL87" s="98">
        <v>44084.0</v>
      </c>
      <c r="AM87" s="98">
        <v>44083.0</v>
      </c>
      <c r="AN87" s="98">
        <v>44082.0</v>
      </c>
      <c r="AO87" s="98">
        <v>44081.0</v>
      </c>
      <c r="AP87" s="98">
        <v>44079.0</v>
      </c>
      <c r="AQ87" s="98">
        <v>44078.0</v>
      </c>
      <c r="AR87" s="98">
        <v>44077.0</v>
      </c>
      <c r="AS87" s="98">
        <v>44076.0</v>
      </c>
      <c r="AT87" s="98">
        <v>44071.0</v>
      </c>
      <c r="AU87" s="98">
        <v>44070.0</v>
      </c>
      <c r="AV87" s="98">
        <v>44069.0</v>
      </c>
      <c r="AW87" s="98">
        <v>44068.0</v>
      </c>
      <c r="AX87" s="98">
        <v>44067.0</v>
      </c>
      <c r="AY87" s="98">
        <v>44065.0</v>
      </c>
      <c r="AZ87" s="98">
        <v>44064.0</v>
      </c>
      <c r="BA87" s="98">
        <v>44063.0</v>
      </c>
      <c r="BB87" s="98">
        <v>44062.0</v>
      </c>
      <c r="BC87" s="98">
        <v>44061.0</v>
      </c>
      <c r="BD87" s="98">
        <v>44060.0</v>
      </c>
      <c r="BE87" s="98">
        <v>44057.0</v>
      </c>
      <c r="BF87" s="130"/>
      <c r="BG87" s="130"/>
      <c r="BH87" s="130"/>
      <c r="BI87" s="130"/>
      <c r="BJ87" s="130"/>
      <c r="BK87" s="130"/>
      <c r="BL87" s="130"/>
      <c r="BM87" s="130"/>
      <c r="BN87" s="130"/>
      <c r="BO87" s="130"/>
      <c r="BP87" s="130"/>
      <c r="BQ87" s="130"/>
      <c r="BR87" s="130"/>
      <c r="BS87" s="69"/>
      <c r="BT87" s="69"/>
      <c r="BU87" s="69"/>
      <c r="BV87" s="69"/>
      <c r="BW87" s="69"/>
      <c r="BX87" s="69"/>
      <c r="BY87" s="69"/>
      <c r="BZ87" s="69"/>
      <c r="CA87" s="69"/>
      <c r="CB87" s="69"/>
      <c r="CC87" s="69"/>
      <c r="CD87" s="69"/>
      <c r="CE87" s="69"/>
      <c r="CF87" s="69"/>
      <c r="CG87" s="69"/>
      <c r="CH87" s="69"/>
      <c r="CI87" s="69"/>
      <c r="CJ87" s="69"/>
      <c r="CK87" s="69"/>
      <c r="CL87" s="69"/>
      <c r="CM87" s="69"/>
      <c r="CN87" s="69"/>
      <c r="CO87" s="69"/>
      <c r="CP87" s="69"/>
      <c r="CQ87" s="69"/>
      <c r="CR87" s="69"/>
      <c r="CS87" s="69"/>
      <c r="CT87" s="69"/>
      <c r="CU87" s="69"/>
      <c r="CV87" s="69"/>
      <c r="CW87" s="69"/>
      <c r="CX87" s="69"/>
      <c r="CY87" s="69"/>
      <c r="CZ87" s="69"/>
      <c r="DA87" s="69"/>
      <c r="DB87" s="69"/>
      <c r="DC87" s="69"/>
      <c r="DD87" s="69"/>
      <c r="DE87" s="69"/>
      <c r="DF87" s="69"/>
      <c r="DG87" s="69"/>
      <c r="DH87" s="69"/>
      <c r="DI87" s="69"/>
      <c r="DJ87" s="69"/>
      <c r="DK87" s="69"/>
      <c r="DL87" s="3"/>
      <c r="DM87" s="3"/>
      <c r="DN87" s="3"/>
      <c r="DO87" s="3"/>
      <c r="DP87" s="3"/>
      <c r="DQ87" s="3"/>
      <c r="DR87" s="3"/>
      <c r="DS87" s="3"/>
      <c r="DT87" s="3"/>
      <c r="DU87" s="3"/>
    </row>
    <row r="88" ht="15.75" customHeight="1">
      <c r="A88" s="99">
        <v>1.0</v>
      </c>
      <c r="B88" s="100" t="s">
        <v>236</v>
      </c>
      <c r="C88" s="101" t="s">
        <v>86</v>
      </c>
      <c r="D88" s="102" t="s">
        <v>42</v>
      </c>
      <c r="E88" s="102">
        <v>24.0</v>
      </c>
      <c r="F88" s="102">
        <v>27.0</v>
      </c>
      <c r="G88" s="6">
        <v>44057.0</v>
      </c>
      <c r="H88" s="6">
        <v>44061.0</v>
      </c>
      <c r="I88" s="111">
        <v>1.0</v>
      </c>
      <c r="J88" s="111">
        <v>1.0</v>
      </c>
      <c r="K88" s="111">
        <v>1.0</v>
      </c>
      <c r="L88" s="111">
        <v>1.0</v>
      </c>
      <c r="M88" s="111">
        <v>1.0</v>
      </c>
      <c r="N88" s="111">
        <v>1.0</v>
      </c>
      <c r="O88" s="111">
        <v>1.0</v>
      </c>
      <c r="P88" s="111">
        <v>1.0</v>
      </c>
      <c r="Q88" s="111">
        <v>1.0</v>
      </c>
      <c r="R88" s="111">
        <v>1.0</v>
      </c>
      <c r="S88" s="111">
        <v>1.0</v>
      </c>
      <c r="T88" s="111">
        <v>1.0</v>
      </c>
      <c r="U88" s="111">
        <v>1.0</v>
      </c>
      <c r="V88" s="111">
        <v>1.0</v>
      </c>
      <c r="W88" s="111">
        <v>1.0</v>
      </c>
      <c r="X88" s="111">
        <v>1.0</v>
      </c>
      <c r="Y88" s="111">
        <v>1.0</v>
      </c>
      <c r="Z88" s="111">
        <v>1.0</v>
      </c>
      <c r="AA88" s="111">
        <v>1.0</v>
      </c>
      <c r="AB88" s="111">
        <v>1.0</v>
      </c>
      <c r="AC88" s="111">
        <v>1.0</v>
      </c>
      <c r="AD88" s="111">
        <v>1.0</v>
      </c>
      <c r="AE88" s="111">
        <v>1.0</v>
      </c>
      <c r="AF88" s="111">
        <v>1.0</v>
      </c>
      <c r="AG88" s="111">
        <v>1.0</v>
      </c>
      <c r="AH88" s="111">
        <v>1.0</v>
      </c>
      <c r="AI88" s="111">
        <v>1.0</v>
      </c>
      <c r="AJ88" s="111">
        <v>1.0</v>
      </c>
      <c r="AK88" s="111">
        <v>1.0</v>
      </c>
      <c r="AL88" s="111">
        <v>1.0</v>
      </c>
      <c r="AM88" s="111">
        <v>1.0</v>
      </c>
      <c r="AN88" s="111">
        <v>1.0</v>
      </c>
      <c r="AO88" s="111">
        <v>1.0</v>
      </c>
      <c r="AP88" s="111">
        <v>1.0</v>
      </c>
      <c r="AQ88" s="111">
        <v>1.0</v>
      </c>
      <c r="AR88" s="111">
        <v>1.0</v>
      </c>
      <c r="AS88" s="111">
        <v>1.0</v>
      </c>
      <c r="AT88" s="111">
        <v>1.0</v>
      </c>
      <c r="AU88" s="111">
        <v>1.0</v>
      </c>
      <c r="AV88" s="111">
        <v>1.0</v>
      </c>
      <c r="AW88" s="111">
        <v>1.0</v>
      </c>
      <c r="AX88" s="111">
        <v>1.0</v>
      </c>
      <c r="AY88" s="111">
        <v>1.0</v>
      </c>
      <c r="AZ88" s="111">
        <v>1.0</v>
      </c>
      <c r="BA88" s="111">
        <v>1.0</v>
      </c>
      <c r="BB88" s="111">
        <v>1.0</v>
      </c>
      <c r="BC88" s="111">
        <v>1.0</v>
      </c>
      <c r="BD88" s="111">
        <v>0.6</v>
      </c>
      <c r="BE88" s="111">
        <v>0.3</v>
      </c>
      <c r="BF88" s="130"/>
      <c r="BG88" s="130"/>
      <c r="BH88" s="130"/>
      <c r="BI88" s="130"/>
      <c r="BJ88" s="130"/>
      <c r="BK88" s="130"/>
      <c r="BL88" s="130"/>
      <c r="BM88" s="130"/>
      <c r="BN88" s="130"/>
      <c r="BO88" s="130"/>
      <c r="BP88" s="130"/>
      <c r="BQ88" s="130"/>
      <c r="BR88" s="130"/>
      <c r="BS88" s="69"/>
      <c r="BT88" s="69"/>
      <c r="BU88" s="69"/>
      <c r="BV88" s="69"/>
      <c r="BW88" s="69"/>
      <c r="BX88" s="69"/>
      <c r="BY88" s="69"/>
      <c r="BZ88" s="69"/>
      <c r="CA88" s="69"/>
      <c r="CB88" s="69"/>
      <c r="CC88" s="69"/>
      <c r="CD88" s="69"/>
      <c r="CE88" s="69"/>
      <c r="CF88" s="69"/>
      <c r="CG88" s="69"/>
      <c r="CH88" s="69"/>
      <c r="CI88" s="69"/>
      <c r="CJ88" s="69"/>
      <c r="CK88" s="69"/>
      <c r="CL88" s="69"/>
      <c r="CM88" s="69"/>
      <c r="CN88" s="69"/>
      <c r="CO88" s="69"/>
      <c r="CP88" s="69"/>
      <c r="CQ88" s="69"/>
      <c r="CR88" s="69"/>
      <c r="CS88" s="69"/>
      <c r="CT88" s="69"/>
      <c r="CU88" s="69"/>
      <c r="CV88" s="69"/>
      <c r="CW88" s="69"/>
      <c r="CX88" s="69"/>
      <c r="CY88" s="69"/>
      <c r="CZ88" s="69"/>
      <c r="DA88" s="69"/>
      <c r="DB88" s="69"/>
      <c r="DC88" s="69"/>
      <c r="DD88" s="69"/>
      <c r="DE88" s="69"/>
      <c r="DF88" s="69"/>
      <c r="DG88" s="69"/>
      <c r="DH88" s="69"/>
      <c r="DI88" s="69"/>
      <c r="DJ88" s="69"/>
      <c r="DK88" s="69"/>
      <c r="DL88" s="3"/>
      <c r="DM88" s="3"/>
      <c r="DN88" s="3"/>
      <c r="DO88" s="3"/>
      <c r="DP88" s="3"/>
      <c r="DQ88" s="3"/>
      <c r="DR88" s="3"/>
      <c r="DS88" s="3"/>
      <c r="DT88" s="3"/>
      <c r="DU88" s="3"/>
    </row>
    <row r="89" ht="15.75" customHeight="1">
      <c r="A89" s="99">
        <v>2.0</v>
      </c>
      <c r="B89" s="100" t="s">
        <v>237</v>
      </c>
      <c r="C89" s="101" t="s">
        <v>86</v>
      </c>
      <c r="D89" s="102" t="s">
        <v>55</v>
      </c>
      <c r="E89" s="102">
        <v>24.0</v>
      </c>
      <c r="F89" s="102">
        <v>30.0</v>
      </c>
      <c r="G89" s="6">
        <v>44057.0</v>
      </c>
      <c r="H89" s="6">
        <v>44061.0</v>
      </c>
      <c r="I89" s="111">
        <v>1.0</v>
      </c>
      <c r="J89" s="111">
        <v>1.0</v>
      </c>
      <c r="K89" s="111">
        <v>1.0</v>
      </c>
      <c r="L89" s="111">
        <v>1.0</v>
      </c>
      <c r="M89" s="111">
        <v>1.0</v>
      </c>
      <c r="N89" s="111">
        <v>1.0</v>
      </c>
      <c r="O89" s="111">
        <v>1.0</v>
      </c>
      <c r="P89" s="111">
        <v>1.0</v>
      </c>
      <c r="Q89" s="111">
        <v>1.0</v>
      </c>
      <c r="R89" s="111">
        <v>1.0</v>
      </c>
      <c r="S89" s="111">
        <v>1.0</v>
      </c>
      <c r="T89" s="111">
        <v>1.0</v>
      </c>
      <c r="U89" s="111">
        <v>1.0</v>
      </c>
      <c r="V89" s="111">
        <v>1.0</v>
      </c>
      <c r="W89" s="111">
        <v>1.0</v>
      </c>
      <c r="X89" s="111">
        <v>1.0</v>
      </c>
      <c r="Y89" s="111">
        <v>1.0</v>
      </c>
      <c r="Z89" s="111">
        <v>1.0</v>
      </c>
      <c r="AA89" s="111">
        <v>1.0</v>
      </c>
      <c r="AB89" s="111">
        <v>1.0</v>
      </c>
      <c r="AC89" s="111">
        <v>1.0</v>
      </c>
      <c r="AD89" s="111">
        <v>1.0</v>
      </c>
      <c r="AE89" s="111">
        <v>1.0</v>
      </c>
      <c r="AF89" s="111">
        <v>1.0</v>
      </c>
      <c r="AG89" s="111">
        <v>1.0</v>
      </c>
      <c r="AH89" s="111">
        <v>1.0</v>
      </c>
      <c r="AI89" s="111">
        <v>1.0</v>
      </c>
      <c r="AJ89" s="111">
        <v>1.0</v>
      </c>
      <c r="AK89" s="111">
        <v>1.0</v>
      </c>
      <c r="AL89" s="111">
        <v>1.0</v>
      </c>
      <c r="AM89" s="111">
        <v>1.0</v>
      </c>
      <c r="AN89" s="111">
        <v>1.0</v>
      </c>
      <c r="AO89" s="111">
        <v>1.0</v>
      </c>
      <c r="AP89" s="111">
        <v>1.0</v>
      </c>
      <c r="AQ89" s="111">
        <v>1.0</v>
      </c>
      <c r="AR89" s="111">
        <v>1.0</v>
      </c>
      <c r="AS89" s="111">
        <v>1.0</v>
      </c>
      <c r="AT89" s="111">
        <v>1.0</v>
      </c>
      <c r="AU89" s="111">
        <v>1.0</v>
      </c>
      <c r="AV89" s="111">
        <v>1.0</v>
      </c>
      <c r="AW89" s="111">
        <v>1.0</v>
      </c>
      <c r="AX89" s="111">
        <v>1.0</v>
      </c>
      <c r="AY89" s="111">
        <v>1.0</v>
      </c>
      <c r="AZ89" s="111">
        <v>1.0</v>
      </c>
      <c r="BA89" s="111">
        <v>1.0</v>
      </c>
      <c r="BB89" s="111">
        <v>1.0</v>
      </c>
      <c r="BC89" s="111">
        <v>0.8</v>
      </c>
      <c r="BD89" s="111">
        <v>0.6</v>
      </c>
      <c r="BE89" s="111">
        <v>0.3</v>
      </c>
      <c r="BF89" s="130"/>
      <c r="BG89" s="130"/>
      <c r="BH89" s="130"/>
      <c r="BI89" s="130"/>
      <c r="BJ89" s="130"/>
      <c r="BK89" s="130"/>
      <c r="BL89" s="130"/>
      <c r="BM89" s="130"/>
      <c r="BN89" s="130"/>
      <c r="BO89" s="130"/>
      <c r="BP89" s="130"/>
      <c r="BQ89" s="130"/>
      <c r="BR89" s="130"/>
      <c r="BS89" s="69"/>
      <c r="BT89" s="69"/>
      <c r="BU89" s="69"/>
      <c r="BV89" s="69"/>
      <c r="BW89" s="69"/>
      <c r="BX89" s="69"/>
      <c r="BY89" s="69"/>
      <c r="BZ89" s="69"/>
      <c r="CA89" s="69"/>
      <c r="CB89" s="69"/>
      <c r="CC89" s="69"/>
      <c r="CD89" s="69"/>
      <c r="CE89" s="69"/>
      <c r="CF89" s="69"/>
      <c r="CG89" s="69"/>
      <c r="CH89" s="69"/>
      <c r="CI89" s="69"/>
      <c r="CJ89" s="69"/>
      <c r="CK89" s="69"/>
      <c r="CL89" s="69"/>
      <c r="CM89" s="69"/>
      <c r="CN89" s="69"/>
      <c r="CO89" s="69"/>
      <c r="CP89" s="69"/>
      <c r="CQ89" s="69"/>
      <c r="CR89" s="69"/>
      <c r="CS89" s="69"/>
      <c r="CT89" s="69"/>
      <c r="CU89" s="69"/>
      <c r="CV89" s="69"/>
      <c r="CW89" s="69"/>
      <c r="CX89" s="69"/>
      <c r="CY89" s="69"/>
      <c r="CZ89" s="69"/>
      <c r="DA89" s="69"/>
      <c r="DB89" s="69"/>
      <c r="DC89" s="69"/>
      <c r="DD89" s="69"/>
      <c r="DE89" s="69"/>
      <c r="DF89" s="69"/>
      <c r="DG89" s="69"/>
      <c r="DH89" s="69"/>
      <c r="DI89" s="69"/>
      <c r="DJ89" s="69"/>
      <c r="DK89" s="69"/>
      <c r="DL89" s="3"/>
      <c r="DM89" s="3"/>
      <c r="DN89" s="3"/>
      <c r="DO89" s="3"/>
      <c r="DP89" s="3"/>
      <c r="DQ89" s="3"/>
      <c r="DR89" s="3"/>
      <c r="DS89" s="3"/>
      <c r="DT89" s="3"/>
      <c r="DU89" s="3"/>
    </row>
    <row r="90" ht="15.75" customHeight="1">
      <c r="A90" s="99">
        <v>3.0</v>
      </c>
      <c r="B90" s="100" t="s">
        <v>238</v>
      </c>
      <c r="C90" s="101" t="s">
        <v>86</v>
      </c>
      <c r="D90" s="102" t="s">
        <v>42</v>
      </c>
      <c r="E90" s="102">
        <v>8.0</v>
      </c>
      <c r="F90" s="102">
        <v>8.0</v>
      </c>
      <c r="G90" s="6">
        <v>44061.0</v>
      </c>
      <c r="H90" s="6">
        <v>44061.0</v>
      </c>
      <c r="I90" s="111">
        <v>1.0</v>
      </c>
      <c r="J90" s="111">
        <v>1.0</v>
      </c>
      <c r="K90" s="111">
        <v>1.0</v>
      </c>
      <c r="L90" s="111">
        <v>1.0</v>
      </c>
      <c r="M90" s="111">
        <v>1.0</v>
      </c>
      <c r="N90" s="111">
        <v>1.0</v>
      </c>
      <c r="O90" s="111">
        <v>1.0</v>
      </c>
      <c r="P90" s="111">
        <v>1.0</v>
      </c>
      <c r="Q90" s="111">
        <v>1.0</v>
      </c>
      <c r="R90" s="111">
        <v>1.0</v>
      </c>
      <c r="S90" s="111">
        <v>1.0</v>
      </c>
      <c r="T90" s="111">
        <v>1.0</v>
      </c>
      <c r="U90" s="111">
        <v>1.0</v>
      </c>
      <c r="V90" s="111">
        <v>1.0</v>
      </c>
      <c r="W90" s="111">
        <v>1.0</v>
      </c>
      <c r="X90" s="111">
        <v>1.0</v>
      </c>
      <c r="Y90" s="111">
        <v>1.0</v>
      </c>
      <c r="Z90" s="111">
        <v>1.0</v>
      </c>
      <c r="AA90" s="111">
        <v>1.0</v>
      </c>
      <c r="AB90" s="111">
        <v>1.0</v>
      </c>
      <c r="AC90" s="111">
        <v>1.0</v>
      </c>
      <c r="AD90" s="111">
        <v>1.0</v>
      </c>
      <c r="AE90" s="111">
        <v>1.0</v>
      </c>
      <c r="AF90" s="111">
        <v>1.0</v>
      </c>
      <c r="AG90" s="111">
        <v>1.0</v>
      </c>
      <c r="AH90" s="111">
        <v>1.0</v>
      </c>
      <c r="AI90" s="111">
        <v>1.0</v>
      </c>
      <c r="AJ90" s="111">
        <v>1.0</v>
      </c>
      <c r="AK90" s="111">
        <v>1.0</v>
      </c>
      <c r="AL90" s="111">
        <v>1.0</v>
      </c>
      <c r="AM90" s="111">
        <v>1.0</v>
      </c>
      <c r="AN90" s="111">
        <v>1.0</v>
      </c>
      <c r="AO90" s="111">
        <v>1.0</v>
      </c>
      <c r="AP90" s="111">
        <v>1.0</v>
      </c>
      <c r="AQ90" s="111">
        <v>1.0</v>
      </c>
      <c r="AR90" s="111">
        <v>1.0</v>
      </c>
      <c r="AS90" s="111">
        <v>1.0</v>
      </c>
      <c r="AT90" s="111">
        <v>1.0</v>
      </c>
      <c r="AU90" s="111">
        <v>1.0</v>
      </c>
      <c r="AV90" s="111">
        <v>1.0</v>
      </c>
      <c r="AW90" s="111">
        <v>1.0</v>
      </c>
      <c r="AX90" s="111">
        <v>1.0</v>
      </c>
      <c r="AY90" s="111">
        <v>1.0</v>
      </c>
      <c r="AZ90" s="111">
        <v>1.0</v>
      </c>
      <c r="BA90" s="111">
        <v>1.0</v>
      </c>
      <c r="BB90" s="111">
        <v>1.0</v>
      </c>
      <c r="BC90" s="111">
        <v>1.0</v>
      </c>
      <c r="BD90" s="111"/>
      <c r="BE90" s="111"/>
      <c r="BF90" s="130"/>
      <c r="BG90" s="130"/>
      <c r="BH90" s="130"/>
      <c r="BI90" s="130"/>
      <c r="BJ90" s="130"/>
      <c r="BK90" s="130"/>
      <c r="BL90" s="130"/>
      <c r="BM90" s="130"/>
      <c r="BN90" s="130"/>
      <c r="BO90" s="130"/>
      <c r="BP90" s="130"/>
      <c r="BQ90" s="130"/>
      <c r="BR90" s="130"/>
      <c r="BS90" s="69"/>
      <c r="BT90" s="69"/>
      <c r="BU90" s="69"/>
      <c r="BV90" s="69"/>
      <c r="BW90" s="69"/>
      <c r="BX90" s="69"/>
      <c r="BY90" s="69"/>
      <c r="BZ90" s="69"/>
      <c r="CA90" s="69"/>
      <c r="CB90" s="69"/>
      <c r="CC90" s="69"/>
      <c r="CD90" s="69"/>
      <c r="CE90" s="69"/>
      <c r="CF90" s="69"/>
      <c r="CG90" s="69"/>
      <c r="CH90" s="69"/>
      <c r="CI90" s="69"/>
      <c r="CJ90" s="69"/>
      <c r="CK90" s="69"/>
      <c r="CL90" s="69"/>
      <c r="CM90" s="69"/>
      <c r="CN90" s="69"/>
      <c r="CO90" s="69"/>
      <c r="CP90" s="69"/>
      <c r="CQ90" s="69"/>
      <c r="CR90" s="69"/>
      <c r="CS90" s="69"/>
      <c r="CT90" s="69"/>
      <c r="CU90" s="69"/>
      <c r="CV90" s="69"/>
      <c r="CW90" s="69"/>
      <c r="CX90" s="69"/>
      <c r="CY90" s="69"/>
      <c r="CZ90" s="69"/>
      <c r="DA90" s="69"/>
      <c r="DB90" s="69"/>
      <c r="DC90" s="69"/>
      <c r="DD90" s="69"/>
      <c r="DE90" s="69"/>
      <c r="DF90" s="69"/>
      <c r="DG90" s="69"/>
      <c r="DH90" s="69"/>
      <c r="DI90" s="69"/>
      <c r="DJ90" s="69"/>
      <c r="DK90" s="69"/>
      <c r="DL90" s="3"/>
      <c r="DM90" s="3"/>
      <c r="DN90" s="3"/>
      <c r="DO90" s="3"/>
      <c r="DP90" s="3"/>
      <c r="DQ90" s="3"/>
      <c r="DR90" s="3"/>
      <c r="DS90" s="3"/>
      <c r="DT90" s="3"/>
      <c r="DU90" s="3"/>
    </row>
    <row r="91" ht="15.75" customHeight="1">
      <c r="A91" s="99">
        <v>4.0</v>
      </c>
      <c r="B91" s="100" t="s">
        <v>239</v>
      </c>
      <c r="C91" s="101" t="s">
        <v>86</v>
      </c>
      <c r="D91" s="102" t="s">
        <v>55</v>
      </c>
      <c r="E91" s="102">
        <v>8.0</v>
      </c>
      <c r="F91" s="102">
        <v>8.0</v>
      </c>
      <c r="G91" s="6">
        <v>44061.0</v>
      </c>
      <c r="H91" s="6">
        <v>44061.0</v>
      </c>
      <c r="I91" s="111">
        <v>1.0</v>
      </c>
      <c r="J91" s="111">
        <v>1.0</v>
      </c>
      <c r="K91" s="111">
        <v>1.0</v>
      </c>
      <c r="L91" s="111">
        <v>1.0</v>
      </c>
      <c r="M91" s="111">
        <v>1.0</v>
      </c>
      <c r="N91" s="111">
        <v>1.0</v>
      </c>
      <c r="O91" s="111">
        <v>1.0</v>
      </c>
      <c r="P91" s="111">
        <v>1.0</v>
      </c>
      <c r="Q91" s="111">
        <v>1.0</v>
      </c>
      <c r="R91" s="111">
        <v>1.0</v>
      </c>
      <c r="S91" s="111">
        <v>1.0</v>
      </c>
      <c r="T91" s="111">
        <v>1.0</v>
      </c>
      <c r="U91" s="111">
        <v>1.0</v>
      </c>
      <c r="V91" s="111">
        <v>1.0</v>
      </c>
      <c r="W91" s="111">
        <v>1.0</v>
      </c>
      <c r="X91" s="111">
        <v>1.0</v>
      </c>
      <c r="Y91" s="111">
        <v>1.0</v>
      </c>
      <c r="Z91" s="111">
        <v>1.0</v>
      </c>
      <c r="AA91" s="111">
        <v>1.0</v>
      </c>
      <c r="AB91" s="111">
        <v>1.0</v>
      </c>
      <c r="AC91" s="111">
        <v>1.0</v>
      </c>
      <c r="AD91" s="111">
        <v>1.0</v>
      </c>
      <c r="AE91" s="111">
        <v>1.0</v>
      </c>
      <c r="AF91" s="111">
        <v>1.0</v>
      </c>
      <c r="AG91" s="111">
        <v>1.0</v>
      </c>
      <c r="AH91" s="111">
        <v>1.0</v>
      </c>
      <c r="AI91" s="111">
        <v>1.0</v>
      </c>
      <c r="AJ91" s="111">
        <v>1.0</v>
      </c>
      <c r="AK91" s="111">
        <v>1.0</v>
      </c>
      <c r="AL91" s="111">
        <v>1.0</v>
      </c>
      <c r="AM91" s="111">
        <v>1.0</v>
      </c>
      <c r="AN91" s="111">
        <v>1.0</v>
      </c>
      <c r="AO91" s="111">
        <v>1.0</v>
      </c>
      <c r="AP91" s="111">
        <v>1.0</v>
      </c>
      <c r="AQ91" s="111">
        <v>1.0</v>
      </c>
      <c r="AR91" s="111">
        <v>1.0</v>
      </c>
      <c r="AS91" s="111">
        <v>1.0</v>
      </c>
      <c r="AT91" s="111">
        <v>1.0</v>
      </c>
      <c r="AU91" s="111">
        <v>1.0</v>
      </c>
      <c r="AV91" s="111">
        <v>1.0</v>
      </c>
      <c r="AW91" s="111">
        <v>1.0</v>
      </c>
      <c r="AX91" s="111">
        <v>1.0</v>
      </c>
      <c r="AY91" s="111">
        <v>1.0</v>
      </c>
      <c r="AZ91" s="111">
        <v>1.0</v>
      </c>
      <c r="BA91" s="111">
        <v>1.0</v>
      </c>
      <c r="BB91" s="111">
        <v>1.0</v>
      </c>
      <c r="BC91" s="111">
        <v>1.0</v>
      </c>
      <c r="BD91" s="111"/>
      <c r="BE91" s="111"/>
      <c r="BF91" s="130"/>
      <c r="BG91" s="130"/>
      <c r="BH91" s="130"/>
      <c r="BI91" s="130"/>
      <c r="BJ91" s="130"/>
      <c r="BK91" s="130"/>
      <c r="BL91" s="130"/>
      <c r="BM91" s="130"/>
      <c r="BN91" s="130"/>
      <c r="BO91" s="130"/>
      <c r="BP91" s="130"/>
      <c r="BQ91" s="130"/>
      <c r="BR91" s="130"/>
      <c r="BS91" s="130"/>
      <c r="BT91" s="130"/>
      <c r="BU91" s="130"/>
      <c r="BV91" s="130"/>
      <c r="BW91" s="130"/>
      <c r="BX91" s="130"/>
      <c r="BY91" s="130"/>
      <c r="BZ91" s="130"/>
      <c r="CA91" s="130"/>
      <c r="CB91" s="130"/>
      <c r="CC91" s="130"/>
      <c r="CD91" s="130"/>
      <c r="CE91" s="130"/>
      <c r="CF91" s="130"/>
      <c r="CG91" s="130"/>
      <c r="CH91" s="130"/>
      <c r="CI91" s="130"/>
      <c r="CJ91" s="130"/>
      <c r="CK91" s="130"/>
      <c r="CL91" s="130"/>
      <c r="CM91" s="130"/>
      <c r="CN91" s="130"/>
      <c r="CO91" s="130"/>
      <c r="CP91" s="130"/>
      <c r="CQ91" s="130"/>
      <c r="CR91" s="130"/>
      <c r="CS91" s="130"/>
      <c r="CT91" s="130"/>
      <c r="CU91" s="130"/>
      <c r="CV91" s="130"/>
      <c r="CW91" s="130"/>
      <c r="CX91" s="130"/>
      <c r="CY91" s="130"/>
      <c r="CZ91" s="130"/>
      <c r="DA91" s="130"/>
      <c r="DB91" s="130"/>
      <c r="DC91" s="130"/>
      <c r="DD91" s="130"/>
      <c r="DE91" s="130"/>
      <c r="DF91" s="130"/>
      <c r="DG91" s="130"/>
      <c r="DH91" s="3"/>
      <c r="DI91" s="3"/>
      <c r="DJ91" s="3"/>
      <c r="DK91" s="3"/>
      <c r="DL91" s="3"/>
      <c r="DM91" s="3"/>
      <c r="DN91" s="3"/>
      <c r="DO91" s="3"/>
      <c r="DP91" s="3"/>
      <c r="DQ91" s="3"/>
      <c r="DR91" s="3"/>
      <c r="DS91" s="3"/>
      <c r="DT91" s="3"/>
      <c r="DU91" s="3"/>
    </row>
    <row r="92" ht="15.75" customHeight="1">
      <c r="A92" s="99">
        <v>5.0</v>
      </c>
      <c r="B92" s="100" t="s">
        <v>240</v>
      </c>
      <c r="C92" s="101" t="s">
        <v>86</v>
      </c>
      <c r="D92" s="102" t="s">
        <v>51</v>
      </c>
      <c r="E92" s="102">
        <v>8.0</v>
      </c>
      <c r="F92" s="102">
        <v>8.0</v>
      </c>
      <c r="G92" s="6">
        <v>44061.0</v>
      </c>
      <c r="H92" s="6">
        <v>44061.0</v>
      </c>
      <c r="I92" s="111">
        <v>1.0</v>
      </c>
      <c r="J92" s="111">
        <v>1.0</v>
      </c>
      <c r="K92" s="111">
        <v>1.0</v>
      </c>
      <c r="L92" s="111">
        <v>1.0</v>
      </c>
      <c r="M92" s="111">
        <v>1.0</v>
      </c>
      <c r="N92" s="111">
        <v>1.0</v>
      </c>
      <c r="O92" s="111">
        <v>1.0</v>
      </c>
      <c r="P92" s="111">
        <v>1.0</v>
      </c>
      <c r="Q92" s="111">
        <v>1.0</v>
      </c>
      <c r="R92" s="111">
        <v>1.0</v>
      </c>
      <c r="S92" s="111">
        <v>1.0</v>
      </c>
      <c r="T92" s="111">
        <v>1.0</v>
      </c>
      <c r="U92" s="111">
        <v>1.0</v>
      </c>
      <c r="V92" s="111">
        <v>1.0</v>
      </c>
      <c r="W92" s="111">
        <v>1.0</v>
      </c>
      <c r="X92" s="111">
        <v>1.0</v>
      </c>
      <c r="Y92" s="111">
        <v>1.0</v>
      </c>
      <c r="Z92" s="111">
        <v>1.0</v>
      </c>
      <c r="AA92" s="111">
        <v>1.0</v>
      </c>
      <c r="AB92" s="111">
        <v>1.0</v>
      </c>
      <c r="AC92" s="111">
        <v>1.0</v>
      </c>
      <c r="AD92" s="111">
        <v>1.0</v>
      </c>
      <c r="AE92" s="111">
        <v>1.0</v>
      </c>
      <c r="AF92" s="111">
        <v>1.0</v>
      </c>
      <c r="AG92" s="111">
        <v>1.0</v>
      </c>
      <c r="AH92" s="111">
        <v>1.0</v>
      </c>
      <c r="AI92" s="111">
        <v>1.0</v>
      </c>
      <c r="AJ92" s="111">
        <v>1.0</v>
      </c>
      <c r="AK92" s="111">
        <v>1.0</v>
      </c>
      <c r="AL92" s="111">
        <v>1.0</v>
      </c>
      <c r="AM92" s="111">
        <v>1.0</v>
      </c>
      <c r="AN92" s="111">
        <v>1.0</v>
      </c>
      <c r="AO92" s="111">
        <v>1.0</v>
      </c>
      <c r="AP92" s="111">
        <v>1.0</v>
      </c>
      <c r="AQ92" s="111">
        <v>1.0</v>
      </c>
      <c r="AR92" s="111">
        <v>1.0</v>
      </c>
      <c r="AS92" s="111">
        <v>1.0</v>
      </c>
      <c r="AT92" s="111">
        <v>1.0</v>
      </c>
      <c r="AU92" s="111">
        <v>1.0</v>
      </c>
      <c r="AV92" s="111">
        <v>1.0</v>
      </c>
      <c r="AW92" s="111">
        <v>1.0</v>
      </c>
      <c r="AX92" s="111">
        <v>1.0</v>
      </c>
      <c r="AY92" s="111">
        <v>1.0</v>
      </c>
      <c r="AZ92" s="111">
        <v>1.0</v>
      </c>
      <c r="BA92" s="111">
        <v>1.0</v>
      </c>
      <c r="BB92" s="111">
        <v>1.0</v>
      </c>
      <c r="BC92" s="111">
        <v>1.0</v>
      </c>
      <c r="BD92" s="111"/>
      <c r="BE92" s="111"/>
      <c r="BF92" s="130"/>
      <c r="BG92" s="130"/>
      <c r="BH92" s="130"/>
      <c r="BI92" s="130"/>
      <c r="BJ92" s="130"/>
      <c r="BK92" s="130"/>
      <c r="BL92" s="130"/>
      <c r="BM92" s="130"/>
      <c r="BN92" s="130"/>
      <c r="BO92" s="130"/>
      <c r="BP92" s="130"/>
      <c r="BQ92" s="130"/>
      <c r="BR92" s="130"/>
      <c r="BS92" s="130"/>
      <c r="BT92" s="130"/>
      <c r="BU92" s="130"/>
      <c r="BV92" s="130"/>
      <c r="BW92" s="130"/>
      <c r="BX92" s="130"/>
      <c r="BY92" s="130"/>
      <c r="BZ92" s="130"/>
      <c r="CA92" s="130"/>
      <c r="CB92" s="130"/>
      <c r="CC92" s="130"/>
      <c r="CD92" s="130"/>
      <c r="CE92" s="130"/>
      <c r="CF92" s="130"/>
      <c r="CG92" s="130"/>
      <c r="CH92" s="130"/>
      <c r="CI92" s="130"/>
      <c r="CJ92" s="130"/>
      <c r="CK92" s="130"/>
      <c r="CL92" s="130"/>
      <c r="CM92" s="130"/>
      <c r="CN92" s="130"/>
      <c r="CO92" s="130"/>
      <c r="CP92" s="130"/>
      <c r="CQ92" s="130"/>
      <c r="CR92" s="130"/>
      <c r="CS92" s="130"/>
      <c r="CT92" s="130"/>
      <c r="CU92" s="130"/>
      <c r="CV92" s="130"/>
      <c r="CW92" s="130"/>
      <c r="CX92" s="130"/>
      <c r="CY92" s="130"/>
      <c r="CZ92" s="130"/>
      <c r="DA92" s="130"/>
      <c r="DB92" s="130"/>
      <c r="DC92" s="130"/>
      <c r="DD92" s="130"/>
      <c r="DE92" s="130"/>
      <c r="DF92" s="130"/>
      <c r="DG92" s="130"/>
      <c r="DH92" s="3"/>
      <c r="DI92" s="3"/>
      <c r="DJ92" s="3"/>
      <c r="DK92" s="3"/>
      <c r="DL92" s="3"/>
      <c r="DM92" s="3"/>
      <c r="DN92" s="3"/>
      <c r="DO92" s="3"/>
      <c r="DP92" s="3"/>
      <c r="DQ92" s="3"/>
      <c r="DR92" s="3"/>
      <c r="DS92" s="3"/>
      <c r="DT92" s="3"/>
      <c r="DU92" s="3"/>
    </row>
    <row r="93" ht="15.75" customHeight="1">
      <c r="A93" s="99">
        <v>6.0</v>
      </c>
      <c r="B93" s="100" t="s">
        <v>241</v>
      </c>
      <c r="C93" s="101" t="s">
        <v>86</v>
      </c>
      <c r="D93" s="102" t="s">
        <v>42</v>
      </c>
      <c r="E93" s="102">
        <v>16.0</v>
      </c>
      <c r="F93" s="102">
        <v>16.0</v>
      </c>
      <c r="G93" s="6">
        <v>44064.0</v>
      </c>
      <c r="H93" s="6">
        <v>44065.0</v>
      </c>
      <c r="I93" s="111">
        <v>1.0</v>
      </c>
      <c r="J93" s="111">
        <v>1.0</v>
      </c>
      <c r="K93" s="111">
        <v>1.0</v>
      </c>
      <c r="L93" s="111">
        <v>1.0</v>
      </c>
      <c r="M93" s="111">
        <v>1.0</v>
      </c>
      <c r="N93" s="111">
        <v>1.0</v>
      </c>
      <c r="O93" s="111">
        <v>1.0</v>
      </c>
      <c r="P93" s="111">
        <v>1.0</v>
      </c>
      <c r="Q93" s="111">
        <v>1.0</v>
      </c>
      <c r="R93" s="111">
        <v>1.0</v>
      </c>
      <c r="S93" s="111">
        <v>1.0</v>
      </c>
      <c r="T93" s="111">
        <v>1.0</v>
      </c>
      <c r="U93" s="111">
        <v>1.0</v>
      </c>
      <c r="V93" s="111">
        <v>1.0</v>
      </c>
      <c r="W93" s="111">
        <v>1.0</v>
      </c>
      <c r="X93" s="111">
        <v>1.0</v>
      </c>
      <c r="Y93" s="111">
        <v>1.0</v>
      </c>
      <c r="Z93" s="111">
        <v>1.0</v>
      </c>
      <c r="AA93" s="111">
        <v>1.0</v>
      </c>
      <c r="AB93" s="111">
        <v>1.0</v>
      </c>
      <c r="AC93" s="111">
        <v>1.0</v>
      </c>
      <c r="AD93" s="111">
        <v>1.0</v>
      </c>
      <c r="AE93" s="111">
        <v>1.0</v>
      </c>
      <c r="AF93" s="111">
        <v>1.0</v>
      </c>
      <c r="AG93" s="111">
        <v>1.0</v>
      </c>
      <c r="AH93" s="111">
        <v>1.0</v>
      </c>
      <c r="AI93" s="111">
        <v>1.0</v>
      </c>
      <c r="AJ93" s="111">
        <v>1.0</v>
      </c>
      <c r="AK93" s="111">
        <v>1.0</v>
      </c>
      <c r="AL93" s="111">
        <v>1.0</v>
      </c>
      <c r="AM93" s="111">
        <v>1.0</v>
      </c>
      <c r="AN93" s="111">
        <v>1.0</v>
      </c>
      <c r="AO93" s="111">
        <v>1.0</v>
      </c>
      <c r="AP93" s="111">
        <v>1.0</v>
      </c>
      <c r="AQ93" s="111">
        <v>1.0</v>
      </c>
      <c r="AR93" s="111">
        <v>1.0</v>
      </c>
      <c r="AS93" s="111">
        <v>1.0</v>
      </c>
      <c r="AT93" s="111">
        <v>1.0</v>
      </c>
      <c r="AU93" s="111">
        <v>1.0</v>
      </c>
      <c r="AV93" s="111">
        <v>1.0</v>
      </c>
      <c r="AW93" s="111">
        <v>1.0</v>
      </c>
      <c r="AX93" s="111">
        <v>1.0</v>
      </c>
      <c r="AY93" s="111">
        <v>1.0</v>
      </c>
      <c r="AZ93" s="111">
        <v>0.5</v>
      </c>
      <c r="BA93" s="111"/>
      <c r="BB93" s="111"/>
      <c r="BC93" s="111"/>
      <c r="BD93" s="111"/>
      <c r="BE93" s="111"/>
      <c r="BF93" s="130"/>
      <c r="BG93" s="130"/>
      <c r="BH93" s="130"/>
      <c r="BI93" s="130"/>
      <c r="BJ93" s="130"/>
      <c r="BK93" s="130"/>
      <c r="BL93" s="130"/>
      <c r="BM93" s="130"/>
      <c r="BN93" s="130"/>
      <c r="BO93" s="130"/>
      <c r="BP93" s="130"/>
      <c r="BQ93" s="130"/>
      <c r="BR93" s="130"/>
      <c r="BS93" s="130"/>
      <c r="BT93" s="130"/>
      <c r="BU93" s="130"/>
      <c r="BV93" s="130"/>
      <c r="BW93" s="130"/>
      <c r="BX93" s="130"/>
      <c r="BY93" s="130"/>
      <c r="BZ93" s="130"/>
      <c r="CA93" s="130"/>
      <c r="CB93" s="130"/>
      <c r="CC93" s="130"/>
      <c r="CD93" s="130"/>
      <c r="CE93" s="130"/>
      <c r="CF93" s="130"/>
      <c r="CG93" s="130"/>
      <c r="CH93" s="130"/>
      <c r="CI93" s="130"/>
      <c r="CJ93" s="130"/>
      <c r="CK93" s="130"/>
      <c r="CL93" s="130"/>
      <c r="CM93" s="130"/>
      <c r="CN93" s="130"/>
      <c r="CO93" s="130"/>
      <c r="CP93" s="130"/>
      <c r="CQ93" s="130"/>
      <c r="CR93" s="130"/>
      <c r="CS93" s="130"/>
      <c r="CT93" s="130"/>
      <c r="CU93" s="130"/>
      <c r="CV93" s="130"/>
      <c r="CW93" s="130"/>
      <c r="CX93" s="130"/>
      <c r="CY93" s="130"/>
      <c r="CZ93" s="130"/>
      <c r="DA93" s="130"/>
      <c r="DB93" s="130"/>
      <c r="DC93" s="130"/>
      <c r="DD93" s="130"/>
      <c r="DE93" s="130"/>
      <c r="DF93" s="130"/>
      <c r="DG93" s="130"/>
      <c r="DH93" s="3"/>
      <c r="DI93" s="3"/>
      <c r="DJ93" s="3"/>
      <c r="DK93" s="3"/>
      <c r="DL93" s="3"/>
      <c r="DM93" s="3"/>
      <c r="DN93" s="3"/>
      <c r="DO93" s="3"/>
      <c r="DP93" s="3"/>
      <c r="DQ93" s="3"/>
      <c r="DR93" s="3"/>
      <c r="DS93" s="3"/>
      <c r="DT93" s="3"/>
      <c r="DU93" s="3"/>
    </row>
    <row r="94" ht="15.75" customHeight="1">
      <c r="A94" s="99">
        <v>7.0</v>
      </c>
      <c r="B94" s="100" t="s">
        <v>242</v>
      </c>
      <c r="C94" s="101" t="s">
        <v>86</v>
      </c>
      <c r="D94" s="102" t="s">
        <v>55</v>
      </c>
      <c r="E94" s="102">
        <v>16.0</v>
      </c>
      <c r="F94" s="102">
        <v>16.0</v>
      </c>
      <c r="G94" s="6">
        <v>44064.0</v>
      </c>
      <c r="H94" s="6">
        <v>44065.0</v>
      </c>
      <c r="I94" s="111">
        <v>1.0</v>
      </c>
      <c r="J94" s="111">
        <v>1.0</v>
      </c>
      <c r="K94" s="111">
        <v>1.0</v>
      </c>
      <c r="L94" s="111">
        <v>1.0</v>
      </c>
      <c r="M94" s="111">
        <v>1.0</v>
      </c>
      <c r="N94" s="111">
        <v>1.0</v>
      </c>
      <c r="O94" s="111">
        <v>1.0</v>
      </c>
      <c r="P94" s="111">
        <v>1.0</v>
      </c>
      <c r="Q94" s="111">
        <v>1.0</v>
      </c>
      <c r="R94" s="111">
        <v>1.0</v>
      </c>
      <c r="S94" s="111">
        <v>1.0</v>
      </c>
      <c r="T94" s="111">
        <v>1.0</v>
      </c>
      <c r="U94" s="111">
        <v>1.0</v>
      </c>
      <c r="V94" s="111">
        <v>1.0</v>
      </c>
      <c r="W94" s="111">
        <v>1.0</v>
      </c>
      <c r="X94" s="111">
        <v>1.0</v>
      </c>
      <c r="Y94" s="111">
        <v>1.0</v>
      </c>
      <c r="Z94" s="111">
        <v>1.0</v>
      </c>
      <c r="AA94" s="111">
        <v>1.0</v>
      </c>
      <c r="AB94" s="111">
        <v>1.0</v>
      </c>
      <c r="AC94" s="111">
        <v>1.0</v>
      </c>
      <c r="AD94" s="111">
        <v>1.0</v>
      </c>
      <c r="AE94" s="111">
        <v>1.0</v>
      </c>
      <c r="AF94" s="111">
        <v>1.0</v>
      </c>
      <c r="AG94" s="111">
        <v>1.0</v>
      </c>
      <c r="AH94" s="111">
        <v>1.0</v>
      </c>
      <c r="AI94" s="111">
        <v>1.0</v>
      </c>
      <c r="AJ94" s="111">
        <v>1.0</v>
      </c>
      <c r="AK94" s="111">
        <v>1.0</v>
      </c>
      <c r="AL94" s="111">
        <v>1.0</v>
      </c>
      <c r="AM94" s="111">
        <v>1.0</v>
      </c>
      <c r="AN94" s="111">
        <v>1.0</v>
      </c>
      <c r="AO94" s="111">
        <v>1.0</v>
      </c>
      <c r="AP94" s="111">
        <v>1.0</v>
      </c>
      <c r="AQ94" s="111">
        <v>1.0</v>
      </c>
      <c r="AR94" s="111">
        <v>1.0</v>
      </c>
      <c r="AS94" s="111">
        <v>1.0</v>
      </c>
      <c r="AT94" s="111">
        <v>1.0</v>
      </c>
      <c r="AU94" s="111">
        <v>1.0</v>
      </c>
      <c r="AV94" s="111">
        <v>1.0</v>
      </c>
      <c r="AW94" s="111">
        <v>1.0</v>
      </c>
      <c r="AX94" s="111">
        <v>1.0</v>
      </c>
      <c r="AY94" s="111">
        <v>1.0</v>
      </c>
      <c r="AZ94" s="111">
        <v>0.5</v>
      </c>
      <c r="BA94" s="111"/>
      <c r="BB94" s="111"/>
      <c r="BC94" s="111"/>
      <c r="BD94" s="111"/>
      <c r="BE94" s="111"/>
      <c r="BF94" s="130"/>
      <c r="BG94" s="130"/>
      <c r="BH94" s="130"/>
      <c r="BI94" s="130"/>
      <c r="BJ94" s="130"/>
      <c r="BK94" s="130"/>
      <c r="BL94" s="130"/>
      <c r="BM94" s="130"/>
      <c r="BN94" s="130"/>
      <c r="BO94" s="130"/>
      <c r="BP94" s="130"/>
      <c r="BQ94" s="130"/>
      <c r="BR94" s="130"/>
      <c r="BS94" s="130"/>
      <c r="BT94" s="130"/>
      <c r="BU94" s="130"/>
      <c r="BV94" s="130"/>
      <c r="BW94" s="130"/>
      <c r="BX94" s="130"/>
      <c r="BY94" s="130"/>
      <c r="BZ94" s="130"/>
      <c r="CA94" s="130"/>
      <c r="CB94" s="130"/>
      <c r="CC94" s="130"/>
      <c r="CD94" s="130"/>
      <c r="CE94" s="130"/>
      <c r="CF94" s="130"/>
      <c r="CG94" s="130"/>
      <c r="CH94" s="130"/>
      <c r="CI94" s="130"/>
      <c r="CJ94" s="130"/>
      <c r="CK94" s="130"/>
      <c r="CL94" s="130"/>
      <c r="CM94" s="130"/>
      <c r="CN94" s="130"/>
      <c r="CO94" s="130"/>
      <c r="CP94" s="130"/>
      <c r="CQ94" s="130"/>
      <c r="CR94" s="130"/>
      <c r="CS94" s="130"/>
      <c r="CT94" s="130"/>
      <c r="CU94" s="130"/>
      <c r="CV94" s="130"/>
      <c r="CW94" s="130"/>
      <c r="CX94" s="130"/>
      <c r="CY94" s="130"/>
      <c r="CZ94" s="130"/>
      <c r="DA94" s="130"/>
      <c r="DB94" s="130"/>
      <c r="DC94" s="130"/>
      <c r="DD94" s="130"/>
      <c r="DE94" s="130"/>
      <c r="DF94" s="130"/>
      <c r="DG94" s="130"/>
      <c r="DH94" s="3"/>
      <c r="DI94" s="3"/>
      <c r="DJ94" s="3"/>
      <c r="DK94" s="3"/>
      <c r="DL94" s="3"/>
      <c r="DM94" s="3"/>
      <c r="DN94" s="3"/>
      <c r="DO94" s="3"/>
      <c r="DP94" s="3"/>
      <c r="DQ94" s="3"/>
      <c r="DR94" s="3"/>
      <c r="DS94" s="3"/>
      <c r="DT94" s="3"/>
      <c r="DU94" s="3"/>
    </row>
    <row r="95" ht="15.75" customHeight="1">
      <c r="A95" s="99">
        <v>8.0</v>
      </c>
      <c r="B95" s="100" t="s">
        <v>243</v>
      </c>
      <c r="C95" s="101" t="s">
        <v>86</v>
      </c>
      <c r="D95" s="102" t="s">
        <v>51</v>
      </c>
      <c r="E95" s="102">
        <v>8.0</v>
      </c>
      <c r="F95" s="102">
        <v>8.0</v>
      </c>
      <c r="G95" s="6">
        <v>44064.0</v>
      </c>
      <c r="H95" s="6">
        <v>44064.0</v>
      </c>
      <c r="I95" s="111">
        <v>1.0</v>
      </c>
      <c r="J95" s="111">
        <v>1.0</v>
      </c>
      <c r="K95" s="111">
        <v>1.0</v>
      </c>
      <c r="L95" s="111">
        <v>1.0</v>
      </c>
      <c r="M95" s="111">
        <v>1.0</v>
      </c>
      <c r="N95" s="111">
        <v>1.0</v>
      </c>
      <c r="O95" s="111">
        <v>1.0</v>
      </c>
      <c r="P95" s="111">
        <v>1.0</v>
      </c>
      <c r="Q95" s="111">
        <v>1.0</v>
      </c>
      <c r="R95" s="111">
        <v>1.0</v>
      </c>
      <c r="S95" s="111">
        <v>1.0</v>
      </c>
      <c r="T95" s="111">
        <v>1.0</v>
      </c>
      <c r="U95" s="111">
        <v>1.0</v>
      </c>
      <c r="V95" s="111">
        <v>1.0</v>
      </c>
      <c r="W95" s="111">
        <v>1.0</v>
      </c>
      <c r="X95" s="111">
        <v>1.0</v>
      </c>
      <c r="Y95" s="111">
        <v>1.0</v>
      </c>
      <c r="Z95" s="111">
        <v>1.0</v>
      </c>
      <c r="AA95" s="111">
        <v>1.0</v>
      </c>
      <c r="AB95" s="111">
        <v>1.0</v>
      </c>
      <c r="AC95" s="111">
        <v>1.0</v>
      </c>
      <c r="AD95" s="111">
        <v>1.0</v>
      </c>
      <c r="AE95" s="111">
        <v>1.0</v>
      </c>
      <c r="AF95" s="111">
        <v>1.0</v>
      </c>
      <c r="AG95" s="111">
        <v>1.0</v>
      </c>
      <c r="AH95" s="111">
        <v>1.0</v>
      </c>
      <c r="AI95" s="111">
        <v>1.0</v>
      </c>
      <c r="AJ95" s="111">
        <v>1.0</v>
      </c>
      <c r="AK95" s="111">
        <v>1.0</v>
      </c>
      <c r="AL95" s="111">
        <v>1.0</v>
      </c>
      <c r="AM95" s="111">
        <v>1.0</v>
      </c>
      <c r="AN95" s="111">
        <v>1.0</v>
      </c>
      <c r="AO95" s="111">
        <v>1.0</v>
      </c>
      <c r="AP95" s="111">
        <v>1.0</v>
      </c>
      <c r="AQ95" s="111">
        <v>1.0</v>
      </c>
      <c r="AR95" s="111">
        <v>1.0</v>
      </c>
      <c r="AS95" s="111">
        <v>1.0</v>
      </c>
      <c r="AT95" s="111">
        <v>1.0</v>
      </c>
      <c r="AU95" s="111">
        <v>1.0</v>
      </c>
      <c r="AV95" s="111">
        <v>1.0</v>
      </c>
      <c r="AW95" s="111">
        <v>1.0</v>
      </c>
      <c r="AX95" s="111">
        <v>1.0</v>
      </c>
      <c r="AY95" s="111">
        <v>1.0</v>
      </c>
      <c r="AZ95" s="111">
        <v>1.0</v>
      </c>
      <c r="BA95" s="111"/>
      <c r="BB95" s="111"/>
      <c r="BC95" s="111"/>
      <c r="BD95" s="111"/>
      <c r="BE95" s="111"/>
      <c r="BF95" s="130"/>
      <c r="BG95" s="130"/>
      <c r="BH95" s="130"/>
      <c r="BI95" s="130"/>
      <c r="BJ95" s="130"/>
      <c r="BK95" s="130"/>
      <c r="BL95" s="130"/>
      <c r="BM95" s="130"/>
      <c r="BN95" s="130"/>
      <c r="BO95" s="130"/>
      <c r="BP95" s="130"/>
      <c r="BQ95" s="130"/>
      <c r="BR95" s="130"/>
      <c r="BS95" s="130"/>
      <c r="BT95" s="130"/>
      <c r="BU95" s="130"/>
      <c r="BV95" s="130"/>
      <c r="BW95" s="130"/>
      <c r="BX95" s="130"/>
      <c r="BY95" s="130"/>
      <c r="BZ95" s="130"/>
      <c r="CA95" s="130"/>
      <c r="CB95" s="130"/>
      <c r="CC95" s="130"/>
      <c r="CD95" s="130"/>
      <c r="CE95" s="130"/>
      <c r="CF95" s="130"/>
      <c r="CG95" s="130"/>
      <c r="CH95" s="130"/>
      <c r="CI95" s="130"/>
      <c r="CJ95" s="130"/>
      <c r="CK95" s="130"/>
      <c r="CL95" s="130"/>
      <c r="CM95" s="130"/>
      <c r="CN95" s="130"/>
      <c r="CO95" s="130"/>
      <c r="CP95" s="130"/>
      <c r="CQ95" s="130"/>
      <c r="CR95" s="130"/>
      <c r="CS95" s="130"/>
      <c r="CT95" s="130"/>
      <c r="CU95" s="130"/>
      <c r="CV95" s="130"/>
      <c r="CW95" s="130"/>
      <c r="CX95" s="130"/>
      <c r="CY95" s="130"/>
      <c r="CZ95" s="130"/>
      <c r="DA95" s="130"/>
      <c r="DB95" s="130"/>
      <c r="DC95" s="130"/>
      <c r="DD95" s="130"/>
      <c r="DE95" s="130"/>
      <c r="DF95" s="130"/>
      <c r="DG95" s="130"/>
      <c r="DH95" s="3"/>
      <c r="DI95" s="3"/>
      <c r="DJ95" s="3"/>
      <c r="DK95" s="3"/>
      <c r="DL95" s="3"/>
      <c r="DM95" s="3"/>
      <c r="DN95" s="3"/>
      <c r="DO95" s="3"/>
      <c r="DP95" s="3"/>
      <c r="DQ95" s="3"/>
      <c r="DR95" s="3"/>
      <c r="DS95" s="3"/>
      <c r="DT95" s="3"/>
      <c r="DU95" s="3"/>
    </row>
    <row r="96" ht="15.75" customHeight="1">
      <c r="A96" s="99">
        <v>9.0</v>
      </c>
      <c r="B96" s="100" t="s">
        <v>244</v>
      </c>
      <c r="C96" s="101" t="s">
        <v>86</v>
      </c>
      <c r="D96" s="102" t="s">
        <v>42</v>
      </c>
      <c r="E96" s="102">
        <v>16.0</v>
      </c>
      <c r="F96" s="102">
        <v>18.0</v>
      </c>
      <c r="G96" s="6">
        <v>44065.0</v>
      </c>
      <c r="H96" s="6">
        <v>44067.0</v>
      </c>
      <c r="I96" s="111">
        <v>1.0</v>
      </c>
      <c r="J96" s="111">
        <v>1.0</v>
      </c>
      <c r="K96" s="111">
        <v>1.0</v>
      </c>
      <c r="L96" s="111">
        <v>1.0</v>
      </c>
      <c r="M96" s="111">
        <v>1.0</v>
      </c>
      <c r="N96" s="111">
        <v>1.0</v>
      </c>
      <c r="O96" s="111">
        <v>1.0</v>
      </c>
      <c r="P96" s="111">
        <v>1.0</v>
      </c>
      <c r="Q96" s="111">
        <v>1.0</v>
      </c>
      <c r="R96" s="111">
        <v>1.0</v>
      </c>
      <c r="S96" s="111">
        <v>1.0</v>
      </c>
      <c r="T96" s="111">
        <v>1.0</v>
      </c>
      <c r="U96" s="111">
        <v>1.0</v>
      </c>
      <c r="V96" s="111">
        <v>1.0</v>
      </c>
      <c r="W96" s="111">
        <v>1.0</v>
      </c>
      <c r="X96" s="111">
        <v>1.0</v>
      </c>
      <c r="Y96" s="111">
        <v>1.0</v>
      </c>
      <c r="Z96" s="111">
        <v>1.0</v>
      </c>
      <c r="AA96" s="111">
        <v>1.0</v>
      </c>
      <c r="AB96" s="111">
        <v>1.0</v>
      </c>
      <c r="AC96" s="111">
        <v>1.0</v>
      </c>
      <c r="AD96" s="111">
        <v>1.0</v>
      </c>
      <c r="AE96" s="111">
        <v>1.0</v>
      </c>
      <c r="AF96" s="111">
        <v>1.0</v>
      </c>
      <c r="AG96" s="111">
        <v>1.0</v>
      </c>
      <c r="AH96" s="111">
        <v>1.0</v>
      </c>
      <c r="AI96" s="111">
        <v>1.0</v>
      </c>
      <c r="AJ96" s="111">
        <v>1.0</v>
      </c>
      <c r="AK96" s="111">
        <v>1.0</v>
      </c>
      <c r="AL96" s="111">
        <v>1.0</v>
      </c>
      <c r="AM96" s="111">
        <v>1.0</v>
      </c>
      <c r="AN96" s="111">
        <v>1.0</v>
      </c>
      <c r="AO96" s="111">
        <v>1.0</v>
      </c>
      <c r="AP96" s="111">
        <v>1.0</v>
      </c>
      <c r="AQ96" s="111">
        <v>1.0</v>
      </c>
      <c r="AR96" s="111">
        <v>1.0</v>
      </c>
      <c r="AS96" s="111">
        <v>1.0</v>
      </c>
      <c r="AT96" s="111">
        <v>1.0</v>
      </c>
      <c r="AU96" s="111">
        <v>1.0</v>
      </c>
      <c r="AV96" s="111">
        <v>1.0</v>
      </c>
      <c r="AW96" s="111">
        <v>1.0</v>
      </c>
      <c r="AX96" s="111">
        <v>1.0</v>
      </c>
      <c r="AY96" s="111">
        <v>0.5</v>
      </c>
      <c r="AZ96" s="111"/>
      <c r="BA96" s="111"/>
      <c r="BB96" s="111"/>
      <c r="BC96" s="111"/>
      <c r="BD96" s="111"/>
      <c r="BE96" s="111"/>
      <c r="BF96" s="130"/>
      <c r="BG96" s="130"/>
      <c r="BH96" s="130"/>
      <c r="BI96" s="130"/>
      <c r="BJ96" s="130"/>
      <c r="BK96" s="130"/>
      <c r="BL96" s="130"/>
      <c r="BM96" s="130"/>
      <c r="BN96" s="130"/>
      <c r="BO96" s="130"/>
      <c r="BP96" s="130"/>
      <c r="BQ96" s="130"/>
      <c r="BR96" s="130"/>
      <c r="BS96" s="130"/>
      <c r="BT96" s="130"/>
      <c r="BU96" s="130"/>
      <c r="BV96" s="130"/>
      <c r="BW96" s="130"/>
      <c r="BX96" s="130"/>
      <c r="BY96" s="130"/>
      <c r="BZ96" s="130"/>
      <c r="CA96" s="130"/>
      <c r="CB96" s="130"/>
      <c r="CC96" s="130"/>
      <c r="CD96" s="130"/>
      <c r="CE96" s="130"/>
      <c r="CF96" s="130"/>
      <c r="CG96" s="130"/>
      <c r="CH96" s="130"/>
      <c r="CI96" s="130"/>
      <c r="CJ96" s="130"/>
      <c r="CK96" s="130"/>
      <c r="CL96" s="130"/>
      <c r="CM96" s="130"/>
      <c r="CN96" s="130"/>
      <c r="CO96" s="130"/>
      <c r="CP96" s="130"/>
      <c r="CQ96" s="130"/>
      <c r="CR96" s="130"/>
      <c r="CS96" s="130"/>
      <c r="CT96" s="130"/>
      <c r="CU96" s="130"/>
      <c r="CV96" s="130"/>
      <c r="CW96" s="130"/>
      <c r="CX96" s="130"/>
      <c r="CY96" s="130"/>
      <c r="CZ96" s="130"/>
      <c r="DA96" s="130"/>
      <c r="DB96" s="130"/>
      <c r="DC96" s="130"/>
      <c r="DD96" s="130"/>
      <c r="DE96" s="130"/>
      <c r="DF96" s="130"/>
      <c r="DG96" s="130"/>
      <c r="DH96" s="3"/>
      <c r="DI96" s="3"/>
      <c r="DJ96" s="3"/>
      <c r="DK96" s="3"/>
      <c r="DL96" s="3"/>
      <c r="DM96" s="3"/>
      <c r="DN96" s="3"/>
      <c r="DO96" s="3"/>
      <c r="DP96" s="3"/>
      <c r="DQ96" s="3"/>
      <c r="DR96" s="3"/>
      <c r="DS96" s="3"/>
      <c r="DT96" s="3"/>
      <c r="DU96" s="3"/>
    </row>
    <row r="97" ht="15.75" customHeight="1">
      <c r="A97" s="99">
        <v>10.0</v>
      </c>
      <c r="B97" s="100" t="s">
        <v>245</v>
      </c>
      <c r="C97" s="101" t="s">
        <v>86</v>
      </c>
      <c r="D97" s="102" t="s">
        <v>55</v>
      </c>
      <c r="E97" s="102">
        <v>16.0</v>
      </c>
      <c r="F97" s="102">
        <v>20.0</v>
      </c>
      <c r="G97" s="6">
        <v>44065.0</v>
      </c>
      <c r="H97" s="6">
        <v>44067.0</v>
      </c>
      <c r="I97" s="111">
        <v>1.0</v>
      </c>
      <c r="J97" s="111">
        <v>1.0</v>
      </c>
      <c r="K97" s="111">
        <v>1.0</v>
      </c>
      <c r="L97" s="111">
        <v>1.0</v>
      </c>
      <c r="M97" s="111">
        <v>1.0</v>
      </c>
      <c r="N97" s="111">
        <v>1.0</v>
      </c>
      <c r="O97" s="111">
        <v>1.0</v>
      </c>
      <c r="P97" s="111">
        <v>1.0</v>
      </c>
      <c r="Q97" s="111">
        <v>1.0</v>
      </c>
      <c r="R97" s="111">
        <v>1.0</v>
      </c>
      <c r="S97" s="111">
        <v>1.0</v>
      </c>
      <c r="T97" s="111">
        <v>1.0</v>
      </c>
      <c r="U97" s="111">
        <v>1.0</v>
      </c>
      <c r="V97" s="111">
        <v>1.0</v>
      </c>
      <c r="W97" s="111">
        <v>1.0</v>
      </c>
      <c r="X97" s="111">
        <v>1.0</v>
      </c>
      <c r="Y97" s="111">
        <v>1.0</v>
      </c>
      <c r="Z97" s="111">
        <v>1.0</v>
      </c>
      <c r="AA97" s="111">
        <v>1.0</v>
      </c>
      <c r="AB97" s="111">
        <v>1.0</v>
      </c>
      <c r="AC97" s="111">
        <v>1.0</v>
      </c>
      <c r="AD97" s="111">
        <v>1.0</v>
      </c>
      <c r="AE97" s="111">
        <v>1.0</v>
      </c>
      <c r="AF97" s="111">
        <v>1.0</v>
      </c>
      <c r="AG97" s="111">
        <v>1.0</v>
      </c>
      <c r="AH97" s="111">
        <v>1.0</v>
      </c>
      <c r="AI97" s="111">
        <v>1.0</v>
      </c>
      <c r="AJ97" s="111">
        <v>1.0</v>
      </c>
      <c r="AK97" s="111">
        <v>1.0</v>
      </c>
      <c r="AL97" s="111">
        <v>1.0</v>
      </c>
      <c r="AM97" s="111">
        <v>1.0</v>
      </c>
      <c r="AN97" s="111">
        <v>1.0</v>
      </c>
      <c r="AO97" s="111">
        <v>1.0</v>
      </c>
      <c r="AP97" s="111">
        <v>1.0</v>
      </c>
      <c r="AQ97" s="111">
        <v>1.0</v>
      </c>
      <c r="AR97" s="111">
        <v>1.0</v>
      </c>
      <c r="AS97" s="111">
        <v>1.0</v>
      </c>
      <c r="AT97" s="111">
        <v>1.0</v>
      </c>
      <c r="AU97" s="111">
        <v>1.0</v>
      </c>
      <c r="AV97" s="111">
        <v>1.0</v>
      </c>
      <c r="AW97" s="111">
        <v>1.0</v>
      </c>
      <c r="AX97" s="111">
        <v>1.0</v>
      </c>
      <c r="AY97" s="111">
        <v>0.5</v>
      </c>
      <c r="AZ97" s="111"/>
      <c r="BA97" s="111"/>
      <c r="BB97" s="111"/>
      <c r="BC97" s="111"/>
      <c r="BD97" s="111"/>
      <c r="BE97" s="111"/>
      <c r="BF97" s="130"/>
      <c r="BG97" s="130"/>
      <c r="BH97" s="130"/>
      <c r="BI97" s="130"/>
      <c r="BJ97" s="130"/>
      <c r="BK97" s="130"/>
      <c r="BL97" s="130"/>
      <c r="BM97" s="130"/>
      <c r="BN97" s="130"/>
      <c r="BO97" s="130"/>
      <c r="BP97" s="130"/>
      <c r="BQ97" s="130"/>
      <c r="BR97" s="130"/>
      <c r="BS97" s="130"/>
      <c r="BT97" s="130"/>
      <c r="BU97" s="130"/>
      <c r="BV97" s="130"/>
      <c r="BW97" s="130"/>
      <c r="BX97" s="130"/>
      <c r="BY97" s="130"/>
      <c r="BZ97" s="130"/>
      <c r="CA97" s="130"/>
      <c r="CB97" s="130"/>
      <c r="CC97" s="130"/>
      <c r="CD97" s="130"/>
      <c r="CE97" s="130"/>
      <c r="CF97" s="130"/>
      <c r="CG97" s="130"/>
      <c r="CH97" s="130"/>
      <c r="CI97" s="130"/>
      <c r="CJ97" s="130"/>
      <c r="CK97" s="130"/>
      <c r="CL97" s="130"/>
      <c r="CM97" s="130"/>
      <c r="CN97" s="130"/>
      <c r="CO97" s="130"/>
      <c r="CP97" s="130"/>
      <c r="CQ97" s="130"/>
      <c r="CR97" s="130"/>
      <c r="CS97" s="130"/>
      <c r="CT97" s="130"/>
      <c r="CU97" s="130"/>
      <c r="CV97" s="130"/>
      <c r="CW97" s="130"/>
      <c r="CX97" s="130"/>
      <c r="CY97" s="130"/>
      <c r="CZ97" s="130"/>
      <c r="DA97" s="130"/>
      <c r="DB97" s="130"/>
      <c r="DC97" s="130"/>
      <c r="DD97" s="130"/>
      <c r="DE97" s="130"/>
      <c r="DF97" s="130"/>
      <c r="DG97" s="130"/>
      <c r="DH97" s="3"/>
      <c r="DI97" s="3"/>
      <c r="DJ97" s="3"/>
      <c r="DK97" s="3"/>
      <c r="DL97" s="3"/>
      <c r="DM97" s="3"/>
      <c r="DN97" s="3"/>
      <c r="DO97" s="3"/>
      <c r="DP97" s="3"/>
      <c r="DQ97" s="3"/>
      <c r="DR97" s="3"/>
      <c r="DS97" s="3"/>
      <c r="DT97" s="3"/>
      <c r="DU97" s="3"/>
    </row>
    <row r="98" ht="15.0" customHeight="1">
      <c r="A98" s="108" t="s">
        <v>45</v>
      </c>
      <c r="B98" s="50"/>
      <c r="C98" s="51"/>
      <c r="D98" s="101"/>
      <c r="E98" s="109">
        <f t="shared" ref="E98:F98" si="5">SUM(E88:E97)</f>
        <v>144</v>
      </c>
      <c r="F98" s="109">
        <f t="shared" si="5"/>
        <v>159</v>
      </c>
      <c r="G98" s="110"/>
      <c r="H98" s="110"/>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30"/>
      <c r="BG98" s="130"/>
      <c r="BH98" s="130"/>
      <c r="BI98" s="130"/>
      <c r="BJ98" s="130"/>
      <c r="BK98" s="130"/>
      <c r="BL98" s="130"/>
      <c r="BM98" s="130"/>
      <c r="BN98" s="130"/>
      <c r="BO98" s="130"/>
      <c r="BP98" s="130"/>
      <c r="BQ98" s="130"/>
      <c r="BR98" s="130"/>
      <c r="BS98" s="130"/>
      <c r="BT98" s="130"/>
      <c r="BU98" s="130"/>
      <c r="BV98" s="130"/>
      <c r="BW98" s="130"/>
      <c r="BX98" s="130"/>
      <c r="BY98" s="130"/>
      <c r="BZ98" s="130"/>
      <c r="CA98" s="130"/>
      <c r="CB98" s="130"/>
      <c r="CC98" s="130"/>
      <c r="CD98" s="130"/>
      <c r="CE98" s="130"/>
      <c r="CF98" s="130"/>
      <c r="CG98" s="130"/>
      <c r="CH98" s="130"/>
      <c r="CI98" s="130"/>
      <c r="CJ98" s="130"/>
      <c r="CK98" s="130"/>
      <c r="CL98" s="130"/>
      <c r="CM98" s="130"/>
      <c r="CN98" s="130"/>
      <c r="CO98" s="130"/>
      <c r="CP98" s="130"/>
      <c r="CQ98" s="130"/>
      <c r="CR98" s="130"/>
      <c r="CS98" s="130"/>
      <c r="CT98" s="130"/>
      <c r="CU98" s="130"/>
      <c r="CV98" s="130"/>
      <c r="CW98" s="130"/>
      <c r="CX98" s="130"/>
      <c r="CY98" s="130"/>
      <c r="CZ98" s="130"/>
      <c r="DA98" s="130"/>
      <c r="DB98" s="130"/>
      <c r="DC98" s="130"/>
      <c r="DD98" s="130"/>
      <c r="DE98" s="130"/>
      <c r="DF98" s="130"/>
      <c r="DG98" s="130"/>
      <c r="DH98" s="112"/>
      <c r="DI98" s="112"/>
      <c r="DJ98" s="112"/>
      <c r="DK98" s="112"/>
      <c r="DL98" s="112"/>
      <c r="DM98" s="112"/>
      <c r="DN98" s="112"/>
      <c r="DO98" s="112"/>
      <c r="DP98" s="112"/>
      <c r="DQ98" s="112"/>
      <c r="DR98" s="112"/>
      <c r="DS98" s="112"/>
      <c r="DT98" s="112"/>
      <c r="DU98" s="112"/>
    </row>
    <row r="99" ht="19.5" customHeight="1">
      <c r="A99" s="113" t="s">
        <v>166</v>
      </c>
      <c r="B99" s="50"/>
      <c r="C99" s="50"/>
      <c r="D99" s="50"/>
      <c r="E99" s="50"/>
      <c r="F99" s="50"/>
      <c r="G99" s="50"/>
      <c r="H99" s="50"/>
      <c r="I99" s="124">
        <v>44067.0</v>
      </c>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30"/>
      <c r="BG99" s="130"/>
      <c r="BH99" s="130"/>
      <c r="BI99" s="130"/>
      <c r="BJ99" s="130"/>
      <c r="BK99" s="130"/>
      <c r="BL99" s="130"/>
      <c r="BM99" s="130"/>
      <c r="BN99" s="130"/>
      <c r="BO99" s="130"/>
      <c r="BP99" s="130"/>
      <c r="BQ99" s="130"/>
      <c r="BR99" s="130"/>
      <c r="BS99" s="130"/>
      <c r="BT99" s="130"/>
      <c r="BU99" s="130"/>
      <c r="BV99" s="130"/>
      <c r="BW99" s="130"/>
      <c r="BX99" s="130"/>
      <c r="BY99" s="130"/>
      <c r="BZ99" s="130"/>
      <c r="CA99" s="130"/>
      <c r="CB99" s="130"/>
      <c r="CC99" s="130"/>
      <c r="CD99" s="130"/>
      <c r="CE99" s="130"/>
      <c r="CF99" s="130"/>
      <c r="CG99" s="130"/>
      <c r="CH99" s="130"/>
      <c r="CI99" s="130"/>
      <c r="CJ99" s="130"/>
      <c r="CK99" s="130"/>
      <c r="CL99" s="130"/>
      <c r="CM99" s="130"/>
      <c r="CN99" s="130"/>
      <c r="CO99" s="130"/>
      <c r="CP99" s="130"/>
      <c r="CQ99" s="130"/>
      <c r="CR99" s="130"/>
      <c r="CS99" s="130"/>
      <c r="CT99" s="130"/>
      <c r="CU99" s="130"/>
      <c r="CV99" s="130"/>
      <c r="CW99" s="130"/>
      <c r="CX99" s="130"/>
      <c r="CY99" s="130"/>
      <c r="CZ99" s="130"/>
      <c r="DA99" s="130"/>
      <c r="DB99" s="130"/>
      <c r="DC99" s="130"/>
      <c r="DD99" s="130"/>
      <c r="DE99" s="130"/>
      <c r="DF99" s="130"/>
      <c r="DG99" s="130"/>
      <c r="DH99" s="117"/>
      <c r="DI99" s="117"/>
      <c r="DJ99" s="117"/>
      <c r="DK99" s="117"/>
      <c r="DL99" s="117"/>
      <c r="DM99" s="117"/>
      <c r="DN99" s="117"/>
      <c r="DO99" s="117"/>
      <c r="DP99" s="117"/>
      <c r="DQ99" s="117"/>
      <c r="DR99" s="117"/>
      <c r="DS99" s="117"/>
      <c r="DT99" s="117"/>
      <c r="DU99" s="117"/>
    </row>
    <row r="100" ht="15.75" customHeight="1">
      <c r="A100" s="9"/>
      <c r="B100" s="4"/>
      <c r="C100" s="4"/>
      <c r="D100" s="4"/>
      <c r="E100" s="4"/>
      <c r="F100" s="4"/>
      <c r="G100" s="4"/>
      <c r="H100" s="4"/>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130"/>
      <c r="BG100" s="130"/>
      <c r="BH100" s="130"/>
      <c r="BI100" s="130"/>
      <c r="BJ100" s="130"/>
      <c r="BK100" s="130"/>
      <c r="BL100" s="130"/>
      <c r="BM100" s="130"/>
      <c r="BN100" s="130"/>
      <c r="BO100" s="130"/>
      <c r="BP100" s="130"/>
      <c r="BQ100" s="130"/>
      <c r="BR100" s="130"/>
      <c r="BS100" s="130"/>
      <c r="BT100" s="130"/>
      <c r="BU100" s="130"/>
      <c r="BV100" s="130"/>
      <c r="BW100" s="130"/>
      <c r="BX100" s="130"/>
      <c r="BY100" s="130"/>
      <c r="BZ100" s="130"/>
      <c r="CA100" s="130"/>
      <c r="CB100" s="130"/>
      <c r="CC100" s="130"/>
      <c r="CD100" s="130"/>
      <c r="CE100" s="130"/>
      <c r="CF100" s="130"/>
      <c r="CG100" s="130"/>
      <c r="CH100" s="130"/>
      <c r="CI100" s="130"/>
      <c r="CJ100" s="130"/>
      <c r="CK100" s="130"/>
      <c r="CL100" s="130"/>
      <c r="CM100" s="130"/>
      <c r="CN100" s="130"/>
      <c r="CO100" s="130"/>
      <c r="CP100" s="130"/>
      <c r="CQ100" s="130"/>
      <c r="CR100" s="130"/>
      <c r="CS100" s="130"/>
      <c r="CT100" s="130"/>
      <c r="CU100" s="130"/>
      <c r="CV100" s="130"/>
      <c r="CW100" s="130"/>
      <c r="CX100" s="130"/>
      <c r="CY100" s="130"/>
      <c r="CZ100" s="130"/>
      <c r="DA100" s="130"/>
      <c r="DB100" s="130"/>
      <c r="DC100" s="130"/>
      <c r="DD100" s="130"/>
      <c r="DE100" s="130"/>
      <c r="DF100" s="130"/>
      <c r="DG100" s="130"/>
      <c r="DH100" s="69"/>
      <c r="DI100" s="69"/>
      <c r="DJ100" s="4"/>
      <c r="DK100" s="4"/>
      <c r="DL100" s="4"/>
      <c r="DM100" s="4"/>
      <c r="DN100" s="4"/>
      <c r="DO100" s="4"/>
      <c r="DP100" s="4"/>
      <c r="DQ100" s="4"/>
      <c r="DR100" s="4"/>
      <c r="DS100" s="4"/>
      <c r="DT100" s="4"/>
      <c r="DU100" s="4"/>
    </row>
    <row r="101" ht="15.75" customHeight="1">
      <c r="A101" s="118" t="s">
        <v>246</v>
      </c>
      <c r="B101" s="67"/>
      <c r="C101" s="67"/>
      <c r="D101" s="67"/>
      <c r="E101" s="67"/>
      <c r="F101" s="67"/>
      <c r="G101" s="67"/>
      <c r="H101" s="68"/>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69"/>
      <c r="AY101" s="69"/>
      <c r="AZ101" s="69"/>
      <c r="BA101" s="69"/>
      <c r="BB101" s="69"/>
      <c r="BC101" s="69"/>
      <c r="BD101" s="69"/>
      <c r="BE101" s="69"/>
      <c r="BF101" s="130"/>
      <c r="BG101" s="130"/>
      <c r="BH101" s="130"/>
      <c r="BI101" s="130"/>
      <c r="BJ101" s="130"/>
      <c r="BK101" s="130"/>
      <c r="BL101" s="130"/>
      <c r="BM101" s="130"/>
      <c r="BN101" s="130"/>
      <c r="BO101" s="130"/>
      <c r="BP101" s="130"/>
      <c r="BQ101" s="130"/>
      <c r="BR101" s="130"/>
      <c r="BS101" s="130"/>
      <c r="BT101" s="130"/>
      <c r="BU101" s="130"/>
      <c r="BV101" s="130"/>
      <c r="BW101" s="130"/>
      <c r="BX101" s="130"/>
      <c r="BY101" s="130"/>
      <c r="BZ101" s="130"/>
      <c r="CA101" s="130"/>
      <c r="CB101" s="130"/>
      <c r="CC101" s="130"/>
      <c r="CD101" s="130"/>
      <c r="CE101" s="130"/>
      <c r="CF101" s="130"/>
      <c r="CG101" s="130"/>
      <c r="CH101" s="130"/>
      <c r="CI101" s="130"/>
      <c r="CJ101" s="130"/>
      <c r="CK101" s="130"/>
      <c r="CL101" s="130"/>
      <c r="CM101" s="130"/>
      <c r="CN101" s="130"/>
      <c r="CO101" s="130"/>
      <c r="CP101" s="130"/>
      <c r="CQ101" s="130"/>
      <c r="CR101" s="130"/>
      <c r="CS101" s="130"/>
      <c r="CT101" s="130"/>
      <c r="CU101" s="130"/>
      <c r="CV101" s="130"/>
      <c r="CW101" s="130"/>
      <c r="CX101" s="130"/>
      <c r="CY101" s="130"/>
      <c r="CZ101" s="130"/>
      <c r="DA101" s="130"/>
      <c r="DB101" s="130"/>
      <c r="DC101" s="130"/>
      <c r="DD101" s="130"/>
      <c r="DE101" s="130"/>
      <c r="DF101" s="130"/>
      <c r="DG101" s="130"/>
      <c r="DH101" s="69"/>
      <c r="DI101" s="69"/>
      <c r="DJ101" s="3"/>
      <c r="DK101" s="3"/>
      <c r="DL101" s="3"/>
      <c r="DM101" s="3"/>
      <c r="DN101" s="3"/>
      <c r="DO101" s="3"/>
      <c r="DP101" s="3"/>
      <c r="DQ101" s="3"/>
      <c r="DR101" s="3"/>
      <c r="DS101" s="3"/>
      <c r="DT101" s="3"/>
      <c r="DU101" s="3"/>
    </row>
    <row r="102" ht="15.75" customHeight="1">
      <c r="A102" s="95" t="s">
        <v>6</v>
      </c>
      <c r="B102" s="96" t="s">
        <v>7</v>
      </c>
      <c r="C102" s="97" t="s">
        <v>8</v>
      </c>
      <c r="D102" s="96" t="s">
        <v>9</v>
      </c>
      <c r="E102" s="96" t="s">
        <v>10</v>
      </c>
      <c r="F102" s="96" t="s">
        <v>11</v>
      </c>
      <c r="G102" s="96" t="s">
        <v>12</v>
      </c>
      <c r="H102" s="96" t="s">
        <v>13</v>
      </c>
      <c r="I102" s="98">
        <v>44123.0</v>
      </c>
      <c r="J102" s="98">
        <v>44120.0</v>
      </c>
      <c r="K102" s="98">
        <v>44119.0</v>
      </c>
      <c r="L102" s="98">
        <v>44118.0</v>
      </c>
      <c r="M102" s="98">
        <v>44117.0</v>
      </c>
      <c r="N102" s="98">
        <v>44116.0</v>
      </c>
      <c r="O102" s="98">
        <v>44114.0</v>
      </c>
      <c r="P102" s="98">
        <v>44113.0</v>
      </c>
      <c r="Q102" s="98">
        <v>44112.0</v>
      </c>
      <c r="R102" s="98">
        <v>44111.0</v>
      </c>
      <c r="S102" s="98">
        <v>44110.0</v>
      </c>
      <c r="T102" s="98">
        <v>44109.0</v>
      </c>
      <c r="U102" s="98">
        <v>44105.0</v>
      </c>
      <c r="V102" s="98">
        <v>44104.0</v>
      </c>
      <c r="W102" s="98">
        <v>44103.0</v>
      </c>
      <c r="X102" s="98">
        <v>44102.0</v>
      </c>
      <c r="Y102" s="98">
        <v>44100.0</v>
      </c>
      <c r="Z102" s="98">
        <v>44099.0</v>
      </c>
      <c r="AA102" s="98">
        <v>44098.0</v>
      </c>
      <c r="AB102" s="98">
        <v>44097.0</v>
      </c>
      <c r="AC102" s="98">
        <v>44096.0</v>
      </c>
      <c r="AD102" s="98">
        <v>44095.0</v>
      </c>
      <c r="AE102" s="98">
        <v>44092.0</v>
      </c>
      <c r="AF102" s="98">
        <v>44091.0</v>
      </c>
      <c r="AG102" s="98">
        <v>44090.0</v>
      </c>
      <c r="AH102" s="98">
        <v>44089.0</v>
      </c>
      <c r="AI102" s="98">
        <v>44088.0</v>
      </c>
      <c r="AJ102" s="98">
        <v>44086.0</v>
      </c>
      <c r="AK102" s="98">
        <v>44085.0</v>
      </c>
      <c r="AL102" s="98">
        <v>44084.0</v>
      </c>
      <c r="AM102" s="98">
        <v>44083.0</v>
      </c>
      <c r="AN102" s="98">
        <v>44082.0</v>
      </c>
      <c r="AO102" s="98">
        <v>44081.0</v>
      </c>
      <c r="AP102" s="98">
        <v>44079.0</v>
      </c>
      <c r="AQ102" s="98">
        <v>44078.0</v>
      </c>
      <c r="AR102" s="98">
        <v>44077.0</v>
      </c>
      <c r="AS102" s="98">
        <v>44076.0</v>
      </c>
      <c r="AT102" s="98">
        <v>44071.0</v>
      </c>
      <c r="AU102" s="98">
        <v>44070.0</v>
      </c>
      <c r="AV102" s="98">
        <v>44069.0</v>
      </c>
      <c r="AW102" s="98">
        <v>44068.0</v>
      </c>
      <c r="AX102" s="69"/>
      <c r="AY102" s="69"/>
      <c r="AZ102" s="69"/>
      <c r="BA102" s="69"/>
      <c r="BB102" s="69"/>
      <c r="BC102" s="69"/>
      <c r="BD102" s="69"/>
      <c r="BE102" s="69"/>
      <c r="BF102" s="130"/>
      <c r="BG102" s="130"/>
      <c r="BH102" s="130"/>
      <c r="BI102" s="130"/>
      <c r="BJ102" s="130"/>
      <c r="BK102" s="130"/>
      <c r="BL102" s="130"/>
      <c r="BM102" s="130"/>
      <c r="BN102" s="130"/>
      <c r="BO102" s="130"/>
      <c r="BP102" s="130"/>
      <c r="BQ102" s="130"/>
      <c r="BR102" s="130"/>
      <c r="BS102" s="130"/>
      <c r="BT102" s="130"/>
      <c r="BU102" s="130"/>
      <c r="BV102" s="130"/>
      <c r="BW102" s="130"/>
      <c r="BX102" s="130"/>
      <c r="BY102" s="130"/>
      <c r="BZ102" s="130"/>
      <c r="CA102" s="130"/>
      <c r="CB102" s="130"/>
      <c r="CC102" s="130"/>
      <c r="CD102" s="130"/>
      <c r="CE102" s="130"/>
      <c r="CF102" s="130"/>
      <c r="CG102" s="130"/>
      <c r="CH102" s="130"/>
      <c r="CI102" s="130"/>
      <c r="CJ102" s="130"/>
      <c r="CK102" s="130"/>
      <c r="CL102" s="130"/>
      <c r="CM102" s="130"/>
      <c r="CN102" s="130"/>
      <c r="CO102" s="130"/>
      <c r="CP102" s="130"/>
      <c r="CQ102" s="130"/>
      <c r="CR102" s="130"/>
      <c r="CS102" s="130"/>
      <c r="CT102" s="130"/>
      <c r="CU102" s="130"/>
      <c r="CV102" s="130"/>
      <c r="CW102" s="130"/>
      <c r="CX102" s="130"/>
      <c r="CY102" s="130"/>
      <c r="CZ102" s="130"/>
      <c r="DA102" s="130"/>
      <c r="DB102" s="130"/>
      <c r="DC102" s="130"/>
      <c r="DD102" s="130"/>
      <c r="DE102" s="130"/>
      <c r="DF102" s="130"/>
      <c r="DG102" s="130"/>
      <c r="DH102" s="69"/>
      <c r="DI102" s="69"/>
      <c r="DJ102" s="3"/>
      <c r="DK102" s="3"/>
      <c r="DL102" s="3"/>
      <c r="DM102" s="3"/>
      <c r="DN102" s="3"/>
      <c r="DO102" s="3"/>
      <c r="DP102" s="3"/>
      <c r="DQ102" s="3"/>
      <c r="DR102" s="3"/>
      <c r="DS102" s="3"/>
      <c r="DT102" s="3"/>
      <c r="DU102" s="3"/>
    </row>
    <row r="103" ht="15.75" customHeight="1">
      <c r="A103" s="99">
        <v>1.0</v>
      </c>
      <c r="B103" s="100" t="s">
        <v>247</v>
      </c>
      <c r="C103" s="101" t="s">
        <v>86</v>
      </c>
      <c r="D103" s="102" t="s">
        <v>42</v>
      </c>
      <c r="E103" s="102">
        <v>16.0</v>
      </c>
      <c r="F103" s="102">
        <v>16.0</v>
      </c>
      <c r="G103" s="6">
        <v>44068.0</v>
      </c>
      <c r="H103" s="6">
        <v>44071.0</v>
      </c>
      <c r="I103" s="111">
        <v>1.0</v>
      </c>
      <c r="J103" s="111">
        <v>1.0</v>
      </c>
      <c r="K103" s="111">
        <v>1.0</v>
      </c>
      <c r="L103" s="111">
        <v>1.0</v>
      </c>
      <c r="M103" s="111">
        <v>1.0</v>
      </c>
      <c r="N103" s="111">
        <v>1.0</v>
      </c>
      <c r="O103" s="111">
        <v>1.0</v>
      </c>
      <c r="P103" s="111">
        <v>1.0</v>
      </c>
      <c r="Q103" s="111">
        <v>1.0</v>
      </c>
      <c r="R103" s="111">
        <v>1.0</v>
      </c>
      <c r="S103" s="111">
        <v>1.0</v>
      </c>
      <c r="T103" s="111">
        <v>1.0</v>
      </c>
      <c r="U103" s="111">
        <v>1.0</v>
      </c>
      <c r="V103" s="111">
        <v>1.0</v>
      </c>
      <c r="W103" s="111">
        <v>1.0</v>
      </c>
      <c r="X103" s="111">
        <v>1.0</v>
      </c>
      <c r="Y103" s="111">
        <v>1.0</v>
      </c>
      <c r="Z103" s="111">
        <v>1.0</v>
      </c>
      <c r="AA103" s="111">
        <v>1.0</v>
      </c>
      <c r="AB103" s="111">
        <v>1.0</v>
      </c>
      <c r="AC103" s="111">
        <v>1.0</v>
      </c>
      <c r="AD103" s="111">
        <v>1.0</v>
      </c>
      <c r="AE103" s="111">
        <v>1.0</v>
      </c>
      <c r="AF103" s="111">
        <v>1.0</v>
      </c>
      <c r="AG103" s="111">
        <v>1.0</v>
      </c>
      <c r="AH103" s="111">
        <v>1.0</v>
      </c>
      <c r="AI103" s="111">
        <v>1.0</v>
      </c>
      <c r="AJ103" s="111">
        <v>1.0</v>
      </c>
      <c r="AK103" s="111">
        <v>1.0</v>
      </c>
      <c r="AL103" s="111">
        <v>1.0</v>
      </c>
      <c r="AM103" s="111">
        <v>1.0</v>
      </c>
      <c r="AN103" s="111">
        <v>1.0</v>
      </c>
      <c r="AO103" s="111">
        <v>1.0</v>
      </c>
      <c r="AP103" s="111">
        <v>1.0</v>
      </c>
      <c r="AQ103" s="111">
        <v>1.0</v>
      </c>
      <c r="AR103" s="111">
        <v>1.0</v>
      </c>
      <c r="AS103" s="111">
        <v>1.0</v>
      </c>
      <c r="AT103" s="111">
        <v>1.0</v>
      </c>
      <c r="AU103" s="111">
        <v>0.8</v>
      </c>
      <c r="AV103" s="111">
        <v>0.8</v>
      </c>
      <c r="AW103" s="111">
        <v>0.4</v>
      </c>
      <c r="AX103" s="69"/>
      <c r="AY103" s="69"/>
      <c r="AZ103" s="69"/>
      <c r="BA103" s="69"/>
      <c r="BB103" s="69"/>
      <c r="BC103" s="69"/>
      <c r="BD103" s="69"/>
      <c r="BE103" s="69"/>
      <c r="BF103" s="130"/>
      <c r="BG103" s="130"/>
      <c r="BH103" s="130"/>
      <c r="BI103" s="130"/>
      <c r="BJ103" s="130"/>
      <c r="BK103" s="130"/>
      <c r="BL103" s="130"/>
      <c r="BM103" s="130"/>
      <c r="BN103" s="130"/>
      <c r="BO103" s="130"/>
      <c r="BP103" s="130"/>
      <c r="BQ103" s="130"/>
      <c r="BR103" s="130"/>
      <c r="BS103" s="130"/>
      <c r="BT103" s="130"/>
      <c r="BU103" s="130"/>
      <c r="BV103" s="130"/>
      <c r="BW103" s="130"/>
      <c r="BX103" s="130"/>
      <c r="BY103" s="130"/>
      <c r="BZ103" s="130"/>
      <c r="CA103" s="130"/>
      <c r="CB103" s="130"/>
      <c r="CC103" s="130"/>
      <c r="CD103" s="130"/>
      <c r="CE103" s="130"/>
      <c r="CF103" s="130"/>
      <c r="CG103" s="130"/>
      <c r="CH103" s="130"/>
      <c r="CI103" s="130"/>
      <c r="CJ103" s="130"/>
      <c r="CK103" s="130"/>
      <c r="CL103" s="130"/>
      <c r="CM103" s="130"/>
      <c r="CN103" s="130"/>
      <c r="CO103" s="130"/>
      <c r="CP103" s="130"/>
      <c r="CQ103" s="130"/>
      <c r="CR103" s="130"/>
      <c r="CS103" s="130"/>
      <c r="CT103" s="130"/>
      <c r="CU103" s="130"/>
      <c r="CV103" s="130"/>
      <c r="CW103" s="130"/>
      <c r="CX103" s="130"/>
      <c r="CY103" s="130"/>
      <c r="CZ103" s="130"/>
      <c r="DA103" s="130"/>
      <c r="DB103" s="130"/>
      <c r="DC103" s="130"/>
      <c r="DD103" s="130"/>
      <c r="DE103" s="130"/>
      <c r="DF103" s="130"/>
      <c r="DG103" s="130"/>
      <c r="DH103" s="69"/>
      <c r="DI103" s="69"/>
      <c r="DJ103" s="3"/>
      <c r="DK103" s="3"/>
      <c r="DL103" s="3"/>
      <c r="DM103" s="3"/>
      <c r="DN103" s="3"/>
      <c r="DO103" s="3"/>
      <c r="DP103" s="3"/>
      <c r="DQ103" s="3"/>
      <c r="DR103" s="3"/>
      <c r="DS103" s="3"/>
      <c r="DT103" s="3"/>
      <c r="DU103" s="3"/>
    </row>
    <row r="104" ht="15.75" customHeight="1">
      <c r="A104" s="99">
        <v>2.0</v>
      </c>
      <c r="B104" s="100" t="s">
        <v>248</v>
      </c>
      <c r="C104" s="101" t="s">
        <v>86</v>
      </c>
      <c r="D104" s="102" t="s">
        <v>55</v>
      </c>
      <c r="E104" s="102">
        <v>16.0</v>
      </c>
      <c r="F104" s="102">
        <v>16.0</v>
      </c>
      <c r="G104" s="6">
        <v>44068.0</v>
      </c>
      <c r="H104" s="6">
        <v>44071.0</v>
      </c>
      <c r="I104" s="111">
        <v>1.0</v>
      </c>
      <c r="J104" s="111">
        <v>1.0</v>
      </c>
      <c r="K104" s="111">
        <v>1.0</v>
      </c>
      <c r="L104" s="111">
        <v>1.0</v>
      </c>
      <c r="M104" s="111">
        <v>1.0</v>
      </c>
      <c r="N104" s="111">
        <v>1.0</v>
      </c>
      <c r="O104" s="111">
        <v>1.0</v>
      </c>
      <c r="P104" s="111">
        <v>1.0</v>
      </c>
      <c r="Q104" s="111">
        <v>1.0</v>
      </c>
      <c r="R104" s="111">
        <v>1.0</v>
      </c>
      <c r="S104" s="111">
        <v>1.0</v>
      </c>
      <c r="T104" s="111">
        <v>1.0</v>
      </c>
      <c r="U104" s="111">
        <v>1.0</v>
      </c>
      <c r="V104" s="111">
        <v>1.0</v>
      </c>
      <c r="W104" s="111">
        <v>1.0</v>
      </c>
      <c r="X104" s="111">
        <v>1.0</v>
      </c>
      <c r="Y104" s="111">
        <v>1.0</v>
      </c>
      <c r="Z104" s="111">
        <v>1.0</v>
      </c>
      <c r="AA104" s="111">
        <v>1.0</v>
      </c>
      <c r="AB104" s="111">
        <v>1.0</v>
      </c>
      <c r="AC104" s="111">
        <v>1.0</v>
      </c>
      <c r="AD104" s="111">
        <v>1.0</v>
      </c>
      <c r="AE104" s="111">
        <v>1.0</v>
      </c>
      <c r="AF104" s="111">
        <v>1.0</v>
      </c>
      <c r="AG104" s="111">
        <v>1.0</v>
      </c>
      <c r="AH104" s="111">
        <v>1.0</v>
      </c>
      <c r="AI104" s="111">
        <v>1.0</v>
      </c>
      <c r="AJ104" s="111">
        <v>1.0</v>
      </c>
      <c r="AK104" s="111">
        <v>1.0</v>
      </c>
      <c r="AL104" s="111">
        <v>1.0</v>
      </c>
      <c r="AM104" s="111">
        <v>1.0</v>
      </c>
      <c r="AN104" s="111">
        <v>1.0</v>
      </c>
      <c r="AO104" s="111">
        <v>1.0</v>
      </c>
      <c r="AP104" s="111">
        <v>1.0</v>
      </c>
      <c r="AQ104" s="111">
        <v>1.0</v>
      </c>
      <c r="AR104" s="111">
        <v>1.0</v>
      </c>
      <c r="AS104" s="111">
        <v>1.0</v>
      </c>
      <c r="AT104" s="111">
        <v>1.0</v>
      </c>
      <c r="AU104" s="111">
        <v>0.8</v>
      </c>
      <c r="AV104" s="111">
        <v>0.8</v>
      </c>
      <c r="AW104" s="111">
        <v>0.4</v>
      </c>
      <c r="AX104" s="69"/>
      <c r="AY104" s="69"/>
      <c r="AZ104" s="69"/>
      <c r="BA104" s="69"/>
      <c r="BB104" s="69"/>
      <c r="BC104" s="69"/>
      <c r="BD104" s="69"/>
      <c r="BE104" s="69"/>
      <c r="BF104" s="130"/>
      <c r="BG104" s="130"/>
      <c r="BH104" s="130"/>
      <c r="BI104" s="130"/>
      <c r="BJ104" s="130"/>
      <c r="BK104" s="130"/>
      <c r="BL104" s="130"/>
      <c r="BM104" s="130"/>
      <c r="BN104" s="130"/>
      <c r="BO104" s="130"/>
      <c r="BP104" s="130"/>
      <c r="BQ104" s="130"/>
      <c r="BR104" s="130"/>
      <c r="BS104" s="130"/>
      <c r="BT104" s="130"/>
      <c r="BU104" s="130"/>
      <c r="BV104" s="130"/>
      <c r="BW104" s="130"/>
      <c r="BX104" s="130"/>
      <c r="BY104" s="130"/>
      <c r="BZ104" s="130"/>
      <c r="CA104" s="130"/>
      <c r="CB104" s="130"/>
      <c r="CC104" s="130"/>
      <c r="CD104" s="130"/>
      <c r="CE104" s="130"/>
      <c r="CF104" s="130"/>
      <c r="CG104" s="130"/>
      <c r="CH104" s="130"/>
      <c r="CI104" s="130"/>
      <c r="CJ104" s="130"/>
      <c r="CK104" s="130"/>
      <c r="CL104" s="130"/>
      <c r="CM104" s="130"/>
      <c r="CN104" s="130"/>
      <c r="CO104" s="130"/>
      <c r="CP104" s="130"/>
      <c r="CQ104" s="130"/>
      <c r="CR104" s="130"/>
      <c r="CS104" s="130"/>
      <c r="CT104" s="130"/>
      <c r="CU104" s="130"/>
      <c r="CV104" s="130"/>
      <c r="CW104" s="130"/>
      <c r="CX104" s="130"/>
      <c r="CY104" s="130"/>
      <c r="CZ104" s="130"/>
      <c r="DA104" s="130"/>
      <c r="DB104" s="130"/>
      <c r="DC104" s="130"/>
      <c r="DD104" s="130"/>
      <c r="DE104" s="130"/>
      <c r="DF104" s="130"/>
      <c r="DG104" s="130"/>
      <c r="DH104" s="69"/>
      <c r="DI104" s="69"/>
      <c r="DJ104" s="3"/>
      <c r="DK104" s="3"/>
      <c r="DL104" s="3"/>
      <c r="DM104" s="3"/>
      <c r="DN104" s="3"/>
      <c r="DO104" s="3"/>
      <c r="DP104" s="3"/>
      <c r="DQ104" s="3"/>
      <c r="DR104" s="3"/>
      <c r="DS104" s="3"/>
      <c r="DT104" s="3"/>
      <c r="DU104" s="3"/>
    </row>
    <row r="105" ht="15.75" customHeight="1">
      <c r="A105" s="99">
        <v>3.0</v>
      </c>
      <c r="B105" s="100" t="s">
        <v>249</v>
      </c>
      <c r="C105" s="101" t="s">
        <v>86</v>
      </c>
      <c r="D105" s="102" t="s">
        <v>51</v>
      </c>
      <c r="E105" s="102">
        <v>8.0</v>
      </c>
      <c r="F105" s="102">
        <v>8.0</v>
      </c>
      <c r="G105" s="6">
        <v>44068.0</v>
      </c>
      <c r="H105" s="6">
        <v>44068.0</v>
      </c>
      <c r="I105" s="111">
        <v>1.0</v>
      </c>
      <c r="J105" s="111">
        <v>1.0</v>
      </c>
      <c r="K105" s="111">
        <v>1.0</v>
      </c>
      <c r="L105" s="111">
        <v>1.0</v>
      </c>
      <c r="M105" s="111">
        <v>1.0</v>
      </c>
      <c r="N105" s="111">
        <v>1.0</v>
      </c>
      <c r="O105" s="111">
        <v>1.0</v>
      </c>
      <c r="P105" s="111">
        <v>1.0</v>
      </c>
      <c r="Q105" s="111">
        <v>1.0</v>
      </c>
      <c r="R105" s="111">
        <v>1.0</v>
      </c>
      <c r="S105" s="111">
        <v>1.0</v>
      </c>
      <c r="T105" s="111">
        <v>1.0</v>
      </c>
      <c r="U105" s="111">
        <v>1.0</v>
      </c>
      <c r="V105" s="111">
        <v>1.0</v>
      </c>
      <c r="W105" s="111">
        <v>1.0</v>
      </c>
      <c r="X105" s="111">
        <v>1.0</v>
      </c>
      <c r="Y105" s="111">
        <v>1.0</v>
      </c>
      <c r="Z105" s="111">
        <v>1.0</v>
      </c>
      <c r="AA105" s="111">
        <v>1.0</v>
      </c>
      <c r="AB105" s="111">
        <v>1.0</v>
      </c>
      <c r="AC105" s="111">
        <v>1.0</v>
      </c>
      <c r="AD105" s="111">
        <v>1.0</v>
      </c>
      <c r="AE105" s="111">
        <v>1.0</v>
      </c>
      <c r="AF105" s="111">
        <v>1.0</v>
      </c>
      <c r="AG105" s="111">
        <v>1.0</v>
      </c>
      <c r="AH105" s="111">
        <v>1.0</v>
      </c>
      <c r="AI105" s="111">
        <v>1.0</v>
      </c>
      <c r="AJ105" s="111">
        <v>1.0</v>
      </c>
      <c r="AK105" s="111">
        <v>1.0</v>
      </c>
      <c r="AL105" s="111">
        <v>1.0</v>
      </c>
      <c r="AM105" s="111">
        <v>1.0</v>
      </c>
      <c r="AN105" s="111">
        <v>1.0</v>
      </c>
      <c r="AO105" s="111">
        <v>1.0</v>
      </c>
      <c r="AP105" s="111">
        <v>1.0</v>
      </c>
      <c r="AQ105" s="111">
        <v>1.0</v>
      </c>
      <c r="AR105" s="111">
        <v>1.0</v>
      </c>
      <c r="AS105" s="111">
        <v>1.0</v>
      </c>
      <c r="AT105" s="111">
        <v>1.0</v>
      </c>
      <c r="AU105" s="111">
        <v>1.0</v>
      </c>
      <c r="AV105" s="111">
        <v>1.0</v>
      </c>
      <c r="AW105" s="111">
        <v>1.0</v>
      </c>
      <c r="AX105" s="69"/>
      <c r="AY105" s="69"/>
      <c r="AZ105" s="69"/>
      <c r="BA105" s="69"/>
      <c r="BB105" s="69"/>
      <c r="BC105" s="69"/>
      <c r="BD105" s="69"/>
      <c r="BE105" s="69"/>
      <c r="BF105" s="130"/>
      <c r="BG105" s="130"/>
      <c r="BH105" s="130"/>
      <c r="BI105" s="130"/>
      <c r="BJ105" s="130"/>
      <c r="BK105" s="130"/>
      <c r="BL105" s="130"/>
      <c r="BM105" s="130"/>
      <c r="BN105" s="130"/>
      <c r="BO105" s="130"/>
      <c r="BP105" s="130"/>
      <c r="BQ105" s="130"/>
      <c r="BR105" s="130"/>
      <c r="BS105" s="130"/>
      <c r="BT105" s="130"/>
      <c r="BU105" s="130"/>
      <c r="BV105" s="130"/>
      <c r="BW105" s="130"/>
      <c r="BX105" s="130"/>
      <c r="BY105" s="130"/>
      <c r="BZ105" s="130"/>
      <c r="CA105" s="130"/>
      <c r="CB105" s="130"/>
      <c r="CC105" s="130"/>
      <c r="CD105" s="130"/>
      <c r="CE105" s="130"/>
      <c r="CF105" s="130"/>
      <c r="CG105" s="130"/>
      <c r="CH105" s="130"/>
      <c r="CI105" s="130"/>
      <c r="CJ105" s="130"/>
      <c r="CK105" s="130"/>
      <c r="CL105" s="130"/>
      <c r="CM105" s="130"/>
      <c r="CN105" s="130"/>
      <c r="CO105" s="130"/>
      <c r="CP105" s="130"/>
      <c r="CQ105" s="130"/>
      <c r="CR105" s="130"/>
      <c r="CS105" s="130"/>
      <c r="CT105" s="130"/>
      <c r="CU105" s="130"/>
      <c r="CV105" s="130"/>
      <c r="CW105" s="130"/>
      <c r="CX105" s="130"/>
      <c r="CY105" s="130"/>
      <c r="CZ105" s="130"/>
      <c r="DA105" s="130"/>
      <c r="DB105" s="130"/>
      <c r="DC105" s="130"/>
      <c r="DD105" s="130"/>
      <c r="DE105" s="130"/>
      <c r="DF105" s="130"/>
      <c r="DG105" s="130"/>
      <c r="DH105" s="69"/>
      <c r="DI105" s="69"/>
      <c r="DJ105" s="3"/>
      <c r="DK105" s="3"/>
      <c r="DL105" s="3"/>
      <c r="DM105" s="3"/>
      <c r="DN105" s="3"/>
      <c r="DO105" s="3"/>
      <c r="DP105" s="3"/>
      <c r="DQ105" s="3"/>
      <c r="DR105" s="3"/>
      <c r="DS105" s="3"/>
      <c r="DT105" s="3"/>
      <c r="DU105" s="3"/>
    </row>
    <row r="106" ht="15.75" customHeight="1">
      <c r="A106" s="99">
        <v>4.0</v>
      </c>
      <c r="B106" s="100" t="s">
        <v>250</v>
      </c>
      <c r="C106" s="101" t="s">
        <v>86</v>
      </c>
      <c r="D106" s="102" t="s">
        <v>42</v>
      </c>
      <c r="E106" s="102">
        <v>8.0</v>
      </c>
      <c r="F106" s="102">
        <v>10.0</v>
      </c>
      <c r="G106" s="6">
        <v>44076.0</v>
      </c>
      <c r="H106" s="6">
        <v>44077.0</v>
      </c>
      <c r="I106" s="111">
        <v>1.0</v>
      </c>
      <c r="J106" s="111">
        <v>1.0</v>
      </c>
      <c r="K106" s="111">
        <v>1.0</v>
      </c>
      <c r="L106" s="111">
        <v>1.0</v>
      </c>
      <c r="M106" s="111">
        <v>1.0</v>
      </c>
      <c r="N106" s="111">
        <v>1.0</v>
      </c>
      <c r="O106" s="111">
        <v>1.0</v>
      </c>
      <c r="P106" s="111">
        <v>1.0</v>
      </c>
      <c r="Q106" s="111">
        <v>1.0</v>
      </c>
      <c r="R106" s="111">
        <v>1.0</v>
      </c>
      <c r="S106" s="111">
        <v>1.0</v>
      </c>
      <c r="T106" s="111">
        <v>1.0</v>
      </c>
      <c r="U106" s="111">
        <v>1.0</v>
      </c>
      <c r="V106" s="111">
        <v>1.0</v>
      </c>
      <c r="W106" s="111">
        <v>1.0</v>
      </c>
      <c r="X106" s="111">
        <v>1.0</v>
      </c>
      <c r="Y106" s="111">
        <v>1.0</v>
      </c>
      <c r="Z106" s="111">
        <v>1.0</v>
      </c>
      <c r="AA106" s="111">
        <v>1.0</v>
      </c>
      <c r="AB106" s="111">
        <v>1.0</v>
      </c>
      <c r="AC106" s="111">
        <v>1.0</v>
      </c>
      <c r="AD106" s="111">
        <v>1.0</v>
      </c>
      <c r="AE106" s="111">
        <v>1.0</v>
      </c>
      <c r="AF106" s="111">
        <v>1.0</v>
      </c>
      <c r="AG106" s="111">
        <v>1.0</v>
      </c>
      <c r="AH106" s="111">
        <v>1.0</v>
      </c>
      <c r="AI106" s="111">
        <v>1.0</v>
      </c>
      <c r="AJ106" s="111">
        <v>1.0</v>
      </c>
      <c r="AK106" s="111">
        <v>1.0</v>
      </c>
      <c r="AL106" s="111">
        <v>1.0</v>
      </c>
      <c r="AM106" s="111">
        <v>1.0</v>
      </c>
      <c r="AN106" s="111">
        <v>1.0</v>
      </c>
      <c r="AO106" s="111">
        <v>1.0</v>
      </c>
      <c r="AP106" s="111">
        <v>1.0</v>
      </c>
      <c r="AQ106" s="111">
        <v>1.0</v>
      </c>
      <c r="AR106" s="111">
        <v>1.0</v>
      </c>
      <c r="AS106" s="111">
        <v>0.5</v>
      </c>
      <c r="AT106" s="111"/>
      <c r="AU106" s="111"/>
      <c r="AV106" s="111"/>
      <c r="AW106" s="111"/>
      <c r="AX106" s="69"/>
      <c r="AY106" s="69"/>
      <c r="AZ106" s="69"/>
      <c r="BA106" s="69"/>
      <c r="BB106" s="69"/>
      <c r="BC106" s="69"/>
      <c r="BD106" s="69"/>
      <c r="BE106" s="69"/>
      <c r="BF106" s="130"/>
      <c r="BG106" s="130"/>
      <c r="BH106" s="130"/>
      <c r="BI106" s="130"/>
      <c r="BJ106" s="130"/>
      <c r="BK106" s="130"/>
      <c r="BL106" s="130"/>
      <c r="BM106" s="130"/>
      <c r="BN106" s="130"/>
      <c r="BO106" s="130"/>
      <c r="BP106" s="130"/>
      <c r="BQ106" s="130"/>
      <c r="BR106" s="130"/>
      <c r="BS106" s="130"/>
      <c r="BT106" s="130"/>
      <c r="BU106" s="130"/>
      <c r="BV106" s="130"/>
      <c r="BW106" s="130"/>
      <c r="BX106" s="130"/>
      <c r="BY106" s="130"/>
      <c r="BZ106" s="130"/>
      <c r="CA106" s="130"/>
      <c r="CB106" s="130"/>
      <c r="CC106" s="130"/>
      <c r="CD106" s="130"/>
      <c r="CE106" s="130"/>
      <c r="CF106" s="130"/>
      <c r="CG106" s="130"/>
      <c r="CH106" s="130"/>
      <c r="CI106" s="130"/>
      <c r="CJ106" s="130"/>
      <c r="CK106" s="130"/>
      <c r="CL106" s="130"/>
      <c r="CM106" s="130"/>
      <c r="CN106" s="130"/>
      <c r="CO106" s="130"/>
      <c r="CP106" s="130"/>
      <c r="CQ106" s="130"/>
      <c r="CR106" s="130"/>
      <c r="CS106" s="130"/>
      <c r="CT106" s="130"/>
      <c r="CU106" s="130"/>
      <c r="CV106" s="130"/>
      <c r="CW106" s="130"/>
      <c r="CX106" s="130"/>
      <c r="CY106" s="130"/>
      <c r="CZ106" s="130"/>
      <c r="DA106" s="130"/>
      <c r="DB106" s="130"/>
      <c r="DC106" s="130"/>
      <c r="DD106" s="130"/>
      <c r="DE106" s="130"/>
      <c r="DF106" s="130"/>
      <c r="DG106" s="130"/>
      <c r="DH106" s="69"/>
      <c r="DI106" s="69"/>
      <c r="DJ106" s="3"/>
      <c r="DK106" s="3"/>
      <c r="DL106" s="3"/>
      <c r="DM106" s="3"/>
      <c r="DN106" s="3"/>
      <c r="DO106" s="3"/>
      <c r="DP106" s="3"/>
      <c r="DQ106" s="3"/>
      <c r="DR106" s="3"/>
      <c r="DS106" s="3"/>
      <c r="DT106" s="3"/>
      <c r="DU106" s="3"/>
    </row>
    <row r="107" ht="15.75" customHeight="1">
      <c r="A107" s="99">
        <v>5.0</v>
      </c>
      <c r="B107" s="100" t="s">
        <v>251</v>
      </c>
      <c r="C107" s="101" t="s">
        <v>86</v>
      </c>
      <c r="D107" s="102" t="s">
        <v>55</v>
      </c>
      <c r="E107" s="102">
        <v>8.0</v>
      </c>
      <c r="F107" s="102">
        <v>8.0</v>
      </c>
      <c r="G107" s="6">
        <v>44076.0</v>
      </c>
      <c r="H107" s="6">
        <v>44077.0</v>
      </c>
      <c r="I107" s="111">
        <v>1.0</v>
      </c>
      <c r="J107" s="111">
        <v>1.0</v>
      </c>
      <c r="K107" s="111">
        <v>1.0</v>
      </c>
      <c r="L107" s="111">
        <v>1.0</v>
      </c>
      <c r="M107" s="111">
        <v>1.0</v>
      </c>
      <c r="N107" s="111">
        <v>1.0</v>
      </c>
      <c r="O107" s="111">
        <v>1.0</v>
      </c>
      <c r="P107" s="111">
        <v>1.0</v>
      </c>
      <c r="Q107" s="111">
        <v>1.0</v>
      </c>
      <c r="R107" s="111">
        <v>1.0</v>
      </c>
      <c r="S107" s="111">
        <v>1.0</v>
      </c>
      <c r="T107" s="111">
        <v>1.0</v>
      </c>
      <c r="U107" s="111">
        <v>1.0</v>
      </c>
      <c r="V107" s="111">
        <v>1.0</v>
      </c>
      <c r="W107" s="111">
        <v>1.0</v>
      </c>
      <c r="X107" s="111">
        <v>1.0</v>
      </c>
      <c r="Y107" s="111">
        <v>1.0</v>
      </c>
      <c r="Z107" s="111">
        <v>1.0</v>
      </c>
      <c r="AA107" s="111">
        <v>1.0</v>
      </c>
      <c r="AB107" s="111">
        <v>1.0</v>
      </c>
      <c r="AC107" s="111">
        <v>1.0</v>
      </c>
      <c r="AD107" s="111">
        <v>1.0</v>
      </c>
      <c r="AE107" s="111">
        <v>1.0</v>
      </c>
      <c r="AF107" s="111">
        <v>1.0</v>
      </c>
      <c r="AG107" s="111">
        <v>1.0</v>
      </c>
      <c r="AH107" s="111">
        <v>1.0</v>
      </c>
      <c r="AI107" s="111">
        <v>1.0</v>
      </c>
      <c r="AJ107" s="111">
        <v>1.0</v>
      </c>
      <c r="AK107" s="111">
        <v>1.0</v>
      </c>
      <c r="AL107" s="111">
        <v>1.0</v>
      </c>
      <c r="AM107" s="111">
        <v>1.0</v>
      </c>
      <c r="AN107" s="111">
        <v>1.0</v>
      </c>
      <c r="AO107" s="111">
        <v>1.0</v>
      </c>
      <c r="AP107" s="111">
        <v>1.0</v>
      </c>
      <c r="AQ107" s="111">
        <v>1.0</v>
      </c>
      <c r="AR107" s="111">
        <v>1.0</v>
      </c>
      <c r="AS107" s="111">
        <v>0.5</v>
      </c>
      <c r="AT107" s="111"/>
      <c r="AU107" s="111"/>
      <c r="AV107" s="111"/>
      <c r="AW107" s="111"/>
      <c r="AX107" s="69"/>
      <c r="AY107" s="69"/>
      <c r="AZ107" s="69"/>
      <c r="BA107" s="69"/>
      <c r="BB107" s="69"/>
      <c r="BC107" s="69"/>
      <c r="BD107" s="69"/>
      <c r="BE107" s="69"/>
      <c r="BF107" s="130"/>
      <c r="BG107" s="130"/>
      <c r="BH107" s="130"/>
      <c r="BI107" s="130"/>
      <c r="BJ107" s="130"/>
      <c r="BK107" s="130"/>
      <c r="BL107" s="130"/>
      <c r="BM107" s="130"/>
      <c r="BN107" s="130"/>
      <c r="BO107" s="130"/>
      <c r="BP107" s="130"/>
      <c r="BQ107" s="130"/>
      <c r="BR107" s="130"/>
      <c r="BS107" s="130"/>
      <c r="BT107" s="130"/>
      <c r="BU107" s="130"/>
      <c r="BV107" s="130"/>
      <c r="BW107" s="130"/>
      <c r="BX107" s="130"/>
      <c r="BY107" s="130"/>
      <c r="BZ107" s="130"/>
      <c r="CA107" s="130"/>
      <c r="CB107" s="130"/>
      <c r="CC107" s="130"/>
      <c r="CD107" s="130"/>
      <c r="CE107" s="130"/>
      <c r="CF107" s="130"/>
      <c r="CG107" s="130"/>
      <c r="CH107" s="130"/>
      <c r="CI107" s="130"/>
      <c r="CJ107" s="130"/>
      <c r="CK107" s="130"/>
      <c r="CL107" s="130"/>
      <c r="CM107" s="130"/>
      <c r="CN107" s="130"/>
      <c r="CO107" s="130"/>
      <c r="CP107" s="130"/>
      <c r="CQ107" s="130"/>
      <c r="CR107" s="130"/>
      <c r="CS107" s="130"/>
      <c r="CT107" s="130"/>
      <c r="CU107" s="130"/>
      <c r="CV107" s="130"/>
      <c r="CW107" s="130"/>
      <c r="CX107" s="130"/>
      <c r="CY107" s="130"/>
      <c r="CZ107" s="130"/>
      <c r="DA107" s="130"/>
      <c r="DB107" s="130"/>
      <c r="DC107" s="130"/>
      <c r="DD107" s="130"/>
      <c r="DE107" s="130"/>
      <c r="DF107" s="130"/>
      <c r="DG107" s="130"/>
      <c r="DH107" s="69"/>
      <c r="DI107" s="69"/>
      <c r="DJ107" s="3"/>
      <c r="DK107" s="3"/>
      <c r="DL107" s="3"/>
      <c r="DM107" s="3"/>
      <c r="DN107" s="3"/>
      <c r="DO107" s="3"/>
      <c r="DP107" s="3"/>
      <c r="DQ107" s="3"/>
      <c r="DR107" s="3"/>
      <c r="DS107" s="3"/>
      <c r="DT107" s="3"/>
      <c r="DU107" s="3"/>
    </row>
    <row r="108" ht="15.0" customHeight="1">
      <c r="A108" s="108" t="s">
        <v>45</v>
      </c>
      <c r="B108" s="50"/>
      <c r="C108" s="51"/>
      <c r="D108" s="101"/>
      <c r="E108" s="109">
        <f t="shared" ref="E108:F108" si="6">SUM(E103:E107)</f>
        <v>56</v>
      </c>
      <c r="F108" s="109">
        <f t="shared" si="6"/>
        <v>58</v>
      </c>
      <c r="G108" s="110"/>
      <c r="H108" s="110"/>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69"/>
      <c r="AY108" s="69"/>
      <c r="AZ108" s="69"/>
      <c r="BA108" s="69"/>
      <c r="BB108" s="69"/>
      <c r="BC108" s="69"/>
      <c r="BD108" s="69"/>
      <c r="BE108" s="69"/>
      <c r="BF108" s="130"/>
      <c r="BG108" s="130"/>
      <c r="BH108" s="130"/>
      <c r="BI108" s="130"/>
      <c r="BJ108" s="130"/>
      <c r="BK108" s="130"/>
      <c r="BL108" s="130"/>
      <c r="BM108" s="130"/>
      <c r="BN108" s="130"/>
      <c r="BO108" s="130"/>
      <c r="BP108" s="130"/>
      <c r="BQ108" s="130"/>
      <c r="BR108" s="130"/>
      <c r="BS108" s="130"/>
      <c r="BT108" s="130"/>
      <c r="BU108" s="130"/>
      <c r="BV108" s="130"/>
      <c r="BW108" s="130"/>
      <c r="BX108" s="130"/>
      <c r="BY108" s="130"/>
      <c r="BZ108" s="130"/>
      <c r="CA108" s="130"/>
      <c r="CB108" s="130"/>
      <c r="CC108" s="130"/>
      <c r="CD108" s="130"/>
      <c r="CE108" s="130"/>
      <c r="CF108" s="130"/>
      <c r="CG108" s="130"/>
      <c r="CH108" s="130"/>
      <c r="CI108" s="130"/>
      <c r="CJ108" s="130"/>
      <c r="CK108" s="130"/>
      <c r="CL108" s="130"/>
      <c r="CM108" s="130"/>
      <c r="CN108" s="130"/>
      <c r="CO108" s="130"/>
      <c r="CP108" s="130"/>
      <c r="CQ108" s="130"/>
      <c r="CR108" s="130"/>
      <c r="CS108" s="130"/>
      <c r="CT108" s="130"/>
      <c r="CU108" s="130"/>
      <c r="CV108" s="130"/>
      <c r="CW108" s="130"/>
      <c r="CX108" s="130"/>
      <c r="CY108" s="130"/>
      <c r="CZ108" s="130"/>
      <c r="DA108" s="130"/>
      <c r="DB108" s="130"/>
      <c r="DC108" s="130"/>
      <c r="DD108" s="130"/>
      <c r="DE108" s="130"/>
      <c r="DF108" s="130"/>
      <c r="DG108" s="130"/>
      <c r="DH108" s="69"/>
      <c r="DI108" s="69"/>
      <c r="DJ108" s="112"/>
      <c r="DK108" s="112"/>
      <c r="DL108" s="112"/>
      <c r="DM108" s="112"/>
      <c r="DN108" s="112"/>
      <c r="DO108" s="112"/>
      <c r="DP108" s="112"/>
      <c r="DQ108" s="112"/>
      <c r="DR108" s="112"/>
      <c r="DS108" s="112"/>
      <c r="DT108" s="112"/>
      <c r="DU108" s="112"/>
    </row>
    <row r="109" ht="19.5" customHeight="1">
      <c r="A109" s="113" t="s">
        <v>166</v>
      </c>
      <c r="B109" s="50"/>
      <c r="C109" s="50"/>
      <c r="D109" s="50"/>
      <c r="E109" s="50"/>
      <c r="F109" s="50"/>
      <c r="G109" s="50"/>
      <c r="H109" s="50"/>
      <c r="I109" s="124">
        <v>44078.0</v>
      </c>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69"/>
      <c r="AY109" s="69"/>
      <c r="AZ109" s="69"/>
      <c r="BA109" s="69"/>
      <c r="BB109" s="69"/>
      <c r="BC109" s="69"/>
      <c r="BD109" s="69"/>
      <c r="BE109" s="69"/>
      <c r="BF109" s="69"/>
      <c r="BG109" s="69"/>
      <c r="BH109" s="69"/>
      <c r="BI109" s="69"/>
      <c r="BJ109" s="69"/>
      <c r="BK109" s="69"/>
      <c r="BL109" s="69"/>
      <c r="BM109" s="69"/>
      <c r="BN109" s="69"/>
      <c r="BO109" s="69"/>
      <c r="BP109" s="69"/>
      <c r="BQ109" s="69"/>
      <c r="BR109" s="69"/>
      <c r="BS109" s="69"/>
      <c r="BT109" s="69"/>
      <c r="BU109" s="69"/>
      <c r="BV109" s="69"/>
      <c r="BW109" s="69"/>
      <c r="BX109" s="69"/>
      <c r="BY109" s="69"/>
      <c r="BZ109" s="69"/>
      <c r="CA109" s="69"/>
      <c r="CB109" s="69"/>
      <c r="CC109" s="69"/>
      <c r="CD109" s="69"/>
      <c r="CE109" s="69"/>
      <c r="CF109" s="69"/>
      <c r="CG109" s="69"/>
      <c r="CH109" s="69"/>
      <c r="CI109" s="69"/>
      <c r="CJ109" s="69"/>
      <c r="CK109" s="69"/>
      <c r="CL109" s="69"/>
      <c r="CM109" s="69"/>
      <c r="CN109" s="69"/>
      <c r="CO109" s="69"/>
      <c r="CP109" s="69"/>
      <c r="CQ109" s="69"/>
      <c r="CR109" s="69"/>
      <c r="CS109" s="69"/>
      <c r="CT109" s="69"/>
      <c r="CU109" s="69"/>
      <c r="CV109" s="69"/>
      <c r="CW109" s="69"/>
      <c r="CX109" s="69"/>
      <c r="CY109" s="69"/>
      <c r="CZ109" s="69"/>
      <c r="DA109" s="69"/>
      <c r="DB109" s="69"/>
      <c r="DC109" s="69"/>
      <c r="DD109" s="69"/>
      <c r="DE109" s="69"/>
      <c r="DF109" s="69"/>
      <c r="DG109" s="69"/>
      <c r="DH109" s="69"/>
      <c r="DI109" s="69"/>
      <c r="DJ109" s="117"/>
      <c r="DK109" s="117"/>
      <c r="DL109" s="117"/>
      <c r="DM109" s="117"/>
      <c r="DN109" s="117"/>
      <c r="DO109" s="117"/>
      <c r="DP109" s="117"/>
      <c r="DQ109" s="117"/>
      <c r="DR109" s="117"/>
      <c r="DS109" s="117"/>
      <c r="DT109" s="117"/>
      <c r="DU109" s="117"/>
    </row>
    <row r="110" ht="15.75" customHeight="1">
      <c r="A110" s="69"/>
      <c r="B110" s="69"/>
      <c r="C110" s="69"/>
      <c r="D110" s="4"/>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c r="BQ110" s="69"/>
      <c r="BR110" s="69"/>
      <c r="BS110" s="69"/>
      <c r="BT110" s="69"/>
      <c r="BU110" s="69"/>
      <c r="BV110" s="69"/>
      <c r="BW110" s="69"/>
      <c r="BX110" s="69"/>
      <c r="BY110" s="69"/>
      <c r="BZ110" s="69"/>
      <c r="CA110" s="69"/>
      <c r="CB110" s="69"/>
      <c r="CC110" s="69"/>
      <c r="CD110" s="69"/>
      <c r="CE110" s="69"/>
      <c r="CF110" s="69"/>
      <c r="CG110" s="69"/>
      <c r="CH110" s="69"/>
      <c r="CI110" s="69"/>
      <c r="CJ110" s="69"/>
      <c r="CK110" s="69"/>
      <c r="CL110" s="69"/>
      <c r="CM110" s="69"/>
      <c r="CN110" s="69"/>
      <c r="CO110" s="69"/>
      <c r="CP110" s="69"/>
      <c r="CQ110" s="69"/>
      <c r="CR110" s="69"/>
      <c r="CS110" s="69"/>
      <c r="CT110" s="69"/>
      <c r="CU110" s="69"/>
      <c r="CV110" s="69"/>
      <c r="CW110" s="69"/>
      <c r="CX110" s="69"/>
      <c r="CY110" s="69"/>
      <c r="CZ110" s="69"/>
      <c r="DA110" s="69"/>
      <c r="DB110" s="69"/>
      <c r="DC110" s="69"/>
      <c r="DD110" s="69"/>
      <c r="DE110" s="69"/>
      <c r="DF110" s="69"/>
      <c r="DG110" s="69"/>
      <c r="DH110" s="69"/>
      <c r="DI110" s="69"/>
      <c r="DJ110" s="69"/>
      <c r="DK110" s="69"/>
      <c r="DL110" s="69"/>
      <c r="DM110" s="69"/>
      <c r="DN110" s="69"/>
      <c r="DO110" s="69"/>
      <c r="DP110" s="69"/>
      <c r="DQ110" s="69"/>
      <c r="DR110" s="69"/>
      <c r="DS110" s="69"/>
      <c r="DT110" s="69"/>
      <c r="DU110" s="69"/>
    </row>
    <row r="111" ht="15.75" customHeight="1">
      <c r="A111" s="118" t="s">
        <v>252</v>
      </c>
      <c r="B111" s="67"/>
      <c r="C111" s="67"/>
      <c r="D111" s="67"/>
      <c r="E111" s="67"/>
      <c r="F111" s="67"/>
      <c r="G111" s="67"/>
      <c r="H111" s="68"/>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c r="BQ111" s="69"/>
      <c r="BR111" s="69"/>
      <c r="BS111" s="69"/>
      <c r="BT111" s="69"/>
      <c r="BU111" s="69"/>
      <c r="BV111" s="69"/>
      <c r="BW111" s="69"/>
      <c r="BX111" s="69"/>
      <c r="BY111" s="69"/>
      <c r="BZ111" s="69"/>
      <c r="CA111" s="69"/>
      <c r="CB111" s="69"/>
      <c r="CC111" s="69"/>
      <c r="CD111" s="69"/>
      <c r="CE111" s="69"/>
      <c r="CF111" s="69"/>
      <c r="CG111" s="69"/>
      <c r="CH111" s="69"/>
      <c r="CI111" s="69"/>
      <c r="CJ111" s="69"/>
      <c r="CK111" s="69"/>
      <c r="CL111" s="69"/>
      <c r="CM111" s="69"/>
      <c r="CN111" s="69"/>
      <c r="CO111" s="69"/>
      <c r="CP111" s="69"/>
      <c r="CQ111" s="69"/>
      <c r="CR111" s="69"/>
      <c r="CS111" s="69"/>
      <c r="CT111" s="69"/>
      <c r="CU111" s="69"/>
      <c r="CV111" s="69"/>
      <c r="CW111" s="69"/>
      <c r="CX111" s="69"/>
      <c r="CY111" s="69"/>
      <c r="CZ111" s="69"/>
      <c r="DA111" s="69"/>
      <c r="DB111" s="69"/>
      <c r="DC111" s="69"/>
      <c r="DD111" s="69"/>
      <c r="DE111" s="69"/>
      <c r="DF111" s="69"/>
      <c r="DG111" s="69"/>
      <c r="DH111" s="69"/>
      <c r="DI111" s="69"/>
      <c r="DJ111" s="3"/>
      <c r="DK111" s="3"/>
      <c r="DL111" s="3"/>
      <c r="DM111" s="3"/>
      <c r="DN111" s="3"/>
      <c r="DO111" s="3"/>
      <c r="DP111" s="3"/>
      <c r="DQ111" s="3"/>
      <c r="DR111" s="3"/>
      <c r="DS111" s="3"/>
      <c r="DT111" s="3"/>
      <c r="DU111" s="3"/>
    </row>
    <row r="112" ht="15.75" customHeight="1">
      <c r="A112" s="95" t="s">
        <v>6</v>
      </c>
      <c r="B112" s="96" t="s">
        <v>7</v>
      </c>
      <c r="C112" s="97" t="s">
        <v>8</v>
      </c>
      <c r="D112" s="96" t="s">
        <v>9</v>
      </c>
      <c r="E112" s="96" t="s">
        <v>10</v>
      </c>
      <c r="F112" s="96" t="s">
        <v>11</v>
      </c>
      <c r="G112" s="96" t="s">
        <v>12</v>
      </c>
      <c r="H112" s="96" t="s">
        <v>13</v>
      </c>
      <c r="I112" s="98">
        <v>44123.0</v>
      </c>
      <c r="J112" s="98">
        <v>44120.0</v>
      </c>
      <c r="K112" s="98">
        <v>44119.0</v>
      </c>
      <c r="L112" s="98">
        <v>44118.0</v>
      </c>
      <c r="M112" s="98">
        <v>44117.0</v>
      </c>
      <c r="N112" s="98">
        <v>44116.0</v>
      </c>
      <c r="O112" s="98">
        <v>44114.0</v>
      </c>
      <c r="P112" s="98">
        <v>44113.0</v>
      </c>
      <c r="Q112" s="98">
        <v>44112.0</v>
      </c>
      <c r="R112" s="98">
        <v>44111.0</v>
      </c>
      <c r="S112" s="98">
        <v>44110.0</v>
      </c>
      <c r="T112" s="98">
        <v>44109.0</v>
      </c>
      <c r="U112" s="98">
        <v>44105.0</v>
      </c>
      <c r="V112" s="98">
        <v>44104.0</v>
      </c>
      <c r="W112" s="98">
        <v>44103.0</v>
      </c>
      <c r="X112" s="98">
        <v>44102.0</v>
      </c>
      <c r="Y112" s="98">
        <v>44100.0</v>
      </c>
      <c r="Z112" s="98">
        <v>44099.0</v>
      </c>
      <c r="AA112" s="98">
        <v>44098.0</v>
      </c>
      <c r="AB112" s="98">
        <v>44097.0</v>
      </c>
      <c r="AC112" s="98">
        <v>44096.0</v>
      </c>
      <c r="AD112" s="98">
        <v>44095.0</v>
      </c>
      <c r="AE112" s="98">
        <v>44092.0</v>
      </c>
      <c r="AF112" s="98">
        <v>44091.0</v>
      </c>
      <c r="AG112" s="98">
        <v>44090.0</v>
      </c>
      <c r="AH112" s="98">
        <v>44089.0</v>
      </c>
      <c r="AI112" s="98">
        <v>44088.0</v>
      </c>
      <c r="AJ112" s="98">
        <v>44086.0</v>
      </c>
      <c r="AK112" s="98">
        <v>44085.0</v>
      </c>
      <c r="AL112" s="98">
        <v>44084.0</v>
      </c>
      <c r="AM112" s="98">
        <v>44083.0</v>
      </c>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69"/>
      <c r="BQ112" s="69"/>
      <c r="BR112" s="69"/>
      <c r="BS112" s="69"/>
      <c r="BT112" s="69"/>
      <c r="BU112" s="69"/>
      <c r="BV112" s="69"/>
      <c r="BW112" s="69"/>
      <c r="BX112" s="69"/>
      <c r="BY112" s="69"/>
      <c r="BZ112" s="69"/>
      <c r="CA112" s="69"/>
      <c r="CB112" s="69"/>
      <c r="CC112" s="69"/>
      <c r="CD112" s="69"/>
      <c r="CE112" s="69"/>
      <c r="CF112" s="69"/>
      <c r="CG112" s="69"/>
      <c r="CH112" s="69"/>
      <c r="CI112" s="69"/>
      <c r="CJ112" s="69"/>
      <c r="CK112" s="69"/>
      <c r="CL112" s="69"/>
      <c r="CM112" s="69"/>
      <c r="CN112" s="69"/>
      <c r="CO112" s="69"/>
      <c r="CP112" s="69"/>
      <c r="CQ112" s="69"/>
      <c r="CR112" s="69"/>
      <c r="CS112" s="69"/>
      <c r="CT112" s="69"/>
      <c r="CU112" s="69"/>
      <c r="CV112" s="69"/>
      <c r="CW112" s="69"/>
      <c r="CX112" s="69"/>
      <c r="CY112" s="69"/>
      <c r="CZ112" s="69"/>
      <c r="DA112" s="69"/>
      <c r="DB112" s="69"/>
      <c r="DC112" s="69"/>
      <c r="DD112" s="69"/>
      <c r="DE112" s="69"/>
      <c r="DF112" s="69"/>
      <c r="DG112" s="69"/>
      <c r="DH112" s="69"/>
      <c r="DI112" s="69"/>
      <c r="DJ112" s="3"/>
      <c r="DK112" s="3"/>
      <c r="DL112" s="3"/>
      <c r="DM112" s="3"/>
      <c r="DN112" s="3"/>
      <c r="DO112" s="3"/>
      <c r="DP112" s="3"/>
      <c r="DQ112" s="3"/>
      <c r="DR112" s="3"/>
      <c r="DS112" s="3"/>
      <c r="DT112" s="3"/>
      <c r="DU112" s="3"/>
    </row>
    <row r="113" ht="15.75" customHeight="1">
      <c r="A113" s="99">
        <v>1.0</v>
      </c>
      <c r="B113" s="100" t="s">
        <v>253</v>
      </c>
      <c r="C113" s="101" t="s">
        <v>86</v>
      </c>
      <c r="D113" s="102" t="s">
        <v>42</v>
      </c>
      <c r="E113" s="102">
        <v>24.0</v>
      </c>
      <c r="F113" s="102">
        <v>24.0</v>
      </c>
      <c r="G113" s="6">
        <v>44083.0</v>
      </c>
      <c r="H113" s="6">
        <v>44088.0</v>
      </c>
      <c r="I113" s="111">
        <v>1.0</v>
      </c>
      <c r="J113" s="111">
        <v>1.0</v>
      </c>
      <c r="K113" s="111">
        <v>1.0</v>
      </c>
      <c r="L113" s="111">
        <v>1.0</v>
      </c>
      <c r="M113" s="111">
        <v>1.0</v>
      </c>
      <c r="N113" s="111">
        <v>1.0</v>
      </c>
      <c r="O113" s="111">
        <v>1.0</v>
      </c>
      <c r="P113" s="111">
        <v>1.0</v>
      </c>
      <c r="Q113" s="111">
        <v>1.0</v>
      </c>
      <c r="R113" s="111">
        <v>1.0</v>
      </c>
      <c r="S113" s="111">
        <v>1.0</v>
      </c>
      <c r="T113" s="111">
        <v>1.0</v>
      </c>
      <c r="U113" s="111">
        <v>1.0</v>
      </c>
      <c r="V113" s="111">
        <v>1.0</v>
      </c>
      <c r="W113" s="111">
        <v>1.0</v>
      </c>
      <c r="X113" s="111">
        <v>1.0</v>
      </c>
      <c r="Y113" s="111">
        <v>1.0</v>
      </c>
      <c r="Z113" s="111">
        <v>1.0</v>
      </c>
      <c r="AA113" s="111">
        <v>1.0</v>
      </c>
      <c r="AB113" s="111">
        <v>1.0</v>
      </c>
      <c r="AC113" s="111">
        <v>1.0</v>
      </c>
      <c r="AD113" s="111">
        <v>1.0</v>
      </c>
      <c r="AE113" s="111">
        <v>1.0</v>
      </c>
      <c r="AF113" s="111">
        <v>1.0</v>
      </c>
      <c r="AG113" s="111">
        <v>1.0</v>
      </c>
      <c r="AH113" s="111">
        <v>1.0</v>
      </c>
      <c r="AI113" s="111">
        <v>1.0</v>
      </c>
      <c r="AJ113" s="111">
        <v>0.8</v>
      </c>
      <c r="AK113" s="111">
        <v>0.6</v>
      </c>
      <c r="AL113" s="111">
        <v>0.4</v>
      </c>
      <c r="AM113" s="111">
        <v>0.2</v>
      </c>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c r="BL113" s="69"/>
      <c r="BM113" s="69"/>
      <c r="BN113" s="69"/>
      <c r="BO113" s="69"/>
      <c r="BP113" s="69"/>
      <c r="BQ113" s="69"/>
      <c r="BR113" s="69"/>
      <c r="BS113" s="69"/>
      <c r="BT113" s="69"/>
      <c r="BU113" s="69"/>
      <c r="BV113" s="69"/>
      <c r="BW113" s="69"/>
      <c r="BX113" s="69"/>
      <c r="BY113" s="69"/>
      <c r="BZ113" s="69"/>
      <c r="CA113" s="69"/>
      <c r="CB113" s="69"/>
      <c r="CC113" s="69"/>
      <c r="CD113" s="69"/>
      <c r="CE113" s="69"/>
      <c r="CF113" s="69"/>
      <c r="CG113" s="69"/>
      <c r="CH113" s="69"/>
      <c r="CI113" s="69"/>
      <c r="CJ113" s="69"/>
      <c r="CK113" s="69"/>
      <c r="CL113" s="69"/>
      <c r="CM113" s="69"/>
      <c r="CN113" s="69"/>
      <c r="CO113" s="69"/>
      <c r="CP113" s="69"/>
      <c r="CQ113" s="69"/>
      <c r="CR113" s="69"/>
      <c r="CS113" s="69"/>
      <c r="CT113" s="69"/>
      <c r="CU113" s="69"/>
      <c r="CV113" s="69"/>
      <c r="CW113" s="69"/>
      <c r="CX113" s="69"/>
      <c r="CY113" s="69"/>
      <c r="CZ113" s="69"/>
      <c r="DA113" s="69"/>
      <c r="DB113" s="69"/>
      <c r="DC113" s="69"/>
      <c r="DD113" s="69"/>
      <c r="DE113" s="69"/>
      <c r="DF113" s="69"/>
      <c r="DG113" s="69"/>
      <c r="DH113" s="69"/>
      <c r="DI113" s="69"/>
      <c r="DJ113" s="3"/>
      <c r="DK113" s="3"/>
      <c r="DL113" s="3"/>
      <c r="DM113" s="3"/>
      <c r="DN113" s="3"/>
      <c r="DO113" s="3"/>
      <c r="DP113" s="3"/>
      <c r="DQ113" s="3"/>
      <c r="DR113" s="3"/>
      <c r="DS113" s="3"/>
      <c r="DT113" s="3"/>
      <c r="DU113" s="3"/>
    </row>
    <row r="114" ht="15.75" customHeight="1">
      <c r="A114" s="99">
        <v>2.0</v>
      </c>
      <c r="B114" s="100" t="s">
        <v>254</v>
      </c>
      <c r="C114" s="101" t="s">
        <v>86</v>
      </c>
      <c r="D114" s="102" t="s">
        <v>55</v>
      </c>
      <c r="E114" s="102">
        <v>24.0</v>
      </c>
      <c r="F114" s="102">
        <v>24.0</v>
      </c>
      <c r="G114" s="6">
        <v>44083.0</v>
      </c>
      <c r="H114" s="6">
        <v>44088.0</v>
      </c>
      <c r="I114" s="111">
        <v>1.0</v>
      </c>
      <c r="J114" s="111">
        <v>1.0</v>
      </c>
      <c r="K114" s="111">
        <v>1.0</v>
      </c>
      <c r="L114" s="111">
        <v>1.0</v>
      </c>
      <c r="M114" s="111">
        <v>1.0</v>
      </c>
      <c r="N114" s="111">
        <v>1.0</v>
      </c>
      <c r="O114" s="111">
        <v>1.0</v>
      </c>
      <c r="P114" s="111">
        <v>1.0</v>
      </c>
      <c r="Q114" s="111">
        <v>1.0</v>
      </c>
      <c r="R114" s="111">
        <v>1.0</v>
      </c>
      <c r="S114" s="111">
        <v>1.0</v>
      </c>
      <c r="T114" s="111">
        <v>1.0</v>
      </c>
      <c r="U114" s="111">
        <v>1.0</v>
      </c>
      <c r="V114" s="111">
        <v>1.0</v>
      </c>
      <c r="W114" s="111">
        <v>1.0</v>
      </c>
      <c r="X114" s="111">
        <v>1.0</v>
      </c>
      <c r="Y114" s="111">
        <v>1.0</v>
      </c>
      <c r="Z114" s="111">
        <v>1.0</v>
      </c>
      <c r="AA114" s="111">
        <v>1.0</v>
      </c>
      <c r="AB114" s="111">
        <v>1.0</v>
      </c>
      <c r="AC114" s="111">
        <v>1.0</v>
      </c>
      <c r="AD114" s="111">
        <v>1.0</v>
      </c>
      <c r="AE114" s="111">
        <v>1.0</v>
      </c>
      <c r="AF114" s="111">
        <v>1.0</v>
      </c>
      <c r="AG114" s="111">
        <v>1.0</v>
      </c>
      <c r="AH114" s="111">
        <v>1.0</v>
      </c>
      <c r="AI114" s="111">
        <v>1.0</v>
      </c>
      <c r="AJ114" s="111">
        <v>0.8</v>
      </c>
      <c r="AK114" s="111">
        <v>0.6</v>
      </c>
      <c r="AL114" s="111">
        <v>0.4</v>
      </c>
      <c r="AM114" s="111">
        <v>0.2</v>
      </c>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c r="BL114" s="69"/>
      <c r="BM114" s="69"/>
      <c r="BN114" s="69"/>
      <c r="BO114" s="69"/>
      <c r="BP114" s="69"/>
      <c r="BQ114" s="69"/>
      <c r="BR114" s="69"/>
      <c r="BS114" s="69"/>
      <c r="BT114" s="69"/>
      <c r="BU114" s="69"/>
      <c r="BV114" s="69"/>
      <c r="BW114" s="69"/>
      <c r="BX114" s="69"/>
      <c r="BY114" s="69"/>
      <c r="BZ114" s="69"/>
      <c r="CA114" s="69"/>
      <c r="CB114" s="69"/>
      <c r="CC114" s="69"/>
      <c r="CD114" s="69"/>
      <c r="CE114" s="69"/>
      <c r="CF114" s="69"/>
      <c r="CG114" s="69"/>
      <c r="CH114" s="69"/>
      <c r="CI114" s="69"/>
      <c r="CJ114" s="69"/>
      <c r="CK114" s="69"/>
      <c r="CL114" s="69"/>
      <c r="CM114" s="69"/>
      <c r="CN114" s="69"/>
      <c r="CO114" s="69"/>
      <c r="CP114" s="69"/>
      <c r="CQ114" s="69"/>
      <c r="CR114" s="69"/>
      <c r="CS114" s="69"/>
      <c r="CT114" s="69"/>
      <c r="CU114" s="69"/>
      <c r="CV114" s="69"/>
      <c r="CW114" s="69"/>
      <c r="CX114" s="69"/>
      <c r="CY114" s="69"/>
      <c r="CZ114" s="69"/>
      <c r="DA114" s="69"/>
      <c r="DB114" s="69"/>
      <c r="DC114" s="69"/>
      <c r="DD114" s="69"/>
      <c r="DE114" s="69"/>
      <c r="DF114" s="69"/>
      <c r="DG114" s="69"/>
      <c r="DH114" s="69"/>
      <c r="DI114" s="69"/>
      <c r="DJ114" s="3"/>
      <c r="DK114" s="3"/>
      <c r="DL114" s="3"/>
      <c r="DM114" s="3"/>
      <c r="DN114" s="3"/>
      <c r="DO114" s="3"/>
      <c r="DP114" s="3"/>
      <c r="DQ114" s="3"/>
      <c r="DR114" s="3"/>
      <c r="DS114" s="3"/>
      <c r="DT114" s="3"/>
      <c r="DU114" s="3"/>
    </row>
    <row r="115" ht="15.75" customHeight="1">
      <c r="A115" s="99">
        <v>3.0</v>
      </c>
      <c r="B115" s="100" t="s">
        <v>255</v>
      </c>
      <c r="C115" s="101" t="s">
        <v>86</v>
      </c>
      <c r="D115" s="102" t="s">
        <v>51</v>
      </c>
      <c r="E115" s="102">
        <v>8.0</v>
      </c>
      <c r="F115" s="102">
        <v>8.0</v>
      </c>
      <c r="G115" s="6">
        <v>44083.0</v>
      </c>
      <c r="H115" s="6">
        <v>44088.0</v>
      </c>
      <c r="I115" s="111">
        <v>1.0</v>
      </c>
      <c r="J115" s="111">
        <v>1.0</v>
      </c>
      <c r="K115" s="111">
        <v>1.0</v>
      </c>
      <c r="L115" s="111">
        <v>1.0</v>
      </c>
      <c r="M115" s="111">
        <v>1.0</v>
      </c>
      <c r="N115" s="111">
        <v>1.0</v>
      </c>
      <c r="O115" s="111">
        <v>1.0</v>
      </c>
      <c r="P115" s="111">
        <v>1.0</v>
      </c>
      <c r="Q115" s="111">
        <v>1.0</v>
      </c>
      <c r="R115" s="111">
        <v>1.0</v>
      </c>
      <c r="S115" s="111">
        <v>1.0</v>
      </c>
      <c r="T115" s="111">
        <v>1.0</v>
      </c>
      <c r="U115" s="111">
        <v>1.0</v>
      </c>
      <c r="V115" s="111">
        <v>1.0</v>
      </c>
      <c r="W115" s="111">
        <v>1.0</v>
      </c>
      <c r="X115" s="111">
        <v>1.0</v>
      </c>
      <c r="Y115" s="111">
        <v>1.0</v>
      </c>
      <c r="Z115" s="111">
        <v>1.0</v>
      </c>
      <c r="AA115" s="111">
        <v>1.0</v>
      </c>
      <c r="AB115" s="111">
        <v>1.0</v>
      </c>
      <c r="AC115" s="111">
        <v>1.0</v>
      </c>
      <c r="AD115" s="111">
        <v>1.0</v>
      </c>
      <c r="AE115" s="111">
        <v>1.0</v>
      </c>
      <c r="AF115" s="111">
        <v>1.0</v>
      </c>
      <c r="AG115" s="111">
        <v>1.0</v>
      </c>
      <c r="AH115" s="111">
        <v>1.0</v>
      </c>
      <c r="AI115" s="111">
        <v>1.0</v>
      </c>
      <c r="AJ115" s="111">
        <v>0.8</v>
      </c>
      <c r="AK115" s="111">
        <v>0.6</v>
      </c>
      <c r="AL115" s="111">
        <v>0.4</v>
      </c>
      <c r="AM115" s="111">
        <v>0.2</v>
      </c>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c r="BL115" s="69"/>
      <c r="BM115" s="69"/>
      <c r="BN115" s="69"/>
      <c r="BO115" s="69"/>
      <c r="BP115" s="69"/>
      <c r="BQ115" s="69"/>
      <c r="BR115" s="69"/>
      <c r="BS115" s="69"/>
      <c r="BT115" s="69"/>
      <c r="BU115" s="69"/>
      <c r="BV115" s="69"/>
      <c r="BW115" s="69"/>
      <c r="BX115" s="69"/>
      <c r="BY115" s="69"/>
      <c r="BZ115" s="69"/>
      <c r="CA115" s="69"/>
      <c r="CB115" s="69"/>
      <c r="CC115" s="69"/>
      <c r="CD115" s="69"/>
      <c r="CE115" s="69"/>
      <c r="CF115" s="69"/>
      <c r="CG115" s="69"/>
      <c r="CH115" s="69"/>
      <c r="CI115" s="69"/>
      <c r="CJ115" s="69"/>
      <c r="CK115" s="69"/>
      <c r="CL115" s="69"/>
      <c r="CM115" s="69"/>
      <c r="CN115" s="69"/>
      <c r="CO115" s="69"/>
      <c r="CP115" s="69"/>
      <c r="CQ115" s="69"/>
      <c r="CR115" s="69"/>
      <c r="CS115" s="69"/>
      <c r="CT115" s="69"/>
      <c r="CU115" s="69"/>
      <c r="CV115" s="69"/>
      <c r="CW115" s="69"/>
      <c r="CX115" s="69"/>
      <c r="CY115" s="69"/>
      <c r="CZ115" s="69"/>
      <c r="DA115" s="69"/>
      <c r="DB115" s="69"/>
      <c r="DC115" s="69"/>
      <c r="DD115" s="69"/>
      <c r="DE115" s="69"/>
      <c r="DF115" s="69"/>
      <c r="DG115" s="69"/>
      <c r="DH115" s="69"/>
      <c r="DI115" s="69"/>
      <c r="DJ115" s="3"/>
      <c r="DK115" s="3"/>
      <c r="DL115" s="3"/>
      <c r="DM115" s="3"/>
      <c r="DN115" s="3"/>
      <c r="DO115" s="3"/>
      <c r="DP115" s="3"/>
      <c r="DQ115" s="3"/>
      <c r="DR115" s="3"/>
      <c r="DS115" s="3"/>
      <c r="DT115" s="3"/>
      <c r="DU115" s="3"/>
    </row>
    <row r="116" ht="15.75" customHeight="1">
      <c r="A116" s="99">
        <v>4.0</v>
      </c>
      <c r="B116" s="100" t="s">
        <v>238</v>
      </c>
      <c r="C116" s="101" t="s">
        <v>86</v>
      </c>
      <c r="D116" s="102" t="s">
        <v>42</v>
      </c>
      <c r="E116" s="102">
        <v>8.0</v>
      </c>
      <c r="F116" s="102">
        <v>8.0</v>
      </c>
      <c r="G116" s="6">
        <v>44083.0</v>
      </c>
      <c r="H116" s="6">
        <v>44088.0</v>
      </c>
      <c r="I116" s="111">
        <v>1.0</v>
      </c>
      <c r="J116" s="111">
        <v>1.0</v>
      </c>
      <c r="K116" s="111">
        <v>1.0</v>
      </c>
      <c r="L116" s="111">
        <v>1.0</v>
      </c>
      <c r="M116" s="111">
        <v>1.0</v>
      </c>
      <c r="N116" s="111">
        <v>1.0</v>
      </c>
      <c r="O116" s="111">
        <v>1.0</v>
      </c>
      <c r="P116" s="111">
        <v>1.0</v>
      </c>
      <c r="Q116" s="111">
        <v>1.0</v>
      </c>
      <c r="R116" s="111">
        <v>1.0</v>
      </c>
      <c r="S116" s="111">
        <v>1.0</v>
      </c>
      <c r="T116" s="111">
        <v>1.0</v>
      </c>
      <c r="U116" s="111">
        <v>1.0</v>
      </c>
      <c r="V116" s="111">
        <v>1.0</v>
      </c>
      <c r="W116" s="111">
        <v>1.0</v>
      </c>
      <c r="X116" s="111">
        <v>1.0</v>
      </c>
      <c r="Y116" s="111">
        <v>1.0</v>
      </c>
      <c r="Z116" s="111">
        <v>1.0</v>
      </c>
      <c r="AA116" s="111">
        <v>1.0</v>
      </c>
      <c r="AB116" s="111">
        <v>1.0</v>
      </c>
      <c r="AC116" s="111">
        <v>1.0</v>
      </c>
      <c r="AD116" s="111">
        <v>1.0</v>
      </c>
      <c r="AE116" s="111">
        <v>1.0</v>
      </c>
      <c r="AF116" s="111">
        <v>1.0</v>
      </c>
      <c r="AG116" s="111">
        <v>1.0</v>
      </c>
      <c r="AH116" s="111">
        <v>1.0</v>
      </c>
      <c r="AI116" s="111">
        <v>1.0</v>
      </c>
      <c r="AJ116" s="111">
        <v>0.8</v>
      </c>
      <c r="AK116" s="111">
        <v>0.6</v>
      </c>
      <c r="AL116" s="111">
        <v>0.4</v>
      </c>
      <c r="AM116" s="111">
        <v>0.2</v>
      </c>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c r="BL116" s="69"/>
      <c r="BM116" s="69"/>
      <c r="BN116" s="69"/>
      <c r="BO116" s="69"/>
      <c r="BP116" s="69"/>
      <c r="BQ116" s="69"/>
      <c r="BR116" s="69"/>
      <c r="BS116" s="69"/>
      <c r="BT116" s="69"/>
      <c r="BU116" s="69"/>
      <c r="BV116" s="69"/>
      <c r="BW116" s="69"/>
      <c r="BX116" s="69"/>
      <c r="BY116" s="69"/>
      <c r="BZ116" s="69"/>
      <c r="CA116" s="69"/>
      <c r="CB116" s="69"/>
      <c r="CC116" s="69"/>
      <c r="CD116" s="69"/>
      <c r="CE116" s="69"/>
      <c r="CF116" s="69"/>
      <c r="CG116" s="69"/>
      <c r="CH116" s="69"/>
      <c r="CI116" s="69"/>
      <c r="CJ116" s="69"/>
      <c r="CK116" s="69"/>
      <c r="CL116" s="69"/>
      <c r="CM116" s="69"/>
      <c r="CN116" s="69"/>
      <c r="CO116" s="69"/>
      <c r="CP116" s="69"/>
      <c r="CQ116" s="69"/>
      <c r="CR116" s="69"/>
      <c r="CS116" s="69"/>
      <c r="CT116" s="69"/>
      <c r="CU116" s="69"/>
      <c r="CV116" s="69"/>
      <c r="CW116" s="69"/>
      <c r="CX116" s="69"/>
      <c r="CY116" s="69"/>
      <c r="CZ116" s="69"/>
      <c r="DA116" s="69"/>
      <c r="DB116" s="69"/>
      <c r="DC116" s="69"/>
      <c r="DD116" s="69"/>
      <c r="DE116" s="69"/>
      <c r="DF116" s="69"/>
      <c r="DG116" s="69"/>
      <c r="DH116" s="69"/>
      <c r="DI116" s="69"/>
      <c r="DJ116" s="3"/>
      <c r="DK116" s="3"/>
      <c r="DL116" s="3"/>
      <c r="DM116" s="3"/>
      <c r="DN116" s="3"/>
      <c r="DO116" s="3"/>
      <c r="DP116" s="3"/>
      <c r="DQ116" s="3"/>
      <c r="DR116" s="3"/>
      <c r="DS116" s="3"/>
      <c r="DT116" s="3"/>
      <c r="DU116" s="3"/>
    </row>
    <row r="117" ht="15.75" customHeight="1">
      <c r="A117" s="99">
        <v>5.0</v>
      </c>
      <c r="B117" s="100" t="s">
        <v>239</v>
      </c>
      <c r="C117" s="101" t="s">
        <v>86</v>
      </c>
      <c r="D117" s="102" t="s">
        <v>55</v>
      </c>
      <c r="E117" s="102">
        <v>8.0</v>
      </c>
      <c r="F117" s="102">
        <v>8.0</v>
      </c>
      <c r="G117" s="6">
        <v>44083.0</v>
      </c>
      <c r="H117" s="6">
        <v>44088.0</v>
      </c>
      <c r="I117" s="111">
        <v>1.0</v>
      </c>
      <c r="J117" s="111">
        <v>1.0</v>
      </c>
      <c r="K117" s="111">
        <v>1.0</v>
      </c>
      <c r="L117" s="111">
        <v>1.0</v>
      </c>
      <c r="M117" s="111">
        <v>1.0</v>
      </c>
      <c r="N117" s="111">
        <v>1.0</v>
      </c>
      <c r="O117" s="111">
        <v>1.0</v>
      </c>
      <c r="P117" s="111">
        <v>1.0</v>
      </c>
      <c r="Q117" s="111">
        <v>1.0</v>
      </c>
      <c r="R117" s="111">
        <v>1.0</v>
      </c>
      <c r="S117" s="111">
        <v>1.0</v>
      </c>
      <c r="T117" s="111">
        <v>1.0</v>
      </c>
      <c r="U117" s="111">
        <v>1.0</v>
      </c>
      <c r="V117" s="111">
        <v>1.0</v>
      </c>
      <c r="W117" s="111">
        <v>1.0</v>
      </c>
      <c r="X117" s="111">
        <v>1.0</v>
      </c>
      <c r="Y117" s="111">
        <v>1.0</v>
      </c>
      <c r="Z117" s="111">
        <v>1.0</v>
      </c>
      <c r="AA117" s="111">
        <v>1.0</v>
      </c>
      <c r="AB117" s="111">
        <v>1.0</v>
      </c>
      <c r="AC117" s="111">
        <v>1.0</v>
      </c>
      <c r="AD117" s="111">
        <v>1.0</v>
      </c>
      <c r="AE117" s="111">
        <v>1.0</v>
      </c>
      <c r="AF117" s="111">
        <v>1.0</v>
      </c>
      <c r="AG117" s="111">
        <v>1.0</v>
      </c>
      <c r="AH117" s="111">
        <v>1.0</v>
      </c>
      <c r="AI117" s="111">
        <v>1.0</v>
      </c>
      <c r="AJ117" s="111">
        <v>0.8</v>
      </c>
      <c r="AK117" s="111">
        <v>0.6</v>
      </c>
      <c r="AL117" s="111">
        <v>0.4</v>
      </c>
      <c r="AM117" s="111">
        <v>0.2</v>
      </c>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c r="BL117" s="69"/>
      <c r="BM117" s="69"/>
      <c r="BN117" s="69"/>
      <c r="BO117" s="69"/>
      <c r="BP117" s="69"/>
      <c r="BQ117" s="69"/>
      <c r="BR117" s="69"/>
      <c r="BS117" s="69"/>
      <c r="BT117" s="69"/>
      <c r="BU117" s="69"/>
      <c r="BV117" s="69"/>
      <c r="BW117" s="69"/>
      <c r="BX117" s="69"/>
      <c r="BY117" s="69"/>
      <c r="BZ117" s="69"/>
      <c r="CA117" s="69"/>
      <c r="CB117" s="69"/>
      <c r="CC117" s="69"/>
      <c r="CD117" s="69"/>
      <c r="CE117" s="69"/>
      <c r="CF117" s="69"/>
      <c r="CG117" s="69"/>
      <c r="CH117" s="69"/>
      <c r="CI117" s="69"/>
      <c r="CJ117" s="69"/>
      <c r="CK117" s="69"/>
      <c r="CL117" s="69"/>
      <c r="CM117" s="69"/>
      <c r="CN117" s="69"/>
      <c r="CO117" s="69"/>
      <c r="CP117" s="69"/>
      <c r="CQ117" s="69"/>
      <c r="CR117" s="69"/>
      <c r="CS117" s="69"/>
      <c r="CT117" s="69"/>
      <c r="CU117" s="69"/>
      <c r="CV117" s="69"/>
      <c r="CW117" s="69"/>
      <c r="CX117" s="69"/>
      <c r="CY117" s="69"/>
      <c r="CZ117" s="69"/>
      <c r="DA117" s="69"/>
      <c r="DB117" s="69"/>
      <c r="DC117" s="69"/>
      <c r="DD117" s="69"/>
      <c r="DE117" s="69"/>
      <c r="DF117" s="69"/>
      <c r="DG117" s="69"/>
      <c r="DH117" s="69"/>
      <c r="DI117" s="69"/>
      <c r="DJ117" s="3"/>
      <c r="DK117" s="3"/>
      <c r="DL117" s="3"/>
      <c r="DM117" s="3"/>
      <c r="DN117" s="3"/>
      <c r="DO117" s="3"/>
      <c r="DP117" s="3"/>
      <c r="DQ117" s="3"/>
      <c r="DR117" s="3"/>
      <c r="DS117" s="3"/>
      <c r="DT117" s="3"/>
      <c r="DU117" s="3"/>
    </row>
    <row r="118" ht="15.75" customHeight="1">
      <c r="A118" s="99">
        <v>6.0</v>
      </c>
      <c r="B118" s="100" t="s">
        <v>240</v>
      </c>
      <c r="C118" s="101" t="s">
        <v>86</v>
      </c>
      <c r="D118" s="102" t="s">
        <v>51</v>
      </c>
      <c r="E118" s="102">
        <v>8.0</v>
      </c>
      <c r="F118" s="102">
        <v>8.0</v>
      </c>
      <c r="G118" s="6">
        <v>44083.0</v>
      </c>
      <c r="H118" s="6">
        <v>44088.0</v>
      </c>
      <c r="I118" s="111">
        <v>1.0</v>
      </c>
      <c r="J118" s="111">
        <v>1.0</v>
      </c>
      <c r="K118" s="111">
        <v>1.0</v>
      </c>
      <c r="L118" s="111">
        <v>1.0</v>
      </c>
      <c r="M118" s="111">
        <v>1.0</v>
      </c>
      <c r="N118" s="111">
        <v>1.0</v>
      </c>
      <c r="O118" s="111">
        <v>1.0</v>
      </c>
      <c r="P118" s="111">
        <v>1.0</v>
      </c>
      <c r="Q118" s="111">
        <v>1.0</v>
      </c>
      <c r="R118" s="111">
        <v>1.0</v>
      </c>
      <c r="S118" s="111">
        <v>1.0</v>
      </c>
      <c r="T118" s="111">
        <v>1.0</v>
      </c>
      <c r="U118" s="111">
        <v>1.0</v>
      </c>
      <c r="V118" s="111">
        <v>1.0</v>
      </c>
      <c r="W118" s="111">
        <v>1.0</v>
      </c>
      <c r="X118" s="111">
        <v>1.0</v>
      </c>
      <c r="Y118" s="111">
        <v>1.0</v>
      </c>
      <c r="Z118" s="111">
        <v>1.0</v>
      </c>
      <c r="AA118" s="111">
        <v>1.0</v>
      </c>
      <c r="AB118" s="111">
        <v>1.0</v>
      </c>
      <c r="AC118" s="111">
        <v>1.0</v>
      </c>
      <c r="AD118" s="111">
        <v>1.0</v>
      </c>
      <c r="AE118" s="111">
        <v>1.0</v>
      </c>
      <c r="AF118" s="111">
        <v>1.0</v>
      </c>
      <c r="AG118" s="111">
        <v>1.0</v>
      </c>
      <c r="AH118" s="111">
        <v>1.0</v>
      </c>
      <c r="AI118" s="111">
        <v>1.0</v>
      </c>
      <c r="AJ118" s="111">
        <v>0.8</v>
      </c>
      <c r="AK118" s="111">
        <v>0.6</v>
      </c>
      <c r="AL118" s="111">
        <v>0.4</v>
      </c>
      <c r="AM118" s="111">
        <v>0.2</v>
      </c>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c r="BL118" s="69"/>
      <c r="BM118" s="69"/>
      <c r="BN118" s="69"/>
      <c r="BO118" s="69"/>
      <c r="BP118" s="69"/>
      <c r="BQ118" s="69"/>
      <c r="BR118" s="69"/>
      <c r="BS118" s="69"/>
      <c r="BT118" s="69"/>
      <c r="BU118" s="69"/>
      <c r="BV118" s="69"/>
      <c r="BW118" s="69"/>
      <c r="BX118" s="69"/>
      <c r="BY118" s="69"/>
      <c r="BZ118" s="69"/>
      <c r="CA118" s="69"/>
      <c r="CB118" s="69"/>
      <c r="CC118" s="69"/>
      <c r="CD118" s="69"/>
      <c r="CE118" s="69"/>
      <c r="CF118" s="69"/>
      <c r="CG118" s="69"/>
      <c r="CH118" s="69"/>
      <c r="CI118" s="69"/>
      <c r="CJ118" s="69"/>
      <c r="CK118" s="69"/>
      <c r="CL118" s="69"/>
      <c r="CM118" s="69"/>
      <c r="CN118" s="69"/>
      <c r="CO118" s="69"/>
      <c r="CP118" s="69"/>
      <c r="CQ118" s="69"/>
      <c r="CR118" s="69"/>
      <c r="CS118" s="69"/>
      <c r="CT118" s="69"/>
      <c r="CU118" s="69"/>
      <c r="CV118" s="69"/>
      <c r="CW118" s="69"/>
      <c r="CX118" s="69"/>
      <c r="CY118" s="69"/>
      <c r="CZ118" s="69"/>
      <c r="DA118" s="69"/>
      <c r="DB118" s="69"/>
      <c r="DC118" s="69"/>
      <c r="DD118" s="69"/>
      <c r="DE118" s="69"/>
      <c r="DF118" s="69"/>
      <c r="DG118" s="69"/>
      <c r="DH118" s="69"/>
      <c r="DI118" s="69"/>
      <c r="DJ118" s="3"/>
      <c r="DK118" s="3"/>
      <c r="DL118" s="3"/>
      <c r="DM118" s="3"/>
      <c r="DN118" s="3"/>
      <c r="DO118" s="3"/>
      <c r="DP118" s="3"/>
      <c r="DQ118" s="3"/>
      <c r="DR118" s="3"/>
      <c r="DS118" s="3"/>
      <c r="DT118" s="3"/>
      <c r="DU118" s="3"/>
    </row>
    <row r="119" ht="15.0" customHeight="1">
      <c r="A119" s="108" t="s">
        <v>45</v>
      </c>
      <c r="B119" s="50"/>
      <c r="C119" s="51"/>
      <c r="D119" s="101"/>
      <c r="E119" s="109">
        <f t="shared" ref="E119:F119" si="7">SUM(E113:E118)</f>
        <v>80</v>
      </c>
      <c r="F119" s="109">
        <f t="shared" si="7"/>
        <v>80</v>
      </c>
      <c r="G119" s="110"/>
      <c r="H119" s="110"/>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c r="BL119" s="69"/>
      <c r="BM119" s="69"/>
      <c r="BN119" s="69"/>
      <c r="BO119" s="69"/>
      <c r="BP119" s="69"/>
      <c r="BQ119" s="69"/>
      <c r="BR119" s="69"/>
      <c r="BS119" s="69"/>
      <c r="BT119" s="69"/>
      <c r="BU119" s="69"/>
      <c r="BV119" s="69"/>
      <c r="BW119" s="69"/>
      <c r="BX119" s="69"/>
      <c r="BY119" s="69"/>
      <c r="BZ119" s="69"/>
      <c r="CA119" s="69"/>
      <c r="CB119" s="69"/>
      <c r="CC119" s="69"/>
      <c r="CD119" s="69"/>
      <c r="CE119" s="69"/>
      <c r="CF119" s="69"/>
      <c r="CG119" s="69"/>
      <c r="CH119" s="69"/>
      <c r="CI119" s="69"/>
      <c r="CJ119" s="69"/>
      <c r="CK119" s="69"/>
      <c r="CL119" s="69"/>
      <c r="CM119" s="69"/>
      <c r="CN119" s="69"/>
      <c r="CO119" s="69"/>
      <c r="CP119" s="69"/>
      <c r="CQ119" s="69"/>
      <c r="CR119" s="69"/>
      <c r="CS119" s="69"/>
      <c r="CT119" s="69"/>
      <c r="CU119" s="69"/>
      <c r="CV119" s="69"/>
      <c r="CW119" s="69"/>
      <c r="CX119" s="69"/>
      <c r="CY119" s="69"/>
      <c r="CZ119" s="69"/>
      <c r="DA119" s="69"/>
      <c r="DB119" s="69"/>
      <c r="DC119" s="69"/>
      <c r="DD119" s="69"/>
      <c r="DE119" s="69"/>
      <c r="DF119" s="69"/>
      <c r="DG119" s="69"/>
      <c r="DH119" s="69"/>
      <c r="DI119" s="69"/>
      <c r="DJ119" s="112"/>
      <c r="DK119" s="112"/>
      <c r="DL119" s="112"/>
      <c r="DM119" s="112"/>
      <c r="DN119" s="112"/>
      <c r="DO119" s="112"/>
      <c r="DP119" s="112"/>
      <c r="DQ119" s="112"/>
      <c r="DR119" s="112"/>
      <c r="DS119" s="112"/>
      <c r="DT119" s="112"/>
      <c r="DU119" s="112"/>
    </row>
    <row r="120" ht="19.5" customHeight="1">
      <c r="A120" s="113" t="s">
        <v>166</v>
      </c>
      <c r="B120" s="50"/>
      <c r="C120" s="50"/>
      <c r="D120" s="50"/>
      <c r="E120" s="50"/>
      <c r="F120" s="50"/>
      <c r="G120" s="50"/>
      <c r="H120" s="50"/>
      <c r="I120" s="124">
        <v>44088.0</v>
      </c>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c r="BL120" s="69"/>
      <c r="BM120" s="69"/>
      <c r="BN120" s="69"/>
      <c r="BO120" s="69"/>
      <c r="BP120" s="69"/>
      <c r="BQ120" s="69"/>
      <c r="BR120" s="69"/>
      <c r="BS120" s="69"/>
      <c r="BT120" s="69"/>
      <c r="BU120" s="69"/>
      <c r="BV120" s="69"/>
      <c r="BW120" s="69"/>
      <c r="BX120" s="69"/>
      <c r="BY120" s="69"/>
      <c r="BZ120" s="69"/>
      <c r="CA120" s="69"/>
      <c r="CB120" s="69"/>
      <c r="CC120" s="69"/>
      <c r="CD120" s="69"/>
      <c r="CE120" s="69"/>
      <c r="CF120" s="69"/>
      <c r="CG120" s="69"/>
      <c r="CH120" s="69"/>
      <c r="CI120" s="69"/>
      <c r="CJ120" s="69"/>
      <c r="CK120" s="69"/>
      <c r="CL120" s="69"/>
      <c r="CM120" s="69"/>
      <c r="CN120" s="69"/>
      <c r="CO120" s="69"/>
      <c r="CP120" s="69"/>
      <c r="CQ120" s="69"/>
      <c r="CR120" s="69"/>
      <c r="CS120" s="69"/>
      <c r="CT120" s="69"/>
      <c r="CU120" s="69"/>
      <c r="CV120" s="69"/>
      <c r="CW120" s="69"/>
      <c r="CX120" s="69"/>
      <c r="CY120" s="69"/>
      <c r="CZ120" s="69"/>
      <c r="DA120" s="69"/>
      <c r="DB120" s="69"/>
      <c r="DC120" s="69"/>
      <c r="DD120" s="69"/>
      <c r="DE120" s="69"/>
      <c r="DF120" s="69"/>
      <c r="DG120" s="69"/>
      <c r="DH120" s="69"/>
      <c r="DI120" s="69"/>
      <c r="DJ120" s="117"/>
      <c r="DK120" s="117"/>
      <c r="DL120" s="117"/>
      <c r="DM120" s="117"/>
      <c r="DN120" s="117"/>
      <c r="DO120" s="117"/>
      <c r="DP120" s="117"/>
      <c r="DQ120" s="117"/>
      <c r="DR120" s="117"/>
      <c r="DS120" s="117"/>
      <c r="DT120" s="117"/>
      <c r="DU120" s="117"/>
    </row>
    <row r="121" ht="15.75" customHeight="1">
      <c r="A121" s="69"/>
      <c r="B121" s="69"/>
      <c r="C121" s="69"/>
      <c r="D121" s="4"/>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69"/>
      <c r="BY121" s="69"/>
      <c r="BZ121" s="69"/>
      <c r="CA121" s="69"/>
      <c r="CB121" s="69"/>
      <c r="CC121" s="69"/>
      <c r="CD121" s="69"/>
      <c r="CE121" s="69"/>
      <c r="CF121" s="69"/>
      <c r="CG121" s="69"/>
      <c r="CH121" s="69"/>
      <c r="CI121" s="69"/>
      <c r="CJ121" s="69"/>
      <c r="CK121" s="69"/>
      <c r="CL121" s="69"/>
      <c r="CM121" s="69"/>
      <c r="CN121" s="69"/>
      <c r="CO121" s="69"/>
      <c r="CP121" s="69"/>
      <c r="CQ121" s="69"/>
      <c r="CR121" s="69"/>
      <c r="CS121" s="69"/>
      <c r="CT121" s="69"/>
      <c r="CU121" s="69"/>
      <c r="CV121" s="69"/>
      <c r="CW121" s="69"/>
      <c r="CX121" s="69"/>
      <c r="CY121" s="69"/>
      <c r="CZ121" s="69"/>
      <c r="DA121" s="69"/>
      <c r="DB121" s="69"/>
      <c r="DC121" s="69"/>
      <c r="DD121" s="69"/>
      <c r="DE121" s="69"/>
      <c r="DF121" s="69"/>
      <c r="DG121" s="69"/>
      <c r="DH121" s="69"/>
      <c r="DI121" s="69"/>
      <c r="DJ121" s="69"/>
      <c r="DK121" s="69"/>
      <c r="DL121" s="69"/>
      <c r="DM121" s="69"/>
      <c r="DN121" s="69"/>
      <c r="DO121" s="69"/>
      <c r="DP121" s="69"/>
      <c r="DQ121" s="69"/>
      <c r="DR121" s="69"/>
      <c r="DS121" s="69"/>
      <c r="DT121" s="69"/>
      <c r="DU121" s="69"/>
    </row>
    <row r="122" ht="15.75" customHeight="1">
      <c r="A122" s="118" t="s">
        <v>256</v>
      </c>
      <c r="B122" s="67"/>
      <c r="C122" s="67"/>
      <c r="D122" s="67"/>
      <c r="E122" s="67"/>
      <c r="F122" s="67"/>
      <c r="G122" s="67"/>
      <c r="H122" s="68"/>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c r="BL122" s="69"/>
      <c r="BM122" s="69"/>
      <c r="BN122" s="69"/>
      <c r="BO122" s="69"/>
      <c r="BP122" s="69"/>
      <c r="BQ122" s="69"/>
      <c r="BR122" s="69"/>
      <c r="BS122" s="69"/>
      <c r="BT122" s="69"/>
      <c r="BU122" s="69"/>
      <c r="BV122" s="69"/>
      <c r="BW122" s="69"/>
      <c r="BX122" s="69"/>
      <c r="BY122" s="69"/>
      <c r="BZ122" s="69"/>
      <c r="CA122" s="69"/>
      <c r="CB122" s="69"/>
      <c r="CC122" s="69"/>
      <c r="CD122" s="69"/>
      <c r="CE122" s="69"/>
      <c r="CF122" s="69"/>
      <c r="CG122" s="69"/>
      <c r="CH122" s="69"/>
      <c r="CI122" s="69"/>
      <c r="CJ122" s="69"/>
      <c r="CK122" s="69"/>
      <c r="CL122" s="69"/>
      <c r="CM122" s="69"/>
      <c r="CN122" s="69"/>
      <c r="CO122" s="69"/>
      <c r="CP122" s="69"/>
      <c r="CQ122" s="69"/>
      <c r="CR122" s="69"/>
      <c r="CS122" s="69"/>
      <c r="CT122" s="69"/>
      <c r="CU122" s="69"/>
      <c r="CV122" s="69"/>
      <c r="CW122" s="69"/>
      <c r="CX122" s="69"/>
      <c r="CY122" s="69"/>
      <c r="CZ122" s="69"/>
      <c r="DA122" s="69"/>
      <c r="DB122" s="69"/>
      <c r="DC122" s="69"/>
      <c r="DD122" s="69"/>
      <c r="DE122" s="69"/>
      <c r="DF122" s="69"/>
      <c r="DG122" s="69"/>
      <c r="DH122" s="69"/>
      <c r="DI122" s="69"/>
      <c r="DJ122" s="3"/>
      <c r="DK122" s="3"/>
      <c r="DL122" s="3"/>
      <c r="DM122" s="3"/>
      <c r="DN122" s="3"/>
      <c r="DO122" s="3"/>
      <c r="DP122" s="3"/>
      <c r="DQ122" s="3"/>
      <c r="DR122" s="3"/>
      <c r="DS122" s="3"/>
      <c r="DT122" s="3"/>
      <c r="DU122" s="3"/>
    </row>
    <row r="123" ht="15.75" customHeight="1">
      <c r="A123" s="95" t="s">
        <v>6</v>
      </c>
      <c r="B123" s="96" t="s">
        <v>7</v>
      </c>
      <c r="C123" s="97" t="s">
        <v>8</v>
      </c>
      <c r="D123" s="96" t="s">
        <v>9</v>
      </c>
      <c r="E123" s="96" t="s">
        <v>10</v>
      </c>
      <c r="F123" s="96" t="s">
        <v>11</v>
      </c>
      <c r="G123" s="96" t="s">
        <v>12</v>
      </c>
      <c r="H123" s="96" t="s">
        <v>13</v>
      </c>
      <c r="I123" s="98">
        <v>44123.0</v>
      </c>
      <c r="J123" s="98">
        <v>44120.0</v>
      </c>
      <c r="K123" s="98">
        <v>44119.0</v>
      </c>
      <c r="L123" s="98">
        <v>44118.0</v>
      </c>
      <c r="M123" s="98">
        <v>44117.0</v>
      </c>
      <c r="N123" s="98">
        <v>44116.0</v>
      </c>
      <c r="O123" s="98">
        <v>44114.0</v>
      </c>
      <c r="P123" s="98">
        <v>44113.0</v>
      </c>
      <c r="Q123" s="98">
        <v>44112.0</v>
      </c>
      <c r="R123" s="98">
        <v>44111.0</v>
      </c>
      <c r="S123" s="98">
        <v>44110.0</v>
      </c>
      <c r="T123" s="98">
        <v>44109.0</v>
      </c>
      <c r="U123" s="98">
        <v>44105.0</v>
      </c>
      <c r="V123" s="98">
        <v>44104.0</v>
      </c>
      <c r="W123" s="98">
        <v>44103.0</v>
      </c>
      <c r="X123" s="98">
        <v>44102.0</v>
      </c>
      <c r="Y123" s="98">
        <v>44100.0</v>
      </c>
      <c r="Z123" s="98">
        <v>44099.0</v>
      </c>
      <c r="AA123" s="98">
        <v>44098.0</v>
      </c>
      <c r="AB123" s="98">
        <v>44097.0</v>
      </c>
      <c r="AC123" s="98">
        <v>44096.0</v>
      </c>
      <c r="AD123" s="98">
        <v>44095.0</v>
      </c>
      <c r="AE123" s="98">
        <v>44092.0</v>
      </c>
      <c r="AF123" s="98">
        <v>44091.0</v>
      </c>
      <c r="AG123" s="98">
        <v>44090.0</v>
      </c>
      <c r="AH123" s="98">
        <v>44089.0</v>
      </c>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c r="BL123" s="69"/>
      <c r="BM123" s="69"/>
      <c r="BN123" s="69"/>
      <c r="BO123" s="69"/>
      <c r="BP123" s="69"/>
      <c r="BQ123" s="69"/>
      <c r="BR123" s="69"/>
      <c r="BS123" s="69"/>
      <c r="BT123" s="69"/>
      <c r="BU123" s="69"/>
      <c r="BV123" s="69"/>
      <c r="BW123" s="69"/>
      <c r="BX123" s="69"/>
      <c r="BY123" s="69"/>
      <c r="BZ123" s="69"/>
      <c r="CA123" s="69"/>
      <c r="CB123" s="69"/>
      <c r="CC123" s="69"/>
      <c r="CD123" s="69"/>
      <c r="CE123" s="69"/>
      <c r="CF123" s="69"/>
      <c r="CG123" s="69"/>
      <c r="CH123" s="69"/>
      <c r="CI123" s="69"/>
      <c r="CJ123" s="69"/>
      <c r="CK123" s="69"/>
      <c r="CL123" s="69"/>
      <c r="CM123" s="69"/>
      <c r="CN123" s="69"/>
      <c r="CO123" s="69"/>
      <c r="CP123" s="69"/>
      <c r="CQ123" s="69"/>
      <c r="CR123" s="69"/>
      <c r="CS123" s="69"/>
      <c r="CT123" s="69"/>
      <c r="CU123" s="69"/>
      <c r="CV123" s="69"/>
      <c r="CW123" s="69"/>
      <c r="CX123" s="69"/>
      <c r="CY123" s="69"/>
      <c r="CZ123" s="69"/>
      <c r="DA123" s="69"/>
      <c r="DB123" s="69"/>
      <c r="DC123" s="69"/>
      <c r="DD123" s="69"/>
      <c r="DE123" s="69"/>
      <c r="DF123" s="69"/>
      <c r="DG123" s="69"/>
      <c r="DH123" s="69"/>
      <c r="DI123" s="69"/>
      <c r="DJ123" s="3"/>
      <c r="DK123" s="3"/>
      <c r="DL123" s="3"/>
      <c r="DM123" s="3"/>
      <c r="DN123" s="3"/>
      <c r="DO123" s="3"/>
      <c r="DP123" s="3"/>
      <c r="DQ123" s="3"/>
      <c r="DR123" s="3"/>
      <c r="DS123" s="3"/>
      <c r="DT123" s="3"/>
      <c r="DU123" s="3"/>
    </row>
    <row r="124" ht="15.75" customHeight="1">
      <c r="A124" s="99">
        <v>1.0</v>
      </c>
      <c r="B124" s="100" t="s">
        <v>257</v>
      </c>
      <c r="C124" s="101" t="s">
        <v>86</v>
      </c>
      <c r="D124" s="102" t="s">
        <v>42</v>
      </c>
      <c r="E124" s="102">
        <v>8.0</v>
      </c>
      <c r="F124" s="102">
        <v>8.0</v>
      </c>
      <c r="G124" s="6">
        <v>44089.0</v>
      </c>
      <c r="H124" s="6">
        <v>44090.0</v>
      </c>
      <c r="I124" s="111">
        <v>1.0</v>
      </c>
      <c r="J124" s="111">
        <v>1.0</v>
      </c>
      <c r="K124" s="111">
        <v>1.0</v>
      </c>
      <c r="L124" s="111">
        <v>1.0</v>
      </c>
      <c r="M124" s="111">
        <v>1.0</v>
      </c>
      <c r="N124" s="111">
        <v>1.0</v>
      </c>
      <c r="O124" s="111">
        <v>1.0</v>
      </c>
      <c r="P124" s="111">
        <v>1.0</v>
      </c>
      <c r="Q124" s="111">
        <v>1.0</v>
      </c>
      <c r="R124" s="111">
        <v>1.0</v>
      </c>
      <c r="S124" s="111">
        <v>1.0</v>
      </c>
      <c r="T124" s="111">
        <v>1.0</v>
      </c>
      <c r="U124" s="111">
        <v>1.0</v>
      </c>
      <c r="V124" s="111">
        <v>1.0</v>
      </c>
      <c r="W124" s="111">
        <v>1.0</v>
      </c>
      <c r="X124" s="111">
        <v>1.0</v>
      </c>
      <c r="Y124" s="111">
        <v>1.0</v>
      </c>
      <c r="Z124" s="111">
        <v>1.0</v>
      </c>
      <c r="AA124" s="111">
        <v>1.0</v>
      </c>
      <c r="AB124" s="111">
        <v>1.0</v>
      </c>
      <c r="AC124" s="111">
        <v>1.0</v>
      </c>
      <c r="AD124" s="111">
        <v>1.0</v>
      </c>
      <c r="AE124" s="111">
        <v>1.0</v>
      </c>
      <c r="AF124" s="111">
        <v>1.0</v>
      </c>
      <c r="AG124" s="111">
        <v>1.0</v>
      </c>
      <c r="AH124" s="111">
        <v>0.5</v>
      </c>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c r="BL124" s="69"/>
      <c r="BM124" s="69"/>
      <c r="BN124" s="69"/>
      <c r="BO124" s="69"/>
      <c r="BP124" s="69"/>
      <c r="BQ124" s="69"/>
      <c r="BR124" s="69"/>
      <c r="BS124" s="69"/>
      <c r="BT124" s="69"/>
      <c r="BU124" s="69"/>
      <c r="BV124" s="69"/>
      <c r="BW124" s="69"/>
      <c r="BX124" s="69"/>
      <c r="BY124" s="69"/>
      <c r="BZ124" s="69"/>
      <c r="CA124" s="69"/>
      <c r="CB124" s="69"/>
      <c r="CC124" s="69"/>
      <c r="CD124" s="69"/>
      <c r="CE124" s="69"/>
      <c r="CF124" s="69"/>
      <c r="CG124" s="69"/>
      <c r="CH124" s="69"/>
      <c r="CI124" s="69"/>
      <c r="CJ124" s="69"/>
      <c r="CK124" s="69"/>
      <c r="CL124" s="69"/>
      <c r="CM124" s="69"/>
      <c r="CN124" s="69"/>
      <c r="CO124" s="69"/>
      <c r="CP124" s="69"/>
      <c r="CQ124" s="69"/>
      <c r="CR124" s="69"/>
      <c r="CS124" s="69"/>
      <c r="CT124" s="69"/>
      <c r="CU124" s="69"/>
      <c r="CV124" s="69"/>
      <c r="CW124" s="69"/>
      <c r="CX124" s="69"/>
      <c r="CY124" s="69"/>
      <c r="CZ124" s="69"/>
      <c r="DA124" s="69"/>
      <c r="DB124" s="69"/>
      <c r="DC124" s="69"/>
      <c r="DD124" s="69"/>
      <c r="DE124" s="69"/>
      <c r="DF124" s="69"/>
      <c r="DG124" s="69"/>
      <c r="DH124" s="69"/>
      <c r="DI124" s="69"/>
      <c r="DJ124" s="3"/>
      <c r="DK124" s="3"/>
      <c r="DL124" s="3"/>
      <c r="DM124" s="3"/>
      <c r="DN124" s="3"/>
      <c r="DO124" s="3"/>
      <c r="DP124" s="3"/>
      <c r="DQ124" s="3"/>
      <c r="DR124" s="3"/>
      <c r="DS124" s="3"/>
      <c r="DT124" s="3"/>
      <c r="DU124" s="3"/>
    </row>
    <row r="125" ht="15.75" customHeight="1">
      <c r="A125" s="99">
        <v>2.0</v>
      </c>
      <c r="B125" s="100" t="s">
        <v>258</v>
      </c>
      <c r="C125" s="101" t="s">
        <v>86</v>
      </c>
      <c r="D125" s="102" t="s">
        <v>55</v>
      </c>
      <c r="E125" s="102">
        <v>8.0</v>
      </c>
      <c r="F125" s="102">
        <v>8.0</v>
      </c>
      <c r="G125" s="6">
        <v>44089.0</v>
      </c>
      <c r="H125" s="6">
        <v>44090.0</v>
      </c>
      <c r="I125" s="111">
        <v>1.0</v>
      </c>
      <c r="J125" s="111">
        <v>1.0</v>
      </c>
      <c r="K125" s="111">
        <v>1.0</v>
      </c>
      <c r="L125" s="111">
        <v>1.0</v>
      </c>
      <c r="M125" s="111">
        <v>1.0</v>
      </c>
      <c r="N125" s="111">
        <v>1.0</v>
      </c>
      <c r="O125" s="111">
        <v>1.0</v>
      </c>
      <c r="P125" s="111">
        <v>1.0</v>
      </c>
      <c r="Q125" s="111">
        <v>1.0</v>
      </c>
      <c r="R125" s="111">
        <v>1.0</v>
      </c>
      <c r="S125" s="111">
        <v>1.0</v>
      </c>
      <c r="T125" s="111">
        <v>1.0</v>
      </c>
      <c r="U125" s="111">
        <v>1.0</v>
      </c>
      <c r="V125" s="111">
        <v>1.0</v>
      </c>
      <c r="W125" s="111">
        <v>1.0</v>
      </c>
      <c r="X125" s="111">
        <v>1.0</v>
      </c>
      <c r="Y125" s="111">
        <v>1.0</v>
      </c>
      <c r="Z125" s="111">
        <v>1.0</v>
      </c>
      <c r="AA125" s="111">
        <v>1.0</v>
      </c>
      <c r="AB125" s="111">
        <v>1.0</v>
      </c>
      <c r="AC125" s="111">
        <v>1.0</v>
      </c>
      <c r="AD125" s="111">
        <v>1.0</v>
      </c>
      <c r="AE125" s="111">
        <v>1.0</v>
      </c>
      <c r="AF125" s="111">
        <v>1.0</v>
      </c>
      <c r="AG125" s="111">
        <v>1.0</v>
      </c>
      <c r="AH125" s="111">
        <v>0.5</v>
      </c>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c r="BL125" s="69"/>
      <c r="BM125" s="69"/>
      <c r="BN125" s="69"/>
      <c r="BO125" s="69"/>
      <c r="BP125" s="69"/>
      <c r="BQ125" s="69"/>
      <c r="BR125" s="69"/>
      <c r="BS125" s="69"/>
      <c r="BT125" s="69"/>
      <c r="BU125" s="69"/>
      <c r="BV125" s="69"/>
      <c r="BW125" s="69"/>
      <c r="BX125" s="69"/>
      <c r="BY125" s="69"/>
      <c r="BZ125" s="69"/>
      <c r="CA125" s="69"/>
      <c r="CB125" s="69"/>
      <c r="CC125" s="69"/>
      <c r="CD125" s="69"/>
      <c r="CE125" s="69"/>
      <c r="CF125" s="69"/>
      <c r="CG125" s="69"/>
      <c r="CH125" s="69"/>
      <c r="CI125" s="69"/>
      <c r="CJ125" s="69"/>
      <c r="CK125" s="69"/>
      <c r="CL125" s="69"/>
      <c r="CM125" s="69"/>
      <c r="CN125" s="69"/>
      <c r="CO125" s="69"/>
      <c r="CP125" s="69"/>
      <c r="CQ125" s="69"/>
      <c r="CR125" s="69"/>
      <c r="CS125" s="69"/>
      <c r="CT125" s="69"/>
      <c r="CU125" s="69"/>
      <c r="CV125" s="69"/>
      <c r="CW125" s="69"/>
      <c r="CX125" s="69"/>
      <c r="CY125" s="69"/>
      <c r="CZ125" s="69"/>
      <c r="DA125" s="69"/>
      <c r="DB125" s="69"/>
      <c r="DC125" s="69"/>
      <c r="DD125" s="69"/>
      <c r="DE125" s="69"/>
      <c r="DF125" s="69"/>
      <c r="DG125" s="69"/>
      <c r="DH125" s="69"/>
      <c r="DI125" s="69"/>
      <c r="DJ125" s="3"/>
      <c r="DK125" s="3"/>
      <c r="DL125" s="3"/>
      <c r="DM125" s="3"/>
      <c r="DN125" s="3"/>
      <c r="DO125" s="3"/>
      <c r="DP125" s="3"/>
      <c r="DQ125" s="3"/>
      <c r="DR125" s="3"/>
      <c r="DS125" s="3"/>
      <c r="DT125" s="3"/>
      <c r="DU125" s="3"/>
    </row>
    <row r="126" ht="15.75" customHeight="1">
      <c r="A126" s="99">
        <v>3.0</v>
      </c>
      <c r="B126" s="100" t="s">
        <v>238</v>
      </c>
      <c r="C126" s="101" t="s">
        <v>86</v>
      </c>
      <c r="D126" s="102" t="s">
        <v>42</v>
      </c>
      <c r="E126" s="102">
        <v>8.0</v>
      </c>
      <c r="F126" s="102">
        <v>8.0</v>
      </c>
      <c r="G126" s="6">
        <v>44089.0</v>
      </c>
      <c r="H126" s="6">
        <v>44092.0</v>
      </c>
      <c r="I126" s="111">
        <v>1.0</v>
      </c>
      <c r="J126" s="111">
        <v>1.0</v>
      </c>
      <c r="K126" s="111">
        <v>1.0</v>
      </c>
      <c r="L126" s="111">
        <v>1.0</v>
      </c>
      <c r="M126" s="111">
        <v>1.0</v>
      </c>
      <c r="N126" s="111">
        <v>1.0</v>
      </c>
      <c r="O126" s="111">
        <v>1.0</v>
      </c>
      <c r="P126" s="111">
        <v>1.0</v>
      </c>
      <c r="Q126" s="111">
        <v>1.0</v>
      </c>
      <c r="R126" s="111">
        <v>1.0</v>
      </c>
      <c r="S126" s="111">
        <v>1.0</v>
      </c>
      <c r="T126" s="111">
        <v>1.0</v>
      </c>
      <c r="U126" s="111">
        <v>1.0</v>
      </c>
      <c r="V126" s="111">
        <v>1.0</v>
      </c>
      <c r="W126" s="111">
        <v>1.0</v>
      </c>
      <c r="X126" s="111">
        <v>1.0</v>
      </c>
      <c r="Y126" s="111">
        <v>1.0</v>
      </c>
      <c r="Z126" s="111">
        <v>1.0</v>
      </c>
      <c r="AA126" s="111">
        <v>1.0</v>
      </c>
      <c r="AB126" s="111">
        <v>1.0</v>
      </c>
      <c r="AC126" s="111">
        <v>1.0</v>
      </c>
      <c r="AD126" s="111">
        <v>1.0</v>
      </c>
      <c r="AE126" s="111">
        <v>1.0</v>
      </c>
      <c r="AF126" s="111">
        <v>0.6</v>
      </c>
      <c r="AG126" s="111">
        <v>0.4</v>
      </c>
      <c r="AH126" s="111">
        <v>0.2</v>
      </c>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c r="BL126" s="69"/>
      <c r="BM126" s="69"/>
      <c r="BN126" s="69"/>
      <c r="BO126" s="69"/>
      <c r="BP126" s="69"/>
      <c r="BQ126" s="69"/>
      <c r="BR126" s="69"/>
      <c r="BS126" s="69"/>
      <c r="BT126" s="69"/>
      <c r="BU126" s="69"/>
      <c r="BV126" s="69"/>
      <c r="BW126" s="69"/>
      <c r="BX126" s="69"/>
      <c r="BY126" s="69"/>
      <c r="BZ126" s="69"/>
      <c r="CA126" s="69"/>
      <c r="CB126" s="69"/>
      <c r="CC126" s="69"/>
      <c r="CD126" s="69"/>
      <c r="CE126" s="69"/>
      <c r="CF126" s="69"/>
      <c r="CG126" s="69"/>
      <c r="CH126" s="69"/>
      <c r="CI126" s="69"/>
      <c r="CJ126" s="69"/>
      <c r="CK126" s="69"/>
      <c r="CL126" s="69"/>
      <c r="CM126" s="69"/>
      <c r="CN126" s="69"/>
      <c r="CO126" s="69"/>
      <c r="CP126" s="69"/>
      <c r="CQ126" s="69"/>
      <c r="CR126" s="69"/>
      <c r="CS126" s="69"/>
      <c r="CT126" s="69"/>
      <c r="CU126" s="69"/>
      <c r="CV126" s="69"/>
      <c r="CW126" s="69"/>
      <c r="CX126" s="69"/>
      <c r="CY126" s="69"/>
      <c r="CZ126" s="69"/>
      <c r="DA126" s="69"/>
      <c r="DB126" s="69"/>
      <c r="DC126" s="69"/>
      <c r="DD126" s="69"/>
      <c r="DE126" s="69"/>
      <c r="DF126" s="69"/>
      <c r="DG126" s="69"/>
      <c r="DH126" s="69"/>
      <c r="DI126" s="69"/>
      <c r="DJ126" s="3"/>
      <c r="DK126" s="3"/>
      <c r="DL126" s="3"/>
      <c r="DM126" s="3"/>
      <c r="DN126" s="3"/>
      <c r="DO126" s="3"/>
      <c r="DP126" s="3"/>
      <c r="DQ126" s="3"/>
      <c r="DR126" s="3"/>
      <c r="DS126" s="3"/>
      <c r="DT126" s="3"/>
      <c r="DU126" s="3"/>
    </row>
    <row r="127" ht="15.75" customHeight="1">
      <c r="A127" s="99">
        <v>4.0</v>
      </c>
      <c r="B127" s="100" t="s">
        <v>239</v>
      </c>
      <c r="C127" s="101" t="s">
        <v>86</v>
      </c>
      <c r="D127" s="102" t="s">
        <v>55</v>
      </c>
      <c r="E127" s="102">
        <v>8.0</v>
      </c>
      <c r="F127" s="102">
        <v>8.0</v>
      </c>
      <c r="G127" s="6">
        <v>44089.0</v>
      </c>
      <c r="H127" s="6">
        <v>44092.0</v>
      </c>
      <c r="I127" s="111">
        <v>1.0</v>
      </c>
      <c r="J127" s="111">
        <v>1.0</v>
      </c>
      <c r="K127" s="111">
        <v>1.0</v>
      </c>
      <c r="L127" s="111">
        <v>1.0</v>
      </c>
      <c r="M127" s="111">
        <v>1.0</v>
      </c>
      <c r="N127" s="111">
        <v>1.0</v>
      </c>
      <c r="O127" s="111">
        <v>1.0</v>
      </c>
      <c r="P127" s="111">
        <v>1.0</v>
      </c>
      <c r="Q127" s="111">
        <v>1.0</v>
      </c>
      <c r="R127" s="111">
        <v>1.0</v>
      </c>
      <c r="S127" s="111">
        <v>1.0</v>
      </c>
      <c r="T127" s="111">
        <v>1.0</v>
      </c>
      <c r="U127" s="111">
        <v>1.0</v>
      </c>
      <c r="V127" s="111">
        <v>1.0</v>
      </c>
      <c r="W127" s="111">
        <v>1.0</v>
      </c>
      <c r="X127" s="111">
        <v>1.0</v>
      </c>
      <c r="Y127" s="111">
        <v>1.0</v>
      </c>
      <c r="Z127" s="111">
        <v>1.0</v>
      </c>
      <c r="AA127" s="111">
        <v>1.0</v>
      </c>
      <c r="AB127" s="111">
        <v>1.0</v>
      </c>
      <c r="AC127" s="111">
        <v>1.0</v>
      </c>
      <c r="AD127" s="111">
        <v>1.0</v>
      </c>
      <c r="AE127" s="111">
        <v>1.0</v>
      </c>
      <c r="AF127" s="111">
        <v>0.6</v>
      </c>
      <c r="AG127" s="111">
        <v>0.4</v>
      </c>
      <c r="AH127" s="111">
        <v>0.2</v>
      </c>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c r="BL127" s="69"/>
      <c r="BM127" s="69"/>
      <c r="BN127" s="69"/>
      <c r="BO127" s="69"/>
      <c r="BP127" s="69"/>
      <c r="BQ127" s="69"/>
      <c r="BR127" s="69"/>
      <c r="BS127" s="69"/>
      <c r="BT127" s="69"/>
      <c r="BU127" s="69"/>
      <c r="BV127" s="69"/>
      <c r="BW127" s="69"/>
      <c r="BX127" s="69"/>
      <c r="BY127" s="69"/>
      <c r="BZ127" s="69"/>
      <c r="CA127" s="69"/>
      <c r="CB127" s="69"/>
      <c r="CC127" s="69"/>
      <c r="CD127" s="69"/>
      <c r="CE127" s="69"/>
      <c r="CF127" s="69"/>
      <c r="CG127" s="69"/>
      <c r="CH127" s="69"/>
      <c r="CI127" s="69"/>
      <c r="CJ127" s="69"/>
      <c r="CK127" s="69"/>
      <c r="CL127" s="69"/>
      <c r="CM127" s="69"/>
      <c r="CN127" s="69"/>
      <c r="CO127" s="69"/>
      <c r="CP127" s="69"/>
      <c r="CQ127" s="69"/>
      <c r="CR127" s="69"/>
      <c r="CS127" s="69"/>
      <c r="CT127" s="69"/>
      <c r="CU127" s="69"/>
      <c r="CV127" s="69"/>
      <c r="CW127" s="69"/>
      <c r="CX127" s="69"/>
      <c r="CY127" s="69"/>
      <c r="CZ127" s="69"/>
      <c r="DA127" s="69"/>
      <c r="DB127" s="69"/>
      <c r="DC127" s="69"/>
      <c r="DD127" s="69"/>
      <c r="DE127" s="69"/>
      <c r="DF127" s="69"/>
      <c r="DG127" s="69"/>
      <c r="DH127" s="69"/>
      <c r="DI127" s="69"/>
      <c r="DJ127" s="3"/>
      <c r="DK127" s="3"/>
      <c r="DL127" s="3"/>
      <c r="DM127" s="3"/>
      <c r="DN127" s="3"/>
      <c r="DO127" s="3"/>
      <c r="DP127" s="3"/>
      <c r="DQ127" s="3"/>
      <c r="DR127" s="3"/>
      <c r="DS127" s="3"/>
      <c r="DT127" s="3"/>
      <c r="DU127" s="3"/>
    </row>
    <row r="128" ht="15.75" customHeight="1">
      <c r="A128" s="99">
        <v>5.0</v>
      </c>
      <c r="B128" s="100" t="s">
        <v>240</v>
      </c>
      <c r="C128" s="101" t="s">
        <v>86</v>
      </c>
      <c r="D128" s="102" t="s">
        <v>51</v>
      </c>
      <c r="E128" s="102">
        <v>8.0</v>
      </c>
      <c r="F128" s="102">
        <v>8.0</v>
      </c>
      <c r="G128" s="6">
        <v>44089.0</v>
      </c>
      <c r="H128" s="6">
        <v>44092.0</v>
      </c>
      <c r="I128" s="111">
        <v>1.0</v>
      </c>
      <c r="J128" s="111">
        <v>1.0</v>
      </c>
      <c r="K128" s="111">
        <v>1.0</v>
      </c>
      <c r="L128" s="111">
        <v>1.0</v>
      </c>
      <c r="M128" s="111">
        <v>1.0</v>
      </c>
      <c r="N128" s="111">
        <v>1.0</v>
      </c>
      <c r="O128" s="111">
        <v>1.0</v>
      </c>
      <c r="P128" s="111">
        <v>1.0</v>
      </c>
      <c r="Q128" s="111">
        <v>1.0</v>
      </c>
      <c r="R128" s="111">
        <v>1.0</v>
      </c>
      <c r="S128" s="111">
        <v>1.0</v>
      </c>
      <c r="T128" s="111">
        <v>1.0</v>
      </c>
      <c r="U128" s="111">
        <v>1.0</v>
      </c>
      <c r="V128" s="111">
        <v>1.0</v>
      </c>
      <c r="W128" s="111">
        <v>1.0</v>
      </c>
      <c r="X128" s="111">
        <v>1.0</v>
      </c>
      <c r="Y128" s="111">
        <v>1.0</v>
      </c>
      <c r="Z128" s="111">
        <v>1.0</v>
      </c>
      <c r="AA128" s="111">
        <v>1.0</v>
      </c>
      <c r="AB128" s="111">
        <v>1.0</v>
      </c>
      <c r="AC128" s="111">
        <v>1.0</v>
      </c>
      <c r="AD128" s="111">
        <v>1.0</v>
      </c>
      <c r="AE128" s="111">
        <v>1.0</v>
      </c>
      <c r="AF128" s="111">
        <v>0.6</v>
      </c>
      <c r="AG128" s="111">
        <v>0.4</v>
      </c>
      <c r="AH128" s="111">
        <v>0.2</v>
      </c>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c r="BL128" s="69"/>
      <c r="BM128" s="69"/>
      <c r="BN128" s="69"/>
      <c r="BO128" s="69"/>
      <c r="BP128" s="69"/>
      <c r="BQ128" s="69"/>
      <c r="BR128" s="69"/>
      <c r="BS128" s="69"/>
      <c r="BT128" s="69"/>
      <c r="BU128" s="69"/>
      <c r="BV128" s="69"/>
      <c r="BW128" s="69"/>
      <c r="BX128" s="69"/>
      <c r="BY128" s="69"/>
      <c r="BZ128" s="69"/>
      <c r="CA128" s="69"/>
      <c r="CB128" s="69"/>
      <c r="CC128" s="69"/>
      <c r="CD128" s="69"/>
      <c r="CE128" s="69"/>
      <c r="CF128" s="69"/>
      <c r="CG128" s="69"/>
      <c r="CH128" s="69"/>
      <c r="CI128" s="69"/>
      <c r="CJ128" s="69"/>
      <c r="CK128" s="69"/>
      <c r="CL128" s="69"/>
      <c r="CM128" s="69"/>
      <c r="CN128" s="69"/>
      <c r="CO128" s="69"/>
      <c r="CP128" s="69"/>
      <c r="CQ128" s="69"/>
      <c r="CR128" s="69"/>
      <c r="CS128" s="69"/>
      <c r="CT128" s="69"/>
      <c r="CU128" s="69"/>
      <c r="CV128" s="69"/>
      <c r="CW128" s="69"/>
      <c r="CX128" s="69"/>
      <c r="CY128" s="69"/>
      <c r="CZ128" s="69"/>
      <c r="DA128" s="69"/>
      <c r="DB128" s="69"/>
      <c r="DC128" s="69"/>
      <c r="DD128" s="69"/>
      <c r="DE128" s="69"/>
      <c r="DF128" s="69"/>
      <c r="DG128" s="69"/>
      <c r="DH128" s="69"/>
      <c r="DI128" s="69"/>
      <c r="DJ128" s="3"/>
      <c r="DK128" s="3"/>
      <c r="DL128" s="3"/>
      <c r="DM128" s="3"/>
      <c r="DN128" s="3"/>
      <c r="DO128" s="3"/>
      <c r="DP128" s="3"/>
      <c r="DQ128" s="3"/>
      <c r="DR128" s="3"/>
      <c r="DS128" s="3"/>
      <c r="DT128" s="3"/>
      <c r="DU128" s="3"/>
    </row>
    <row r="129" ht="15.75" customHeight="1">
      <c r="A129" s="99">
        <v>6.0</v>
      </c>
      <c r="B129" s="100" t="s">
        <v>259</v>
      </c>
      <c r="C129" s="101" t="s">
        <v>86</v>
      </c>
      <c r="D129" s="102" t="s">
        <v>42</v>
      </c>
      <c r="E129" s="102">
        <v>8.0</v>
      </c>
      <c r="F129" s="102">
        <v>9.0</v>
      </c>
      <c r="G129" s="6">
        <v>44091.0</v>
      </c>
      <c r="H129" s="6">
        <v>44095.0</v>
      </c>
      <c r="I129" s="111">
        <v>1.0</v>
      </c>
      <c r="J129" s="111">
        <v>1.0</v>
      </c>
      <c r="K129" s="111">
        <v>1.0</v>
      </c>
      <c r="L129" s="111">
        <v>1.0</v>
      </c>
      <c r="M129" s="111">
        <v>1.0</v>
      </c>
      <c r="N129" s="111">
        <v>1.0</v>
      </c>
      <c r="O129" s="111">
        <v>1.0</v>
      </c>
      <c r="P129" s="111">
        <v>1.0</v>
      </c>
      <c r="Q129" s="111">
        <v>1.0</v>
      </c>
      <c r="R129" s="111">
        <v>1.0</v>
      </c>
      <c r="S129" s="111">
        <v>1.0</v>
      </c>
      <c r="T129" s="111">
        <v>1.0</v>
      </c>
      <c r="U129" s="111">
        <v>1.0</v>
      </c>
      <c r="V129" s="111">
        <v>1.0</v>
      </c>
      <c r="W129" s="111">
        <v>1.0</v>
      </c>
      <c r="X129" s="111">
        <v>1.0</v>
      </c>
      <c r="Y129" s="111">
        <v>1.0</v>
      </c>
      <c r="Z129" s="111">
        <v>1.0</v>
      </c>
      <c r="AA129" s="111">
        <v>1.0</v>
      </c>
      <c r="AB129" s="111">
        <v>1.0</v>
      </c>
      <c r="AC129" s="111">
        <v>1.0</v>
      </c>
      <c r="AD129" s="111">
        <v>1.0</v>
      </c>
      <c r="AE129" s="111">
        <v>0.7</v>
      </c>
      <c r="AF129" s="111">
        <v>0.4</v>
      </c>
      <c r="AG129" s="111"/>
      <c r="AH129" s="111"/>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c r="BL129" s="69"/>
      <c r="BM129" s="69"/>
      <c r="BN129" s="69"/>
      <c r="BO129" s="69"/>
      <c r="BP129" s="69"/>
      <c r="BQ129" s="69"/>
      <c r="BR129" s="69"/>
      <c r="BS129" s="69"/>
      <c r="BT129" s="69"/>
      <c r="BU129" s="69"/>
      <c r="BV129" s="69"/>
      <c r="BW129" s="69"/>
      <c r="BX129" s="69"/>
      <c r="BY129" s="69"/>
      <c r="BZ129" s="69"/>
      <c r="CA129" s="69"/>
      <c r="CB129" s="69"/>
      <c r="CC129" s="69"/>
      <c r="CD129" s="69"/>
      <c r="CE129" s="69"/>
      <c r="CF129" s="69"/>
      <c r="CG129" s="69"/>
      <c r="CH129" s="69"/>
      <c r="CI129" s="69"/>
      <c r="CJ129" s="69"/>
      <c r="CK129" s="69"/>
      <c r="CL129" s="69"/>
      <c r="CM129" s="69"/>
      <c r="CN129" s="69"/>
      <c r="CO129" s="69"/>
      <c r="CP129" s="69"/>
      <c r="CQ129" s="69"/>
      <c r="CR129" s="69"/>
      <c r="CS129" s="69"/>
      <c r="CT129" s="69"/>
      <c r="CU129" s="69"/>
      <c r="CV129" s="69"/>
      <c r="CW129" s="69"/>
      <c r="CX129" s="69"/>
      <c r="CY129" s="69"/>
      <c r="CZ129" s="69"/>
      <c r="DA129" s="69"/>
      <c r="DB129" s="69"/>
      <c r="DC129" s="69"/>
      <c r="DD129" s="69"/>
      <c r="DE129" s="69"/>
      <c r="DF129" s="69"/>
      <c r="DG129" s="69"/>
      <c r="DH129" s="69"/>
      <c r="DI129" s="69"/>
      <c r="DJ129" s="3"/>
      <c r="DK129" s="3"/>
      <c r="DL129" s="3"/>
      <c r="DM129" s="3"/>
      <c r="DN129" s="3"/>
      <c r="DO129" s="3"/>
      <c r="DP129" s="3"/>
      <c r="DQ129" s="3"/>
      <c r="DR129" s="3"/>
      <c r="DS129" s="3"/>
      <c r="DT129" s="3"/>
      <c r="DU129" s="3"/>
    </row>
    <row r="130" ht="15.75" customHeight="1">
      <c r="A130" s="99">
        <v>7.0</v>
      </c>
      <c r="B130" s="100" t="s">
        <v>260</v>
      </c>
      <c r="C130" s="101" t="s">
        <v>86</v>
      </c>
      <c r="D130" s="102" t="s">
        <v>55</v>
      </c>
      <c r="E130" s="102">
        <v>8.0</v>
      </c>
      <c r="F130" s="102">
        <v>9.0</v>
      </c>
      <c r="G130" s="6">
        <v>44091.0</v>
      </c>
      <c r="H130" s="6">
        <v>44095.0</v>
      </c>
      <c r="I130" s="111">
        <v>1.0</v>
      </c>
      <c r="J130" s="111">
        <v>1.0</v>
      </c>
      <c r="K130" s="111">
        <v>1.0</v>
      </c>
      <c r="L130" s="111">
        <v>1.0</v>
      </c>
      <c r="M130" s="111">
        <v>1.0</v>
      </c>
      <c r="N130" s="111">
        <v>1.0</v>
      </c>
      <c r="O130" s="111">
        <v>1.0</v>
      </c>
      <c r="P130" s="111">
        <v>1.0</v>
      </c>
      <c r="Q130" s="111">
        <v>1.0</v>
      </c>
      <c r="R130" s="111">
        <v>1.0</v>
      </c>
      <c r="S130" s="111">
        <v>1.0</v>
      </c>
      <c r="T130" s="111">
        <v>1.0</v>
      </c>
      <c r="U130" s="111">
        <v>1.0</v>
      </c>
      <c r="V130" s="111">
        <v>1.0</v>
      </c>
      <c r="W130" s="111">
        <v>1.0</v>
      </c>
      <c r="X130" s="111">
        <v>1.0</v>
      </c>
      <c r="Y130" s="111">
        <v>1.0</v>
      </c>
      <c r="Z130" s="111">
        <v>1.0</v>
      </c>
      <c r="AA130" s="111">
        <v>1.0</v>
      </c>
      <c r="AB130" s="111">
        <v>1.0</v>
      </c>
      <c r="AC130" s="111">
        <v>1.0</v>
      </c>
      <c r="AD130" s="111">
        <v>1.0</v>
      </c>
      <c r="AE130" s="111">
        <v>0.7</v>
      </c>
      <c r="AF130" s="111">
        <v>0.4</v>
      </c>
      <c r="AG130" s="111"/>
      <c r="AH130" s="111"/>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c r="BL130" s="69"/>
      <c r="BM130" s="69"/>
      <c r="BN130" s="69"/>
      <c r="BO130" s="69"/>
      <c r="BP130" s="69"/>
      <c r="BQ130" s="69"/>
      <c r="BR130" s="69"/>
      <c r="BS130" s="69"/>
      <c r="BT130" s="69"/>
      <c r="BU130" s="69"/>
      <c r="BV130" s="69"/>
      <c r="BW130" s="69"/>
      <c r="BX130" s="69"/>
      <c r="BY130" s="69"/>
      <c r="BZ130" s="69"/>
      <c r="CA130" s="69"/>
      <c r="CB130" s="69"/>
      <c r="CC130" s="69"/>
      <c r="CD130" s="69"/>
      <c r="CE130" s="69"/>
      <c r="CF130" s="69"/>
      <c r="CG130" s="69"/>
      <c r="CH130" s="69"/>
      <c r="CI130" s="69"/>
      <c r="CJ130" s="69"/>
      <c r="CK130" s="69"/>
      <c r="CL130" s="69"/>
      <c r="CM130" s="69"/>
      <c r="CN130" s="69"/>
      <c r="CO130" s="69"/>
      <c r="CP130" s="69"/>
      <c r="CQ130" s="69"/>
      <c r="CR130" s="69"/>
      <c r="CS130" s="69"/>
      <c r="CT130" s="69"/>
      <c r="CU130" s="69"/>
      <c r="CV130" s="69"/>
      <c r="CW130" s="69"/>
      <c r="CX130" s="69"/>
      <c r="CY130" s="69"/>
      <c r="CZ130" s="69"/>
      <c r="DA130" s="69"/>
      <c r="DB130" s="69"/>
      <c r="DC130" s="69"/>
      <c r="DD130" s="69"/>
      <c r="DE130" s="69"/>
      <c r="DF130" s="69"/>
      <c r="DG130" s="69"/>
      <c r="DH130" s="69"/>
      <c r="DI130" s="69"/>
      <c r="DJ130" s="3"/>
      <c r="DK130" s="3"/>
      <c r="DL130" s="3"/>
      <c r="DM130" s="3"/>
      <c r="DN130" s="3"/>
      <c r="DO130" s="3"/>
      <c r="DP130" s="3"/>
      <c r="DQ130" s="3"/>
      <c r="DR130" s="3"/>
      <c r="DS130" s="3"/>
      <c r="DT130" s="3"/>
      <c r="DU130" s="3"/>
    </row>
    <row r="131" ht="15.75" customHeight="1">
      <c r="A131" s="99">
        <v>8.0</v>
      </c>
      <c r="B131" s="100" t="s">
        <v>261</v>
      </c>
      <c r="C131" s="101" t="s">
        <v>86</v>
      </c>
      <c r="D131" s="102" t="s">
        <v>51</v>
      </c>
      <c r="E131" s="102">
        <v>8.0</v>
      </c>
      <c r="F131" s="102">
        <v>6.0</v>
      </c>
      <c r="G131" s="6">
        <v>44091.0</v>
      </c>
      <c r="H131" s="6">
        <v>44092.0</v>
      </c>
      <c r="I131" s="111">
        <v>1.0</v>
      </c>
      <c r="J131" s="111">
        <v>1.0</v>
      </c>
      <c r="K131" s="111">
        <v>1.0</v>
      </c>
      <c r="L131" s="111">
        <v>1.0</v>
      </c>
      <c r="M131" s="111">
        <v>1.0</v>
      </c>
      <c r="N131" s="111">
        <v>1.0</v>
      </c>
      <c r="O131" s="111">
        <v>1.0</v>
      </c>
      <c r="P131" s="111">
        <v>1.0</v>
      </c>
      <c r="Q131" s="111">
        <v>1.0</v>
      </c>
      <c r="R131" s="111">
        <v>1.0</v>
      </c>
      <c r="S131" s="111">
        <v>1.0</v>
      </c>
      <c r="T131" s="111">
        <v>1.0</v>
      </c>
      <c r="U131" s="111">
        <v>1.0</v>
      </c>
      <c r="V131" s="111">
        <v>1.0</v>
      </c>
      <c r="W131" s="111">
        <v>1.0</v>
      </c>
      <c r="X131" s="111">
        <v>1.0</v>
      </c>
      <c r="Y131" s="111">
        <v>1.0</v>
      </c>
      <c r="Z131" s="111">
        <v>1.0</v>
      </c>
      <c r="AA131" s="111">
        <v>1.0</v>
      </c>
      <c r="AB131" s="111">
        <v>1.0</v>
      </c>
      <c r="AC131" s="111">
        <v>1.0</v>
      </c>
      <c r="AD131" s="111">
        <v>1.0</v>
      </c>
      <c r="AE131" s="111">
        <v>1.0</v>
      </c>
      <c r="AF131" s="111">
        <v>0.5</v>
      </c>
      <c r="AG131" s="111"/>
      <c r="AH131" s="111"/>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c r="BL131" s="69"/>
      <c r="BM131" s="69"/>
      <c r="BN131" s="69"/>
      <c r="BO131" s="69"/>
      <c r="BP131" s="69"/>
      <c r="BQ131" s="69"/>
      <c r="BR131" s="69"/>
      <c r="BS131" s="69"/>
      <c r="BT131" s="69"/>
      <c r="BU131" s="69"/>
      <c r="BV131" s="69"/>
      <c r="BW131" s="69"/>
      <c r="BX131" s="69"/>
      <c r="BY131" s="69"/>
      <c r="BZ131" s="69"/>
      <c r="CA131" s="69"/>
      <c r="CB131" s="69"/>
      <c r="CC131" s="69"/>
      <c r="CD131" s="69"/>
      <c r="CE131" s="69"/>
      <c r="CF131" s="69"/>
      <c r="CG131" s="69"/>
      <c r="CH131" s="69"/>
      <c r="CI131" s="69"/>
      <c r="CJ131" s="69"/>
      <c r="CK131" s="69"/>
      <c r="CL131" s="69"/>
      <c r="CM131" s="69"/>
      <c r="CN131" s="69"/>
      <c r="CO131" s="69"/>
      <c r="CP131" s="69"/>
      <c r="CQ131" s="69"/>
      <c r="CR131" s="69"/>
      <c r="CS131" s="69"/>
      <c r="CT131" s="69"/>
      <c r="CU131" s="69"/>
      <c r="CV131" s="69"/>
      <c r="CW131" s="69"/>
      <c r="CX131" s="69"/>
      <c r="CY131" s="69"/>
      <c r="CZ131" s="69"/>
      <c r="DA131" s="69"/>
      <c r="DB131" s="69"/>
      <c r="DC131" s="69"/>
      <c r="DD131" s="69"/>
      <c r="DE131" s="69"/>
      <c r="DF131" s="69"/>
      <c r="DG131" s="69"/>
      <c r="DH131" s="69"/>
      <c r="DI131" s="69"/>
      <c r="DJ131" s="3"/>
      <c r="DK131" s="3"/>
      <c r="DL131" s="3"/>
      <c r="DM131" s="3"/>
      <c r="DN131" s="3"/>
      <c r="DO131" s="3"/>
      <c r="DP131" s="3"/>
      <c r="DQ131" s="3"/>
      <c r="DR131" s="3"/>
      <c r="DS131" s="3"/>
      <c r="DT131" s="3"/>
      <c r="DU131" s="3"/>
    </row>
    <row r="132" ht="15.0" customHeight="1">
      <c r="A132" s="108" t="s">
        <v>45</v>
      </c>
      <c r="B132" s="50"/>
      <c r="C132" s="51"/>
      <c r="D132" s="101"/>
      <c r="E132" s="109">
        <f t="shared" ref="E132:F132" si="8">SUM(E124:E131)</f>
        <v>64</v>
      </c>
      <c r="F132" s="109">
        <f t="shared" si="8"/>
        <v>64</v>
      </c>
      <c r="G132" s="110"/>
      <c r="H132" s="110"/>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c r="BL132" s="69"/>
      <c r="BM132" s="69"/>
      <c r="BN132" s="69"/>
      <c r="BO132" s="69"/>
      <c r="BP132" s="69"/>
      <c r="BQ132" s="69"/>
      <c r="BR132" s="69"/>
      <c r="BS132" s="69"/>
      <c r="BT132" s="69"/>
      <c r="BU132" s="69"/>
      <c r="BV132" s="69"/>
      <c r="BW132" s="69"/>
      <c r="BX132" s="69"/>
      <c r="BY132" s="69"/>
      <c r="BZ132" s="69"/>
      <c r="CA132" s="69"/>
      <c r="CB132" s="69"/>
      <c r="CC132" s="69"/>
      <c r="CD132" s="69"/>
      <c r="CE132" s="69"/>
      <c r="CF132" s="69"/>
      <c r="CG132" s="69"/>
      <c r="CH132" s="69"/>
      <c r="CI132" s="69"/>
      <c r="CJ132" s="69"/>
      <c r="CK132" s="69"/>
      <c r="CL132" s="69"/>
      <c r="CM132" s="69"/>
      <c r="CN132" s="69"/>
      <c r="CO132" s="69"/>
      <c r="CP132" s="69"/>
      <c r="CQ132" s="69"/>
      <c r="CR132" s="69"/>
      <c r="CS132" s="69"/>
      <c r="CT132" s="69"/>
      <c r="CU132" s="69"/>
      <c r="CV132" s="69"/>
      <c r="CW132" s="69"/>
      <c r="CX132" s="69"/>
      <c r="CY132" s="69"/>
      <c r="CZ132" s="69"/>
      <c r="DA132" s="69"/>
      <c r="DB132" s="69"/>
      <c r="DC132" s="69"/>
      <c r="DD132" s="69"/>
      <c r="DE132" s="69"/>
      <c r="DF132" s="69"/>
      <c r="DG132" s="69"/>
      <c r="DH132" s="69"/>
      <c r="DI132" s="69"/>
      <c r="DJ132" s="112"/>
      <c r="DK132" s="112"/>
      <c r="DL132" s="112"/>
      <c r="DM132" s="112"/>
      <c r="DN132" s="112"/>
      <c r="DO132" s="112"/>
      <c r="DP132" s="112"/>
      <c r="DQ132" s="112"/>
      <c r="DR132" s="112"/>
      <c r="DS132" s="112"/>
      <c r="DT132" s="112"/>
      <c r="DU132" s="112"/>
    </row>
    <row r="133" ht="19.5" customHeight="1">
      <c r="A133" s="113" t="s">
        <v>166</v>
      </c>
      <c r="B133" s="50"/>
      <c r="C133" s="50"/>
      <c r="D133" s="50"/>
      <c r="E133" s="50"/>
      <c r="F133" s="50"/>
      <c r="G133" s="50"/>
      <c r="H133" s="50"/>
      <c r="I133" s="124">
        <v>44096.0</v>
      </c>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11"/>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c r="BL133" s="69"/>
      <c r="BM133" s="69"/>
      <c r="BN133" s="69"/>
      <c r="BO133" s="69"/>
      <c r="BP133" s="69"/>
      <c r="BQ133" s="69"/>
      <c r="BR133" s="69"/>
      <c r="BS133" s="69"/>
      <c r="BT133" s="69"/>
      <c r="BU133" s="69"/>
      <c r="BV133" s="69"/>
      <c r="BW133" s="69"/>
      <c r="BX133" s="69"/>
      <c r="BY133" s="69"/>
      <c r="BZ133" s="69"/>
      <c r="CA133" s="69"/>
      <c r="CB133" s="69"/>
      <c r="CC133" s="69"/>
      <c r="CD133" s="69"/>
      <c r="CE133" s="69"/>
      <c r="CF133" s="69"/>
      <c r="CG133" s="69"/>
      <c r="CH133" s="69"/>
      <c r="CI133" s="69"/>
      <c r="CJ133" s="69"/>
      <c r="CK133" s="69"/>
      <c r="CL133" s="69"/>
      <c r="CM133" s="69"/>
      <c r="CN133" s="69"/>
      <c r="CO133" s="69"/>
      <c r="CP133" s="69"/>
      <c r="CQ133" s="69"/>
      <c r="CR133" s="69"/>
      <c r="CS133" s="69"/>
      <c r="CT133" s="69"/>
      <c r="CU133" s="69"/>
      <c r="CV133" s="69"/>
      <c r="CW133" s="69"/>
      <c r="CX133" s="69"/>
      <c r="CY133" s="69"/>
      <c r="CZ133" s="69"/>
      <c r="DA133" s="69"/>
      <c r="DB133" s="69"/>
      <c r="DC133" s="69"/>
      <c r="DD133" s="69"/>
      <c r="DE133" s="69"/>
      <c r="DF133" s="69"/>
      <c r="DG133" s="69"/>
      <c r="DH133" s="69"/>
      <c r="DI133" s="69"/>
      <c r="DJ133" s="117"/>
      <c r="DK133" s="117"/>
      <c r="DL133" s="117"/>
      <c r="DM133" s="117"/>
      <c r="DN133" s="117"/>
      <c r="DO133" s="117"/>
      <c r="DP133" s="117"/>
      <c r="DQ133" s="117"/>
      <c r="DR133" s="117"/>
      <c r="DS133" s="117"/>
      <c r="DT133" s="117"/>
      <c r="DU133" s="117"/>
    </row>
    <row r="134" ht="15.75" customHeight="1">
      <c r="A134" s="69"/>
      <c r="B134" s="69"/>
      <c r="C134" s="69"/>
      <c r="D134" s="4"/>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c r="BL134" s="69"/>
      <c r="BM134" s="69"/>
      <c r="BN134" s="69"/>
      <c r="BO134" s="69"/>
      <c r="BP134" s="69"/>
      <c r="BQ134" s="69"/>
      <c r="BR134" s="69"/>
      <c r="BS134" s="69"/>
      <c r="BT134" s="69"/>
      <c r="BU134" s="69"/>
      <c r="BV134" s="69"/>
      <c r="BW134" s="69"/>
      <c r="BX134" s="69"/>
      <c r="BY134" s="69"/>
      <c r="BZ134" s="69"/>
      <c r="CA134" s="69"/>
      <c r="CB134" s="69"/>
      <c r="CC134" s="69"/>
      <c r="CD134" s="69"/>
      <c r="CE134" s="69"/>
      <c r="CF134" s="69"/>
      <c r="CG134" s="69"/>
      <c r="CH134" s="69"/>
      <c r="CI134" s="69"/>
      <c r="CJ134" s="69"/>
      <c r="CK134" s="69"/>
      <c r="CL134" s="69"/>
      <c r="CM134" s="69"/>
      <c r="CN134" s="69"/>
      <c r="CO134" s="69"/>
      <c r="CP134" s="69"/>
      <c r="CQ134" s="69"/>
      <c r="CR134" s="69"/>
      <c r="CS134" s="69"/>
      <c r="CT134" s="69"/>
      <c r="CU134" s="69"/>
      <c r="CV134" s="69"/>
      <c r="CW134" s="69"/>
      <c r="CX134" s="69"/>
      <c r="CY134" s="69"/>
      <c r="CZ134" s="69"/>
      <c r="DA134" s="69"/>
      <c r="DB134" s="69"/>
      <c r="DC134" s="69"/>
      <c r="DD134" s="69"/>
      <c r="DE134" s="69"/>
      <c r="DF134" s="69"/>
      <c r="DG134" s="69"/>
      <c r="DH134" s="69"/>
      <c r="DI134" s="69"/>
      <c r="DJ134" s="69"/>
      <c r="DK134" s="69"/>
      <c r="DL134" s="69"/>
      <c r="DM134" s="69"/>
      <c r="DN134" s="69"/>
      <c r="DO134" s="69"/>
      <c r="DP134" s="69"/>
      <c r="DQ134" s="69"/>
      <c r="DR134" s="69"/>
      <c r="DS134" s="69"/>
      <c r="DT134" s="69"/>
      <c r="DU134" s="69"/>
    </row>
    <row r="135" ht="15.75" customHeight="1">
      <c r="A135" s="118" t="s">
        <v>262</v>
      </c>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8"/>
      <c r="AE135" s="94"/>
      <c r="AF135" s="94"/>
      <c r="AG135" s="94"/>
      <c r="AH135" s="94"/>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c r="BL135" s="69"/>
      <c r="BM135" s="69"/>
      <c r="BN135" s="69"/>
      <c r="BO135" s="69"/>
      <c r="BP135" s="69"/>
      <c r="BQ135" s="69"/>
      <c r="BR135" s="69"/>
      <c r="BS135" s="69"/>
      <c r="BT135" s="69"/>
      <c r="BU135" s="69"/>
      <c r="BV135" s="69"/>
      <c r="BW135" s="69"/>
      <c r="BX135" s="69"/>
      <c r="BY135" s="69"/>
      <c r="BZ135" s="69"/>
      <c r="CA135" s="69"/>
      <c r="CB135" s="69"/>
      <c r="CC135" s="69"/>
      <c r="CD135" s="69"/>
      <c r="CE135" s="69"/>
      <c r="CF135" s="69"/>
      <c r="CG135" s="69"/>
      <c r="CH135" s="69"/>
      <c r="CI135" s="69"/>
      <c r="CJ135" s="69"/>
      <c r="CK135" s="69"/>
      <c r="CL135" s="69"/>
      <c r="CM135" s="69"/>
      <c r="CN135" s="69"/>
      <c r="CO135" s="69"/>
      <c r="CP135" s="69"/>
      <c r="CQ135" s="69"/>
      <c r="CR135" s="69"/>
      <c r="CS135" s="69"/>
      <c r="CT135" s="69"/>
      <c r="CU135" s="69"/>
      <c r="CV135" s="69"/>
      <c r="CW135" s="69"/>
      <c r="CX135" s="69"/>
      <c r="CY135" s="69"/>
      <c r="CZ135" s="69"/>
      <c r="DA135" s="69"/>
      <c r="DB135" s="69"/>
      <c r="DC135" s="69"/>
      <c r="DD135" s="69"/>
      <c r="DE135" s="69"/>
      <c r="DF135" s="69"/>
      <c r="DG135" s="69"/>
      <c r="DH135" s="69"/>
      <c r="DI135" s="69"/>
      <c r="DJ135" s="69"/>
      <c r="DK135" s="3"/>
      <c r="DL135" s="3"/>
      <c r="DM135" s="3"/>
      <c r="DN135" s="3"/>
      <c r="DO135" s="3"/>
      <c r="DP135" s="3"/>
      <c r="DQ135" s="3"/>
      <c r="DR135" s="3"/>
      <c r="DS135" s="3"/>
      <c r="DT135" s="3"/>
      <c r="DU135" s="3"/>
    </row>
    <row r="136" ht="15.75" customHeight="1">
      <c r="A136" s="95" t="s">
        <v>6</v>
      </c>
      <c r="B136" s="96" t="s">
        <v>7</v>
      </c>
      <c r="C136" s="97" t="s">
        <v>8</v>
      </c>
      <c r="D136" s="96" t="s">
        <v>9</v>
      </c>
      <c r="E136" s="96" t="s">
        <v>10</v>
      </c>
      <c r="F136" s="96" t="s">
        <v>11</v>
      </c>
      <c r="G136" s="96" t="s">
        <v>12</v>
      </c>
      <c r="H136" s="96" t="s">
        <v>13</v>
      </c>
      <c r="I136" s="98">
        <v>44123.0</v>
      </c>
      <c r="J136" s="98">
        <v>44120.0</v>
      </c>
      <c r="K136" s="98">
        <v>44119.0</v>
      </c>
      <c r="L136" s="98">
        <v>44118.0</v>
      </c>
      <c r="M136" s="98">
        <v>44117.0</v>
      </c>
      <c r="N136" s="98">
        <v>44116.0</v>
      </c>
      <c r="O136" s="98">
        <v>44114.0</v>
      </c>
      <c r="P136" s="98">
        <v>44113.0</v>
      </c>
      <c r="Q136" s="98">
        <v>44112.0</v>
      </c>
      <c r="R136" s="98">
        <v>44111.0</v>
      </c>
      <c r="S136" s="98">
        <v>44110.0</v>
      </c>
      <c r="T136" s="98">
        <v>44109.0</v>
      </c>
      <c r="U136" s="98">
        <v>44105.0</v>
      </c>
      <c r="V136" s="98">
        <v>44104.0</v>
      </c>
      <c r="W136" s="98">
        <v>44103.0</v>
      </c>
      <c r="X136" s="98">
        <v>44102.0</v>
      </c>
      <c r="Y136" s="98">
        <v>44100.0</v>
      </c>
      <c r="Z136" s="98">
        <v>44099.0</v>
      </c>
      <c r="AA136" s="98">
        <v>44098.0</v>
      </c>
      <c r="AB136" s="98">
        <v>44097.0</v>
      </c>
      <c r="AC136" s="98">
        <v>44096.0</v>
      </c>
      <c r="AD136" s="98">
        <v>44095.0</v>
      </c>
      <c r="AE136" s="98">
        <v>44092.0</v>
      </c>
      <c r="AF136" s="98">
        <v>44091.0</v>
      </c>
      <c r="AG136" s="98">
        <v>44090.0</v>
      </c>
      <c r="AH136" s="98">
        <v>44089.0</v>
      </c>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c r="BL136" s="69"/>
      <c r="BM136" s="69"/>
      <c r="BN136" s="69"/>
      <c r="BO136" s="69"/>
      <c r="BP136" s="69"/>
      <c r="BQ136" s="69"/>
      <c r="BR136" s="69"/>
      <c r="BS136" s="69"/>
      <c r="BT136" s="69"/>
      <c r="BU136" s="69"/>
      <c r="BV136" s="69"/>
      <c r="BW136" s="69"/>
      <c r="BX136" s="69"/>
      <c r="BY136" s="69"/>
      <c r="BZ136" s="69"/>
      <c r="CA136" s="69"/>
      <c r="CB136" s="69"/>
      <c r="CC136" s="69"/>
      <c r="CD136" s="69"/>
      <c r="CE136" s="69"/>
      <c r="CF136" s="69"/>
      <c r="CG136" s="69"/>
      <c r="CH136" s="69"/>
      <c r="CI136" s="69"/>
      <c r="CJ136" s="69"/>
      <c r="CK136" s="69"/>
      <c r="CL136" s="69"/>
      <c r="CM136" s="69"/>
      <c r="CN136" s="69"/>
      <c r="CO136" s="69"/>
      <c r="CP136" s="69"/>
      <c r="CQ136" s="69"/>
      <c r="CR136" s="69"/>
      <c r="CS136" s="69"/>
      <c r="CT136" s="69"/>
      <c r="CU136" s="69"/>
      <c r="CV136" s="69"/>
      <c r="CW136" s="69"/>
      <c r="CX136" s="69"/>
      <c r="CY136" s="69"/>
      <c r="CZ136" s="69"/>
      <c r="DA136" s="69"/>
      <c r="DB136" s="69"/>
      <c r="DC136" s="69"/>
      <c r="DD136" s="69"/>
      <c r="DE136" s="69"/>
      <c r="DF136" s="69"/>
      <c r="DG136" s="69"/>
      <c r="DH136" s="69"/>
      <c r="DI136" s="69"/>
      <c r="DJ136" s="69"/>
      <c r="DK136" s="3"/>
      <c r="DL136" s="3"/>
      <c r="DM136" s="3"/>
      <c r="DN136" s="3"/>
      <c r="DO136" s="3"/>
      <c r="DP136" s="3"/>
      <c r="DQ136" s="3"/>
      <c r="DR136" s="3"/>
      <c r="DS136" s="3"/>
      <c r="DT136" s="3"/>
      <c r="DU136" s="3"/>
    </row>
    <row r="137" ht="15.75" customHeight="1">
      <c r="A137" s="99">
        <v>1.0</v>
      </c>
      <c r="B137" s="100" t="s">
        <v>263</v>
      </c>
      <c r="C137" s="101" t="s">
        <v>54</v>
      </c>
      <c r="D137" s="102" t="s">
        <v>42</v>
      </c>
      <c r="E137" s="102">
        <v>24.0</v>
      </c>
      <c r="F137" s="102">
        <v>24.0</v>
      </c>
      <c r="G137" s="6">
        <v>44095.0</v>
      </c>
      <c r="H137" s="6">
        <v>44097.0</v>
      </c>
      <c r="I137" s="111">
        <v>1.0</v>
      </c>
      <c r="J137" s="111">
        <v>1.0</v>
      </c>
      <c r="K137" s="111">
        <v>1.0</v>
      </c>
      <c r="L137" s="111">
        <v>1.0</v>
      </c>
      <c r="M137" s="111">
        <v>1.0</v>
      </c>
      <c r="N137" s="111">
        <v>1.0</v>
      </c>
      <c r="O137" s="111">
        <v>1.0</v>
      </c>
      <c r="P137" s="111">
        <v>1.0</v>
      </c>
      <c r="Q137" s="111">
        <v>1.0</v>
      </c>
      <c r="R137" s="111">
        <v>1.0</v>
      </c>
      <c r="S137" s="111">
        <v>1.0</v>
      </c>
      <c r="T137" s="111">
        <v>1.0</v>
      </c>
      <c r="U137" s="111">
        <v>1.0</v>
      </c>
      <c r="V137" s="111">
        <v>1.0</v>
      </c>
      <c r="W137" s="111">
        <v>1.0</v>
      </c>
      <c r="X137" s="111">
        <v>1.0</v>
      </c>
      <c r="Y137" s="111">
        <v>1.0</v>
      </c>
      <c r="Z137" s="111">
        <v>1.0</v>
      </c>
      <c r="AA137" s="111">
        <v>1.0</v>
      </c>
      <c r="AB137" s="111">
        <v>1.0</v>
      </c>
      <c r="AC137" s="111">
        <v>0.6</v>
      </c>
      <c r="AD137" s="111">
        <v>0.3</v>
      </c>
      <c r="AE137" s="111">
        <v>1.0</v>
      </c>
      <c r="AF137" s="111">
        <v>1.0</v>
      </c>
      <c r="AG137" s="111">
        <v>1.0</v>
      </c>
      <c r="AH137" s="111">
        <v>1.0</v>
      </c>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c r="BI137" s="69"/>
      <c r="BJ137" s="69"/>
      <c r="BK137" s="69"/>
      <c r="BL137" s="69"/>
      <c r="BM137" s="69"/>
      <c r="BN137" s="69"/>
      <c r="BO137" s="69"/>
      <c r="BP137" s="69"/>
      <c r="BQ137" s="69"/>
      <c r="BR137" s="69"/>
      <c r="BS137" s="69"/>
      <c r="BT137" s="69"/>
      <c r="BU137" s="69"/>
      <c r="BV137" s="69"/>
      <c r="BW137" s="69"/>
      <c r="BX137" s="69"/>
      <c r="BY137" s="69"/>
      <c r="BZ137" s="69"/>
      <c r="CA137" s="69"/>
      <c r="CB137" s="69"/>
      <c r="CC137" s="69"/>
      <c r="CD137" s="69"/>
      <c r="CE137" s="69"/>
      <c r="CF137" s="69"/>
      <c r="CG137" s="69"/>
      <c r="CH137" s="69"/>
      <c r="CI137" s="69"/>
      <c r="CJ137" s="69"/>
      <c r="CK137" s="69"/>
      <c r="CL137" s="69"/>
      <c r="CM137" s="69"/>
      <c r="CN137" s="69"/>
      <c r="CO137" s="69"/>
      <c r="CP137" s="69"/>
      <c r="CQ137" s="69"/>
      <c r="CR137" s="69"/>
      <c r="CS137" s="69"/>
      <c r="CT137" s="69"/>
      <c r="CU137" s="69"/>
      <c r="CV137" s="69"/>
      <c r="CW137" s="69"/>
      <c r="CX137" s="69"/>
      <c r="CY137" s="69"/>
      <c r="CZ137" s="69"/>
      <c r="DA137" s="69"/>
      <c r="DB137" s="69"/>
      <c r="DC137" s="69"/>
      <c r="DD137" s="69"/>
      <c r="DE137" s="69"/>
      <c r="DF137" s="69"/>
      <c r="DG137" s="69"/>
      <c r="DH137" s="69"/>
      <c r="DI137" s="69"/>
      <c r="DJ137" s="69"/>
      <c r="DK137" s="3"/>
      <c r="DL137" s="3"/>
      <c r="DM137" s="3"/>
      <c r="DN137" s="3"/>
      <c r="DO137" s="3"/>
      <c r="DP137" s="3"/>
      <c r="DQ137" s="3"/>
      <c r="DR137" s="3"/>
      <c r="DS137" s="3"/>
      <c r="DT137" s="3"/>
      <c r="DU137" s="3"/>
    </row>
    <row r="138" ht="15.75" customHeight="1">
      <c r="A138" s="99">
        <v>2.0</v>
      </c>
      <c r="B138" s="100" t="s">
        <v>264</v>
      </c>
      <c r="C138" s="101" t="s">
        <v>54</v>
      </c>
      <c r="D138" s="102" t="s">
        <v>55</v>
      </c>
      <c r="E138" s="102">
        <v>24.0</v>
      </c>
      <c r="F138" s="102">
        <v>18.0</v>
      </c>
      <c r="G138" s="6">
        <v>44089.0</v>
      </c>
      <c r="H138" s="6">
        <v>44097.0</v>
      </c>
      <c r="I138" s="111">
        <v>1.0</v>
      </c>
      <c r="J138" s="111">
        <v>1.0</v>
      </c>
      <c r="K138" s="111">
        <v>1.0</v>
      </c>
      <c r="L138" s="111">
        <v>1.0</v>
      </c>
      <c r="M138" s="111">
        <v>1.0</v>
      </c>
      <c r="N138" s="111">
        <v>1.0</v>
      </c>
      <c r="O138" s="111">
        <v>1.0</v>
      </c>
      <c r="P138" s="111">
        <v>1.0</v>
      </c>
      <c r="Q138" s="111">
        <v>1.0</v>
      </c>
      <c r="R138" s="111">
        <v>1.0</v>
      </c>
      <c r="S138" s="111">
        <v>1.0</v>
      </c>
      <c r="T138" s="111">
        <v>1.0</v>
      </c>
      <c r="U138" s="111">
        <v>1.0</v>
      </c>
      <c r="V138" s="111">
        <v>1.0</v>
      </c>
      <c r="W138" s="111">
        <v>1.0</v>
      </c>
      <c r="X138" s="111">
        <v>1.0</v>
      </c>
      <c r="Y138" s="111">
        <v>1.0</v>
      </c>
      <c r="Z138" s="111">
        <v>1.0</v>
      </c>
      <c r="AA138" s="111">
        <v>1.0</v>
      </c>
      <c r="AB138" s="111">
        <v>1.0</v>
      </c>
      <c r="AC138" s="111">
        <v>0.7</v>
      </c>
      <c r="AD138" s="111">
        <v>0.5</v>
      </c>
      <c r="AE138" s="111">
        <v>0.3</v>
      </c>
      <c r="AF138" s="111">
        <v>0.3</v>
      </c>
      <c r="AG138" s="111">
        <v>0.3</v>
      </c>
      <c r="AH138" s="111">
        <v>0.3</v>
      </c>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c r="BI138" s="69"/>
      <c r="BJ138" s="69"/>
      <c r="BK138" s="69"/>
      <c r="BL138" s="69"/>
      <c r="BM138" s="69"/>
      <c r="BN138" s="69"/>
      <c r="BO138" s="69"/>
      <c r="BP138" s="69"/>
      <c r="BQ138" s="69"/>
      <c r="BR138" s="69"/>
      <c r="BS138" s="69"/>
      <c r="BT138" s="69"/>
      <c r="BU138" s="69"/>
      <c r="BV138" s="69"/>
      <c r="BW138" s="69"/>
      <c r="BX138" s="69"/>
      <c r="BY138" s="69"/>
      <c r="BZ138" s="69"/>
      <c r="CA138" s="69"/>
      <c r="CB138" s="69"/>
      <c r="CC138" s="69"/>
      <c r="CD138" s="69"/>
      <c r="CE138" s="69"/>
      <c r="CF138" s="69"/>
      <c r="CG138" s="69"/>
      <c r="CH138" s="69"/>
      <c r="CI138" s="69"/>
      <c r="CJ138" s="69"/>
      <c r="CK138" s="69"/>
      <c r="CL138" s="69"/>
      <c r="CM138" s="69"/>
      <c r="CN138" s="69"/>
      <c r="CO138" s="69"/>
      <c r="CP138" s="69"/>
      <c r="CQ138" s="69"/>
      <c r="CR138" s="69"/>
      <c r="CS138" s="69"/>
      <c r="CT138" s="69"/>
      <c r="CU138" s="69"/>
      <c r="CV138" s="69"/>
      <c r="CW138" s="69"/>
      <c r="CX138" s="69"/>
      <c r="CY138" s="69"/>
      <c r="CZ138" s="69"/>
      <c r="DA138" s="69"/>
      <c r="DB138" s="69"/>
      <c r="DC138" s="69"/>
      <c r="DD138" s="69"/>
      <c r="DE138" s="69"/>
      <c r="DF138" s="69"/>
      <c r="DG138" s="69"/>
      <c r="DH138" s="69"/>
      <c r="DI138" s="69"/>
      <c r="DJ138" s="69"/>
      <c r="DK138" s="3"/>
      <c r="DL138" s="3"/>
      <c r="DM138" s="3"/>
      <c r="DN138" s="3"/>
      <c r="DO138" s="3"/>
      <c r="DP138" s="3"/>
      <c r="DQ138" s="3"/>
      <c r="DR138" s="3"/>
      <c r="DS138" s="3"/>
      <c r="DT138" s="3"/>
      <c r="DU138" s="3"/>
    </row>
    <row r="139" ht="15.75" customHeight="1">
      <c r="A139" s="99">
        <v>3.0</v>
      </c>
      <c r="B139" s="100" t="s">
        <v>265</v>
      </c>
      <c r="C139" s="101" t="s">
        <v>54</v>
      </c>
      <c r="D139" s="102" t="s">
        <v>51</v>
      </c>
      <c r="E139" s="102">
        <v>24.0</v>
      </c>
      <c r="F139" s="102">
        <v>16.0</v>
      </c>
      <c r="G139" s="6">
        <v>44096.0</v>
      </c>
      <c r="H139" s="6">
        <v>44097.0</v>
      </c>
      <c r="I139" s="111">
        <v>1.0</v>
      </c>
      <c r="J139" s="111">
        <v>1.0</v>
      </c>
      <c r="K139" s="111">
        <v>1.0</v>
      </c>
      <c r="L139" s="111">
        <v>1.0</v>
      </c>
      <c r="M139" s="111">
        <v>1.0</v>
      </c>
      <c r="N139" s="111">
        <v>1.0</v>
      </c>
      <c r="O139" s="111">
        <v>1.0</v>
      </c>
      <c r="P139" s="111">
        <v>1.0</v>
      </c>
      <c r="Q139" s="111">
        <v>1.0</v>
      </c>
      <c r="R139" s="111">
        <v>1.0</v>
      </c>
      <c r="S139" s="111">
        <v>1.0</v>
      </c>
      <c r="T139" s="111">
        <v>1.0</v>
      </c>
      <c r="U139" s="111">
        <v>1.0</v>
      </c>
      <c r="V139" s="111">
        <v>1.0</v>
      </c>
      <c r="W139" s="111">
        <v>1.0</v>
      </c>
      <c r="X139" s="111">
        <v>1.0</v>
      </c>
      <c r="Y139" s="111">
        <v>1.0</v>
      </c>
      <c r="Z139" s="111">
        <v>1.0</v>
      </c>
      <c r="AA139" s="111">
        <v>1.0</v>
      </c>
      <c r="AB139" s="111">
        <v>1.0</v>
      </c>
      <c r="AC139" s="111">
        <v>0.2</v>
      </c>
      <c r="AD139" s="111"/>
      <c r="AE139" s="111"/>
      <c r="AF139" s="111"/>
      <c r="AG139" s="111"/>
      <c r="AH139" s="111"/>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c r="BI139" s="69"/>
      <c r="BJ139" s="69"/>
      <c r="BK139" s="69"/>
      <c r="BL139" s="69"/>
      <c r="BM139" s="69"/>
      <c r="BN139" s="69"/>
      <c r="BO139" s="69"/>
      <c r="BP139" s="69"/>
      <c r="BQ139" s="69"/>
      <c r="BR139" s="69"/>
      <c r="BS139" s="69"/>
      <c r="BT139" s="69"/>
      <c r="BU139" s="69"/>
      <c r="BV139" s="69"/>
      <c r="BW139" s="69"/>
      <c r="BX139" s="69"/>
      <c r="BY139" s="69"/>
      <c r="BZ139" s="69"/>
      <c r="CA139" s="69"/>
      <c r="CB139" s="69"/>
      <c r="CC139" s="69"/>
      <c r="CD139" s="69"/>
      <c r="CE139" s="69"/>
      <c r="CF139" s="69"/>
      <c r="CG139" s="69"/>
      <c r="CH139" s="69"/>
      <c r="CI139" s="69"/>
      <c r="CJ139" s="69"/>
      <c r="CK139" s="69"/>
      <c r="CL139" s="69"/>
      <c r="CM139" s="69"/>
      <c r="CN139" s="69"/>
      <c r="CO139" s="69"/>
      <c r="CP139" s="69"/>
      <c r="CQ139" s="69"/>
      <c r="CR139" s="69"/>
      <c r="CS139" s="69"/>
      <c r="CT139" s="69"/>
      <c r="CU139" s="69"/>
      <c r="CV139" s="69"/>
      <c r="CW139" s="69"/>
      <c r="CX139" s="69"/>
      <c r="CY139" s="69"/>
      <c r="CZ139" s="69"/>
      <c r="DA139" s="69"/>
      <c r="DB139" s="69"/>
      <c r="DC139" s="69"/>
      <c r="DD139" s="69"/>
      <c r="DE139" s="69"/>
      <c r="DF139" s="69"/>
      <c r="DG139" s="69"/>
      <c r="DH139" s="69"/>
      <c r="DI139" s="69"/>
      <c r="DJ139" s="69"/>
      <c r="DK139" s="3"/>
      <c r="DL139" s="3"/>
      <c r="DM139" s="3"/>
      <c r="DN139" s="3"/>
      <c r="DO139" s="3"/>
      <c r="DP139" s="3"/>
      <c r="DQ139" s="3"/>
      <c r="DR139" s="3"/>
      <c r="DS139" s="3"/>
      <c r="DT139" s="3"/>
      <c r="DU139" s="3"/>
    </row>
    <row r="140" ht="15.75" customHeight="1">
      <c r="A140" s="99">
        <v>4.0</v>
      </c>
      <c r="B140" s="100" t="s">
        <v>266</v>
      </c>
      <c r="C140" s="101" t="s">
        <v>54</v>
      </c>
      <c r="D140" s="102" t="s">
        <v>51</v>
      </c>
      <c r="E140" s="102">
        <v>16.0</v>
      </c>
      <c r="F140" s="102">
        <v>12.0</v>
      </c>
      <c r="G140" s="6">
        <v>44104.0</v>
      </c>
      <c r="H140" s="6">
        <v>44105.0</v>
      </c>
      <c r="I140" s="111">
        <v>1.0</v>
      </c>
      <c r="J140" s="111">
        <v>1.0</v>
      </c>
      <c r="K140" s="111">
        <v>1.0</v>
      </c>
      <c r="L140" s="111">
        <v>1.0</v>
      </c>
      <c r="M140" s="111">
        <v>1.0</v>
      </c>
      <c r="N140" s="111">
        <v>1.0</v>
      </c>
      <c r="O140" s="111">
        <v>1.0</v>
      </c>
      <c r="P140" s="111">
        <v>1.0</v>
      </c>
      <c r="Q140" s="111">
        <v>1.0</v>
      </c>
      <c r="R140" s="111">
        <v>1.0</v>
      </c>
      <c r="S140" s="111">
        <v>1.0</v>
      </c>
      <c r="T140" s="111">
        <v>1.0</v>
      </c>
      <c r="U140" s="111">
        <v>1.0</v>
      </c>
      <c r="V140" s="111">
        <v>0.4</v>
      </c>
      <c r="W140" s="111"/>
      <c r="X140" s="111"/>
      <c r="Y140" s="111"/>
      <c r="Z140" s="111"/>
      <c r="AA140" s="111"/>
      <c r="AB140" s="111"/>
      <c r="AC140" s="111"/>
      <c r="AD140" s="111"/>
      <c r="AE140" s="111"/>
      <c r="AF140" s="111"/>
      <c r="AG140" s="111"/>
      <c r="AH140" s="111"/>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c r="BI140" s="69"/>
      <c r="BJ140" s="69"/>
      <c r="BK140" s="69"/>
      <c r="BL140" s="69"/>
      <c r="BM140" s="69"/>
      <c r="BN140" s="69"/>
      <c r="BO140" s="69"/>
      <c r="BP140" s="69"/>
      <c r="BQ140" s="69"/>
      <c r="BR140" s="69"/>
      <c r="BS140" s="69"/>
      <c r="BT140" s="69"/>
      <c r="BU140" s="69"/>
      <c r="BV140" s="69"/>
      <c r="BW140" s="69"/>
      <c r="BX140" s="69"/>
      <c r="BY140" s="69"/>
      <c r="BZ140" s="69"/>
      <c r="CA140" s="69"/>
      <c r="CB140" s="69"/>
      <c r="CC140" s="69"/>
      <c r="CD140" s="69"/>
      <c r="CE140" s="69"/>
      <c r="CF140" s="69"/>
      <c r="CG140" s="69"/>
      <c r="CH140" s="69"/>
      <c r="CI140" s="69"/>
      <c r="CJ140" s="69"/>
      <c r="CK140" s="69"/>
      <c r="CL140" s="69"/>
      <c r="CM140" s="69"/>
      <c r="CN140" s="69"/>
      <c r="CO140" s="69"/>
      <c r="CP140" s="69"/>
      <c r="CQ140" s="69"/>
      <c r="CR140" s="69"/>
      <c r="CS140" s="69"/>
      <c r="CT140" s="69"/>
      <c r="CU140" s="69"/>
      <c r="CV140" s="69"/>
      <c r="CW140" s="69"/>
      <c r="CX140" s="69"/>
      <c r="CY140" s="69"/>
      <c r="CZ140" s="69"/>
      <c r="DA140" s="69"/>
      <c r="DB140" s="69"/>
      <c r="DC140" s="69"/>
      <c r="DD140" s="69"/>
      <c r="DE140" s="69"/>
      <c r="DF140" s="69"/>
      <c r="DG140" s="69"/>
      <c r="DH140" s="69"/>
      <c r="DI140" s="69"/>
      <c r="DJ140" s="69"/>
      <c r="DK140" s="3"/>
      <c r="DL140" s="3"/>
      <c r="DM140" s="3"/>
      <c r="DN140" s="3"/>
      <c r="DO140" s="3"/>
      <c r="DP140" s="3"/>
      <c r="DQ140" s="3"/>
      <c r="DR140" s="3"/>
      <c r="DS140" s="3"/>
      <c r="DT140" s="3"/>
      <c r="DU140" s="3"/>
    </row>
    <row r="141" ht="19.5" customHeight="1">
      <c r="A141" s="108" t="s">
        <v>45</v>
      </c>
      <c r="B141" s="50"/>
      <c r="C141" s="51"/>
      <c r="D141" s="101"/>
      <c r="E141" s="109">
        <f t="shared" ref="E141:F141" si="9">SUM(E137:E140)</f>
        <v>88</v>
      </c>
      <c r="F141" s="109">
        <f t="shared" si="9"/>
        <v>70</v>
      </c>
      <c r="G141" s="110"/>
      <c r="H141" s="110"/>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c r="BI141" s="69"/>
      <c r="BJ141" s="69"/>
      <c r="BK141" s="69"/>
      <c r="BL141" s="69"/>
      <c r="BM141" s="69"/>
      <c r="BN141" s="69"/>
      <c r="BO141" s="69"/>
      <c r="BP141" s="69"/>
      <c r="BQ141" s="69"/>
      <c r="BR141" s="69"/>
      <c r="BS141" s="69"/>
      <c r="BT141" s="69"/>
      <c r="BU141" s="69"/>
      <c r="BV141" s="69"/>
      <c r="BW141" s="69"/>
      <c r="BX141" s="69"/>
      <c r="BY141" s="69"/>
      <c r="BZ141" s="69"/>
      <c r="CA141" s="69"/>
      <c r="CB141" s="69"/>
      <c r="CC141" s="69"/>
      <c r="CD141" s="69"/>
      <c r="CE141" s="69"/>
      <c r="CF141" s="69"/>
      <c r="CG141" s="69"/>
      <c r="CH141" s="69"/>
      <c r="CI141" s="69"/>
      <c r="CJ141" s="69"/>
      <c r="CK141" s="69"/>
      <c r="CL141" s="69"/>
      <c r="CM141" s="69"/>
      <c r="CN141" s="69"/>
      <c r="CO141" s="69"/>
      <c r="CP141" s="69"/>
      <c r="CQ141" s="69"/>
      <c r="CR141" s="69"/>
      <c r="CS141" s="69"/>
      <c r="CT141" s="69"/>
      <c r="CU141" s="69"/>
      <c r="CV141" s="69"/>
      <c r="CW141" s="69"/>
      <c r="CX141" s="69"/>
      <c r="CY141" s="69"/>
      <c r="CZ141" s="69"/>
      <c r="DA141" s="69"/>
      <c r="DB141" s="69"/>
      <c r="DC141" s="69"/>
      <c r="DD141" s="69"/>
      <c r="DE141" s="69"/>
      <c r="DF141" s="69"/>
      <c r="DG141" s="69"/>
      <c r="DH141" s="69"/>
      <c r="DI141" s="69"/>
      <c r="DJ141" s="69"/>
      <c r="DK141" s="112"/>
      <c r="DL141" s="112"/>
      <c r="DM141" s="112"/>
      <c r="DN141" s="112"/>
      <c r="DO141" s="112"/>
      <c r="DP141" s="112"/>
      <c r="DQ141" s="112"/>
      <c r="DR141" s="112"/>
      <c r="DS141" s="112"/>
      <c r="DT141" s="112"/>
      <c r="DU141" s="112"/>
    </row>
    <row r="142" ht="15.75" customHeight="1">
      <c r="A142" s="69"/>
      <c r="B142" s="69"/>
      <c r="C142" s="69"/>
      <c r="D142" s="4"/>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c r="BI142" s="69"/>
      <c r="BJ142" s="69"/>
      <c r="BK142" s="69"/>
      <c r="BL142" s="69"/>
      <c r="BM142" s="69"/>
      <c r="BN142" s="69"/>
      <c r="BO142" s="69"/>
      <c r="BP142" s="69"/>
      <c r="BQ142" s="69"/>
      <c r="BR142" s="69"/>
      <c r="BS142" s="69"/>
      <c r="BT142" s="69"/>
      <c r="BU142" s="69"/>
      <c r="BV142" s="69"/>
      <c r="BW142" s="69"/>
      <c r="BX142" s="69"/>
      <c r="BY142" s="69"/>
      <c r="BZ142" s="69"/>
      <c r="CA142" s="69"/>
      <c r="CB142" s="69"/>
      <c r="CC142" s="69"/>
      <c r="CD142" s="69"/>
      <c r="CE142" s="69"/>
      <c r="CF142" s="69"/>
      <c r="CG142" s="69"/>
      <c r="CH142" s="69"/>
      <c r="CI142" s="69"/>
      <c r="CJ142" s="69"/>
      <c r="CK142" s="69"/>
      <c r="CL142" s="69"/>
      <c r="CM142" s="69"/>
      <c r="CN142" s="69"/>
      <c r="CO142" s="69"/>
      <c r="CP142" s="69"/>
      <c r="CQ142" s="69"/>
      <c r="CR142" s="69"/>
      <c r="CS142" s="69"/>
      <c r="CT142" s="69"/>
      <c r="CU142" s="69"/>
      <c r="CV142" s="69"/>
      <c r="CW142" s="69"/>
      <c r="CX142" s="69"/>
      <c r="CY142" s="69"/>
      <c r="CZ142" s="69"/>
      <c r="DA142" s="69"/>
      <c r="DB142" s="69"/>
      <c r="DC142" s="69"/>
      <c r="DD142" s="69"/>
      <c r="DE142" s="69"/>
      <c r="DF142" s="69"/>
      <c r="DG142" s="69"/>
      <c r="DH142" s="69"/>
      <c r="DI142" s="69"/>
      <c r="DJ142" s="69"/>
      <c r="DK142" s="69"/>
      <c r="DL142" s="69"/>
      <c r="DM142" s="69"/>
      <c r="DN142" s="69"/>
      <c r="DO142" s="69"/>
      <c r="DP142" s="69"/>
      <c r="DQ142" s="69"/>
      <c r="DR142" s="69"/>
      <c r="DS142" s="69"/>
      <c r="DT142" s="69"/>
      <c r="DU142" s="69"/>
    </row>
    <row r="143" ht="15.75" customHeight="1">
      <c r="A143" s="118" t="s">
        <v>267</v>
      </c>
      <c r="B143" s="67"/>
      <c r="C143" s="67"/>
      <c r="D143" s="67"/>
      <c r="E143" s="67"/>
      <c r="F143" s="67"/>
      <c r="G143" s="67"/>
      <c r="H143" s="68"/>
      <c r="I143" s="94"/>
      <c r="J143" s="94"/>
      <c r="K143" s="94"/>
      <c r="L143" s="94"/>
      <c r="M143" s="94"/>
      <c r="N143" s="94"/>
      <c r="O143" s="94"/>
      <c r="P143" s="94"/>
      <c r="Q143" s="94"/>
      <c r="R143" s="94"/>
      <c r="S143" s="94"/>
      <c r="T143" s="94"/>
      <c r="U143" s="94"/>
      <c r="V143" s="94"/>
      <c r="W143" s="94"/>
      <c r="X143" s="94"/>
      <c r="Y143" s="94"/>
      <c r="Z143" s="94"/>
      <c r="AA143" s="94"/>
      <c r="AB143" s="94"/>
      <c r="AC143" s="94"/>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c r="BI143" s="69"/>
      <c r="BJ143" s="69"/>
      <c r="BK143" s="69"/>
      <c r="BL143" s="69"/>
      <c r="BM143" s="69"/>
      <c r="BN143" s="69"/>
      <c r="BO143" s="69"/>
      <c r="BP143" s="69"/>
      <c r="BQ143" s="69"/>
      <c r="BR143" s="69"/>
      <c r="BS143" s="69"/>
      <c r="BT143" s="69"/>
      <c r="BU143" s="69"/>
      <c r="BV143" s="69"/>
      <c r="BW143" s="69"/>
      <c r="BX143" s="69"/>
      <c r="BY143" s="69"/>
      <c r="BZ143" s="69"/>
      <c r="CA143" s="69"/>
      <c r="CB143" s="69"/>
      <c r="CC143" s="69"/>
      <c r="CD143" s="69"/>
      <c r="CE143" s="69"/>
      <c r="CF143" s="69"/>
      <c r="CG143" s="69"/>
      <c r="CH143" s="69"/>
      <c r="CI143" s="69"/>
      <c r="CJ143" s="69"/>
      <c r="CK143" s="69"/>
      <c r="CL143" s="69"/>
      <c r="CM143" s="69"/>
      <c r="CN143" s="69"/>
      <c r="CO143" s="69"/>
      <c r="CP143" s="69"/>
      <c r="CQ143" s="69"/>
      <c r="CR143" s="69"/>
      <c r="CS143" s="69"/>
      <c r="CT143" s="69"/>
      <c r="CU143" s="69"/>
      <c r="CV143" s="69"/>
      <c r="CW143" s="69"/>
      <c r="CX143" s="69"/>
      <c r="CY143" s="69"/>
      <c r="CZ143" s="69"/>
      <c r="DA143" s="69"/>
      <c r="DB143" s="69"/>
      <c r="DC143" s="69"/>
      <c r="DD143" s="69"/>
      <c r="DE143" s="69"/>
      <c r="DF143" s="69"/>
      <c r="DG143" s="69"/>
      <c r="DH143" s="69"/>
      <c r="DI143" s="69"/>
      <c r="DJ143" s="3"/>
      <c r="DK143" s="3"/>
      <c r="DL143" s="3"/>
      <c r="DM143" s="3"/>
      <c r="DN143" s="3"/>
      <c r="DO143" s="3"/>
      <c r="DP143" s="3"/>
      <c r="DQ143" s="3"/>
      <c r="DR143" s="3"/>
      <c r="DS143" s="3"/>
      <c r="DT143" s="3"/>
      <c r="DU143" s="3"/>
    </row>
    <row r="144" ht="15.75" customHeight="1">
      <c r="A144" s="95" t="s">
        <v>6</v>
      </c>
      <c r="B144" s="96" t="s">
        <v>7</v>
      </c>
      <c r="C144" s="97" t="s">
        <v>8</v>
      </c>
      <c r="D144" s="96" t="s">
        <v>9</v>
      </c>
      <c r="E144" s="96" t="s">
        <v>10</v>
      </c>
      <c r="F144" s="96" t="s">
        <v>11</v>
      </c>
      <c r="G144" s="96" t="s">
        <v>12</v>
      </c>
      <c r="H144" s="96" t="s">
        <v>13</v>
      </c>
      <c r="I144" s="98">
        <v>44123.0</v>
      </c>
      <c r="J144" s="98">
        <v>44120.0</v>
      </c>
      <c r="K144" s="98">
        <v>44119.0</v>
      </c>
      <c r="L144" s="98">
        <v>44118.0</v>
      </c>
      <c r="M144" s="98">
        <v>44117.0</v>
      </c>
      <c r="N144" s="98">
        <v>44116.0</v>
      </c>
      <c r="O144" s="98">
        <v>44114.0</v>
      </c>
      <c r="P144" s="98">
        <v>44113.0</v>
      </c>
      <c r="Q144" s="98">
        <v>44112.0</v>
      </c>
      <c r="R144" s="98">
        <v>44111.0</v>
      </c>
      <c r="S144" s="98">
        <v>44110.0</v>
      </c>
      <c r="T144" s="98">
        <v>44109.0</v>
      </c>
      <c r="U144" s="98">
        <v>44105.0</v>
      </c>
      <c r="V144" s="98">
        <v>44104.0</v>
      </c>
      <c r="W144" s="98">
        <v>44103.0</v>
      </c>
      <c r="X144" s="98">
        <v>44102.0</v>
      </c>
      <c r="Y144" s="98">
        <v>44100.0</v>
      </c>
      <c r="Z144" s="98">
        <v>44099.0</v>
      </c>
      <c r="AA144" s="98">
        <v>44098.0</v>
      </c>
      <c r="AB144" s="98">
        <v>44097.0</v>
      </c>
      <c r="AC144" s="98">
        <v>44096.0</v>
      </c>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c r="BI144" s="69"/>
      <c r="BJ144" s="69"/>
      <c r="BK144" s="69"/>
      <c r="BL144" s="69"/>
      <c r="BM144" s="69"/>
      <c r="BN144" s="69"/>
      <c r="BO144" s="69"/>
      <c r="BP144" s="69"/>
      <c r="BQ144" s="69"/>
      <c r="BR144" s="69"/>
      <c r="BS144" s="69"/>
      <c r="BT144" s="69"/>
      <c r="BU144" s="69"/>
      <c r="BV144" s="69"/>
      <c r="BW144" s="69"/>
      <c r="BX144" s="69"/>
      <c r="BY144" s="69"/>
      <c r="BZ144" s="69"/>
      <c r="CA144" s="69"/>
      <c r="CB144" s="69"/>
      <c r="CC144" s="69"/>
      <c r="CD144" s="69"/>
      <c r="CE144" s="69"/>
      <c r="CF144" s="69"/>
      <c r="CG144" s="69"/>
      <c r="CH144" s="69"/>
      <c r="CI144" s="69"/>
      <c r="CJ144" s="69"/>
      <c r="CK144" s="69"/>
      <c r="CL144" s="69"/>
      <c r="CM144" s="69"/>
      <c r="CN144" s="69"/>
      <c r="CO144" s="69"/>
      <c r="CP144" s="69"/>
      <c r="CQ144" s="69"/>
      <c r="CR144" s="69"/>
      <c r="CS144" s="69"/>
      <c r="CT144" s="69"/>
      <c r="CU144" s="69"/>
      <c r="CV144" s="69"/>
      <c r="CW144" s="69"/>
      <c r="CX144" s="69"/>
      <c r="CY144" s="69"/>
      <c r="CZ144" s="69"/>
      <c r="DA144" s="69"/>
      <c r="DB144" s="69"/>
      <c r="DC144" s="69"/>
      <c r="DD144" s="69"/>
      <c r="DE144" s="69"/>
      <c r="DF144" s="69"/>
      <c r="DG144" s="69"/>
      <c r="DH144" s="69"/>
      <c r="DI144" s="69"/>
      <c r="DJ144" s="3"/>
      <c r="DK144" s="3"/>
      <c r="DL144" s="3"/>
      <c r="DM144" s="3"/>
      <c r="DN144" s="3"/>
      <c r="DO144" s="3"/>
      <c r="DP144" s="3"/>
      <c r="DQ144" s="3"/>
      <c r="DR144" s="3"/>
      <c r="DS144" s="3"/>
      <c r="DT144" s="3"/>
      <c r="DU144" s="3"/>
    </row>
    <row r="145" ht="15.75" customHeight="1">
      <c r="A145" s="99">
        <v>1.0</v>
      </c>
      <c r="B145" s="100" t="s">
        <v>259</v>
      </c>
      <c r="C145" s="101" t="s">
        <v>86</v>
      </c>
      <c r="D145" s="102" t="s">
        <v>42</v>
      </c>
      <c r="E145" s="102">
        <v>16.0</v>
      </c>
      <c r="F145" s="102">
        <v>16.0</v>
      </c>
      <c r="G145" s="6">
        <v>44098.0</v>
      </c>
      <c r="H145" s="6">
        <v>44099.0</v>
      </c>
      <c r="I145" s="111">
        <v>1.0</v>
      </c>
      <c r="J145" s="111">
        <v>1.0</v>
      </c>
      <c r="K145" s="111">
        <v>1.0</v>
      </c>
      <c r="L145" s="111">
        <v>1.0</v>
      </c>
      <c r="M145" s="111">
        <v>1.0</v>
      </c>
      <c r="N145" s="111">
        <v>1.0</v>
      </c>
      <c r="O145" s="111">
        <v>1.0</v>
      </c>
      <c r="P145" s="111">
        <v>1.0</v>
      </c>
      <c r="Q145" s="111">
        <v>1.0</v>
      </c>
      <c r="R145" s="111">
        <v>1.0</v>
      </c>
      <c r="S145" s="111">
        <v>1.0</v>
      </c>
      <c r="T145" s="111">
        <v>1.0</v>
      </c>
      <c r="U145" s="111">
        <v>1.0</v>
      </c>
      <c r="V145" s="111">
        <v>1.0</v>
      </c>
      <c r="W145" s="111">
        <v>1.0</v>
      </c>
      <c r="X145" s="111">
        <v>1.0</v>
      </c>
      <c r="Y145" s="111">
        <v>1.0</v>
      </c>
      <c r="Z145" s="111">
        <v>1.0</v>
      </c>
      <c r="AA145" s="111">
        <v>0.5</v>
      </c>
      <c r="AB145" s="111"/>
      <c r="AC145" s="111"/>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c r="BI145" s="69"/>
      <c r="BJ145" s="69"/>
      <c r="BK145" s="69"/>
      <c r="BL145" s="69"/>
      <c r="BM145" s="69"/>
      <c r="BN145" s="69"/>
      <c r="BO145" s="69"/>
      <c r="BP145" s="69"/>
      <c r="BQ145" s="69"/>
      <c r="BR145" s="69"/>
      <c r="BS145" s="69"/>
      <c r="BT145" s="69"/>
      <c r="BU145" s="69"/>
      <c r="BV145" s="69"/>
      <c r="BW145" s="69"/>
      <c r="BX145" s="69"/>
      <c r="BY145" s="69"/>
      <c r="BZ145" s="69"/>
      <c r="CA145" s="69"/>
      <c r="CB145" s="69"/>
      <c r="CC145" s="69"/>
      <c r="CD145" s="69"/>
      <c r="CE145" s="69"/>
      <c r="CF145" s="69"/>
      <c r="CG145" s="69"/>
      <c r="CH145" s="69"/>
      <c r="CI145" s="69"/>
      <c r="CJ145" s="69"/>
      <c r="CK145" s="69"/>
      <c r="CL145" s="69"/>
      <c r="CM145" s="69"/>
      <c r="CN145" s="69"/>
      <c r="CO145" s="69"/>
      <c r="CP145" s="69"/>
      <c r="CQ145" s="69"/>
      <c r="CR145" s="69"/>
      <c r="CS145" s="69"/>
      <c r="CT145" s="69"/>
      <c r="CU145" s="69"/>
      <c r="CV145" s="69"/>
      <c r="CW145" s="69"/>
      <c r="CX145" s="69"/>
      <c r="CY145" s="69"/>
      <c r="CZ145" s="69"/>
      <c r="DA145" s="69"/>
      <c r="DB145" s="69"/>
      <c r="DC145" s="69"/>
      <c r="DD145" s="69"/>
      <c r="DE145" s="69"/>
      <c r="DF145" s="69"/>
      <c r="DG145" s="69"/>
      <c r="DH145" s="69"/>
      <c r="DI145" s="69"/>
      <c r="DJ145" s="3"/>
      <c r="DK145" s="3"/>
      <c r="DL145" s="3"/>
      <c r="DM145" s="3"/>
      <c r="DN145" s="3"/>
      <c r="DO145" s="3"/>
      <c r="DP145" s="3"/>
      <c r="DQ145" s="3"/>
      <c r="DR145" s="3"/>
      <c r="DS145" s="3"/>
      <c r="DT145" s="3"/>
      <c r="DU145" s="3"/>
    </row>
    <row r="146" ht="15.75" customHeight="1">
      <c r="A146" s="99">
        <v>2.0</v>
      </c>
      <c r="B146" s="100" t="s">
        <v>260</v>
      </c>
      <c r="C146" s="101" t="s">
        <v>86</v>
      </c>
      <c r="D146" s="102" t="s">
        <v>55</v>
      </c>
      <c r="E146" s="102">
        <v>16.0</v>
      </c>
      <c r="F146" s="102">
        <v>16.0</v>
      </c>
      <c r="G146" s="6">
        <v>44098.0</v>
      </c>
      <c r="H146" s="6">
        <v>44099.0</v>
      </c>
      <c r="I146" s="111">
        <v>1.0</v>
      </c>
      <c r="J146" s="111">
        <v>1.0</v>
      </c>
      <c r="K146" s="111">
        <v>1.0</v>
      </c>
      <c r="L146" s="111">
        <v>1.0</v>
      </c>
      <c r="M146" s="111">
        <v>1.0</v>
      </c>
      <c r="N146" s="111">
        <v>1.0</v>
      </c>
      <c r="O146" s="111">
        <v>1.0</v>
      </c>
      <c r="P146" s="111">
        <v>1.0</v>
      </c>
      <c r="Q146" s="111">
        <v>1.0</v>
      </c>
      <c r="R146" s="111">
        <v>1.0</v>
      </c>
      <c r="S146" s="111">
        <v>1.0</v>
      </c>
      <c r="T146" s="111">
        <v>1.0</v>
      </c>
      <c r="U146" s="111">
        <v>1.0</v>
      </c>
      <c r="V146" s="111">
        <v>1.0</v>
      </c>
      <c r="W146" s="111">
        <v>1.0</v>
      </c>
      <c r="X146" s="111">
        <v>1.0</v>
      </c>
      <c r="Y146" s="111">
        <v>1.0</v>
      </c>
      <c r="Z146" s="111">
        <v>1.0</v>
      </c>
      <c r="AA146" s="111">
        <v>0.5</v>
      </c>
      <c r="AB146" s="111"/>
      <c r="AC146" s="111"/>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c r="BI146" s="69"/>
      <c r="BJ146" s="69"/>
      <c r="BK146" s="69"/>
      <c r="BL146" s="69"/>
      <c r="BM146" s="69"/>
      <c r="BN146" s="69"/>
      <c r="BO146" s="69"/>
      <c r="BP146" s="69"/>
      <c r="BQ146" s="69"/>
      <c r="BR146" s="69"/>
      <c r="BS146" s="69"/>
      <c r="BT146" s="69"/>
      <c r="BU146" s="69"/>
      <c r="BV146" s="69"/>
      <c r="BW146" s="69"/>
      <c r="BX146" s="69"/>
      <c r="BY146" s="69"/>
      <c r="BZ146" s="69"/>
      <c r="CA146" s="69"/>
      <c r="CB146" s="69"/>
      <c r="CC146" s="69"/>
      <c r="CD146" s="69"/>
      <c r="CE146" s="69"/>
      <c r="CF146" s="69"/>
      <c r="CG146" s="69"/>
      <c r="CH146" s="69"/>
      <c r="CI146" s="69"/>
      <c r="CJ146" s="69"/>
      <c r="CK146" s="69"/>
      <c r="CL146" s="69"/>
      <c r="CM146" s="69"/>
      <c r="CN146" s="69"/>
      <c r="CO146" s="69"/>
      <c r="CP146" s="69"/>
      <c r="CQ146" s="69"/>
      <c r="CR146" s="69"/>
      <c r="CS146" s="69"/>
      <c r="CT146" s="69"/>
      <c r="CU146" s="69"/>
      <c r="CV146" s="69"/>
      <c r="CW146" s="69"/>
      <c r="CX146" s="69"/>
      <c r="CY146" s="69"/>
      <c r="CZ146" s="69"/>
      <c r="DA146" s="69"/>
      <c r="DB146" s="69"/>
      <c r="DC146" s="69"/>
      <c r="DD146" s="69"/>
      <c r="DE146" s="69"/>
      <c r="DF146" s="69"/>
      <c r="DG146" s="69"/>
      <c r="DH146" s="69"/>
      <c r="DI146" s="69"/>
      <c r="DJ146" s="3"/>
      <c r="DK146" s="3"/>
      <c r="DL146" s="3"/>
      <c r="DM146" s="3"/>
      <c r="DN146" s="3"/>
      <c r="DO146" s="3"/>
      <c r="DP146" s="3"/>
      <c r="DQ146" s="3"/>
      <c r="DR146" s="3"/>
      <c r="DS146" s="3"/>
      <c r="DT146" s="3"/>
      <c r="DU146" s="3"/>
    </row>
    <row r="147" ht="15.75" customHeight="1">
      <c r="A147" s="99">
        <v>3.0</v>
      </c>
      <c r="B147" s="100" t="s">
        <v>268</v>
      </c>
      <c r="C147" s="101" t="s">
        <v>86</v>
      </c>
      <c r="D147" s="102" t="s">
        <v>51</v>
      </c>
      <c r="E147" s="102">
        <v>8.0</v>
      </c>
      <c r="F147" s="102">
        <v>8.0</v>
      </c>
      <c r="G147" s="6">
        <v>44096.0</v>
      </c>
      <c r="H147" s="6">
        <v>44097.0</v>
      </c>
      <c r="I147" s="111">
        <v>1.0</v>
      </c>
      <c r="J147" s="111">
        <v>1.0</v>
      </c>
      <c r="K147" s="111">
        <v>1.0</v>
      </c>
      <c r="L147" s="111">
        <v>1.0</v>
      </c>
      <c r="M147" s="111">
        <v>1.0</v>
      </c>
      <c r="N147" s="111">
        <v>1.0</v>
      </c>
      <c r="O147" s="111">
        <v>1.0</v>
      </c>
      <c r="P147" s="111">
        <v>1.0</v>
      </c>
      <c r="Q147" s="111">
        <v>1.0</v>
      </c>
      <c r="R147" s="111">
        <v>1.0</v>
      </c>
      <c r="S147" s="111">
        <v>1.0</v>
      </c>
      <c r="T147" s="111">
        <v>1.0</v>
      </c>
      <c r="U147" s="111">
        <v>1.0</v>
      </c>
      <c r="V147" s="111">
        <v>1.0</v>
      </c>
      <c r="W147" s="111">
        <v>1.0</v>
      </c>
      <c r="X147" s="111">
        <v>1.0</v>
      </c>
      <c r="Y147" s="111">
        <v>1.0</v>
      </c>
      <c r="Z147" s="111">
        <v>1.0</v>
      </c>
      <c r="AA147" s="111">
        <v>1.0</v>
      </c>
      <c r="AB147" s="111">
        <v>1.0</v>
      </c>
      <c r="AC147" s="111">
        <v>0.5</v>
      </c>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c r="BI147" s="69"/>
      <c r="BJ147" s="69"/>
      <c r="BK147" s="69"/>
      <c r="BL147" s="69"/>
      <c r="BM147" s="69"/>
      <c r="BN147" s="69"/>
      <c r="BO147" s="69"/>
      <c r="BP147" s="69"/>
      <c r="BQ147" s="69"/>
      <c r="BR147" s="69"/>
      <c r="BS147" s="69"/>
      <c r="BT147" s="69"/>
      <c r="BU147" s="69"/>
      <c r="BV147" s="69"/>
      <c r="BW147" s="69"/>
      <c r="BX147" s="69"/>
      <c r="BY147" s="69"/>
      <c r="BZ147" s="69"/>
      <c r="CA147" s="69"/>
      <c r="CB147" s="69"/>
      <c r="CC147" s="69"/>
      <c r="CD147" s="69"/>
      <c r="CE147" s="69"/>
      <c r="CF147" s="69"/>
      <c r="CG147" s="69"/>
      <c r="CH147" s="69"/>
      <c r="CI147" s="69"/>
      <c r="CJ147" s="69"/>
      <c r="CK147" s="69"/>
      <c r="CL147" s="69"/>
      <c r="CM147" s="69"/>
      <c r="CN147" s="69"/>
      <c r="CO147" s="69"/>
      <c r="CP147" s="69"/>
      <c r="CQ147" s="69"/>
      <c r="CR147" s="69"/>
      <c r="CS147" s="69"/>
      <c r="CT147" s="69"/>
      <c r="CU147" s="69"/>
      <c r="CV147" s="69"/>
      <c r="CW147" s="69"/>
      <c r="CX147" s="69"/>
      <c r="CY147" s="69"/>
      <c r="CZ147" s="69"/>
      <c r="DA147" s="69"/>
      <c r="DB147" s="69"/>
      <c r="DC147" s="69"/>
      <c r="DD147" s="69"/>
      <c r="DE147" s="69"/>
      <c r="DF147" s="69"/>
      <c r="DG147" s="69"/>
      <c r="DH147" s="69"/>
      <c r="DI147" s="69"/>
      <c r="DJ147" s="3"/>
      <c r="DK147" s="3"/>
      <c r="DL147" s="3"/>
      <c r="DM147" s="3"/>
      <c r="DN147" s="3"/>
      <c r="DO147" s="3"/>
      <c r="DP147" s="3"/>
      <c r="DQ147" s="3"/>
      <c r="DR147" s="3"/>
      <c r="DS147" s="3"/>
      <c r="DT147" s="3"/>
      <c r="DU147" s="3"/>
    </row>
    <row r="148" ht="15.75" customHeight="1">
      <c r="A148" s="99">
        <v>4.0</v>
      </c>
      <c r="B148" s="100" t="s">
        <v>261</v>
      </c>
      <c r="C148" s="101" t="s">
        <v>86</v>
      </c>
      <c r="D148" s="102" t="s">
        <v>51</v>
      </c>
      <c r="E148" s="102">
        <v>12.0</v>
      </c>
      <c r="F148" s="102">
        <v>12.0</v>
      </c>
      <c r="G148" s="6">
        <v>44099.0</v>
      </c>
      <c r="H148" s="6">
        <v>44102.0</v>
      </c>
      <c r="I148" s="111">
        <v>1.0</v>
      </c>
      <c r="J148" s="111">
        <v>1.0</v>
      </c>
      <c r="K148" s="111">
        <v>1.0</v>
      </c>
      <c r="L148" s="111">
        <v>1.0</v>
      </c>
      <c r="M148" s="111">
        <v>1.0</v>
      </c>
      <c r="N148" s="111">
        <v>1.0</v>
      </c>
      <c r="O148" s="111">
        <v>1.0</v>
      </c>
      <c r="P148" s="111">
        <v>1.0</v>
      </c>
      <c r="Q148" s="111">
        <v>1.0</v>
      </c>
      <c r="R148" s="111">
        <v>1.0</v>
      </c>
      <c r="S148" s="111">
        <v>1.0</v>
      </c>
      <c r="T148" s="111">
        <v>1.0</v>
      </c>
      <c r="U148" s="111">
        <v>1.0</v>
      </c>
      <c r="V148" s="111">
        <v>1.0</v>
      </c>
      <c r="W148" s="111">
        <v>1.0</v>
      </c>
      <c r="X148" s="111">
        <v>1.0</v>
      </c>
      <c r="Y148" s="111">
        <v>0.3</v>
      </c>
      <c r="Z148" s="111">
        <v>0.3</v>
      </c>
      <c r="AA148" s="111"/>
      <c r="AB148" s="111"/>
      <c r="AC148" s="111"/>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c r="BI148" s="69"/>
      <c r="BJ148" s="69"/>
      <c r="BK148" s="69"/>
      <c r="BL148" s="69"/>
      <c r="BM148" s="69"/>
      <c r="BN148" s="69"/>
      <c r="BO148" s="69"/>
      <c r="BP148" s="69"/>
      <c r="BQ148" s="69"/>
      <c r="BR148" s="69"/>
      <c r="BS148" s="69"/>
      <c r="BT148" s="69"/>
      <c r="BU148" s="69"/>
      <c r="BV148" s="69"/>
      <c r="BW148" s="69"/>
      <c r="BX148" s="69"/>
      <c r="BY148" s="69"/>
      <c r="BZ148" s="69"/>
      <c r="CA148" s="69"/>
      <c r="CB148" s="69"/>
      <c r="CC148" s="69"/>
      <c r="CD148" s="69"/>
      <c r="CE148" s="69"/>
      <c r="CF148" s="69"/>
      <c r="CG148" s="69"/>
      <c r="CH148" s="69"/>
      <c r="CI148" s="69"/>
      <c r="CJ148" s="69"/>
      <c r="CK148" s="69"/>
      <c r="CL148" s="69"/>
      <c r="CM148" s="69"/>
      <c r="CN148" s="69"/>
      <c r="CO148" s="69"/>
      <c r="CP148" s="69"/>
      <c r="CQ148" s="69"/>
      <c r="CR148" s="69"/>
      <c r="CS148" s="69"/>
      <c r="CT148" s="69"/>
      <c r="CU148" s="69"/>
      <c r="CV148" s="69"/>
      <c r="CW148" s="69"/>
      <c r="CX148" s="69"/>
      <c r="CY148" s="69"/>
      <c r="CZ148" s="69"/>
      <c r="DA148" s="69"/>
      <c r="DB148" s="69"/>
      <c r="DC148" s="69"/>
      <c r="DD148" s="69"/>
      <c r="DE148" s="69"/>
      <c r="DF148" s="69"/>
      <c r="DG148" s="69"/>
      <c r="DH148" s="69"/>
      <c r="DI148" s="69"/>
      <c r="DJ148" s="3"/>
      <c r="DK148" s="3"/>
      <c r="DL148" s="3"/>
      <c r="DM148" s="3"/>
      <c r="DN148" s="3"/>
      <c r="DO148" s="3"/>
      <c r="DP148" s="3"/>
      <c r="DQ148" s="3"/>
      <c r="DR148" s="3"/>
      <c r="DS148" s="3"/>
      <c r="DT148" s="3"/>
      <c r="DU148" s="3"/>
    </row>
    <row r="149" ht="15.0" customHeight="1">
      <c r="A149" s="108" t="s">
        <v>45</v>
      </c>
      <c r="B149" s="50"/>
      <c r="C149" s="51"/>
      <c r="D149" s="101"/>
      <c r="E149" s="109">
        <f t="shared" ref="E149:F149" si="10">SUM(E145:E148)</f>
        <v>52</v>
      </c>
      <c r="F149" s="109">
        <f t="shared" si="10"/>
        <v>52</v>
      </c>
      <c r="G149" s="110"/>
      <c r="H149" s="110"/>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c r="BI149" s="69"/>
      <c r="BJ149" s="69"/>
      <c r="BK149" s="69"/>
      <c r="BL149" s="69"/>
      <c r="BM149" s="69"/>
      <c r="BN149" s="69"/>
      <c r="BO149" s="69"/>
      <c r="BP149" s="69"/>
      <c r="BQ149" s="69"/>
      <c r="BR149" s="69"/>
      <c r="BS149" s="69"/>
      <c r="BT149" s="69"/>
      <c r="BU149" s="69"/>
      <c r="BV149" s="69"/>
      <c r="BW149" s="69"/>
      <c r="BX149" s="69"/>
      <c r="BY149" s="69"/>
      <c r="BZ149" s="69"/>
      <c r="CA149" s="69"/>
      <c r="CB149" s="69"/>
      <c r="CC149" s="69"/>
      <c r="CD149" s="69"/>
      <c r="CE149" s="69"/>
      <c r="CF149" s="69"/>
      <c r="CG149" s="69"/>
      <c r="CH149" s="69"/>
      <c r="CI149" s="69"/>
      <c r="CJ149" s="69"/>
      <c r="CK149" s="69"/>
      <c r="CL149" s="69"/>
      <c r="CM149" s="69"/>
      <c r="CN149" s="69"/>
      <c r="CO149" s="69"/>
      <c r="CP149" s="69"/>
      <c r="CQ149" s="69"/>
      <c r="CR149" s="69"/>
      <c r="CS149" s="69"/>
      <c r="CT149" s="69"/>
      <c r="CU149" s="69"/>
      <c r="CV149" s="69"/>
      <c r="CW149" s="69"/>
      <c r="CX149" s="69"/>
      <c r="CY149" s="69"/>
      <c r="CZ149" s="69"/>
      <c r="DA149" s="69"/>
      <c r="DB149" s="69"/>
      <c r="DC149" s="69"/>
      <c r="DD149" s="69"/>
      <c r="DE149" s="69"/>
      <c r="DF149" s="69"/>
      <c r="DG149" s="69"/>
      <c r="DH149" s="69"/>
      <c r="DI149" s="69"/>
      <c r="DJ149" s="112"/>
      <c r="DK149" s="112"/>
      <c r="DL149" s="112"/>
      <c r="DM149" s="112"/>
      <c r="DN149" s="112"/>
      <c r="DO149" s="112"/>
      <c r="DP149" s="112"/>
      <c r="DQ149" s="112"/>
      <c r="DR149" s="112"/>
      <c r="DS149" s="112"/>
      <c r="DT149" s="112"/>
      <c r="DU149" s="112"/>
    </row>
    <row r="150" ht="19.5" customHeight="1">
      <c r="A150" s="113" t="s">
        <v>166</v>
      </c>
      <c r="B150" s="50"/>
      <c r="C150" s="50"/>
      <c r="D150" s="50"/>
      <c r="E150" s="50"/>
      <c r="F150" s="50"/>
      <c r="G150" s="50"/>
      <c r="H150" s="50"/>
      <c r="I150" s="124">
        <v>44103.0</v>
      </c>
      <c r="J150" s="124"/>
      <c r="K150" s="124"/>
      <c r="L150" s="124"/>
      <c r="M150" s="124"/>
      <c r="N150" s="124"/>
      <c r="O150" s="124"/>
      <c r="P150" s="124"/>
      <c r="Q150" s="124"/>
      <c r="R150" s="124"/>
      <c r="S150" s="124"/>
      <c r="T150" s="124"/>
      <c r="U150" s="124"/>
      <c r="V150" s="124"/>
      <c r="W150" s="124"/>
      <c r="X150" s="124"/>
      <c r="Y150" s="124"/>
      <c r="Z150" s="124"/>
      <c r="AA150" s="124"/>
      <c r="AB150" s="124"/>
      <c r="AC150" s="124"/>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c r="BI150" s="69"/>
      <c r="BJ150" s="69"/>
      <c r="BK150" s="69"/>
      <c r="BL150" s="69"/>
      <c r="BM150" s="69"/>
      <c r="BN150" s="69"/>
      <c r="BO150" s="69"/>
      <c r="BP150" s="69"/>
      <c r="BQ150" s="69"/>
      <c r="BR150" s="69"/>
      <c r="BS150" s="69"/>
      <c r="BT150" s="69"/>
      <c r="BU150" s="69"/>
      <c r="BV150" s="69"/>
      <c r="BW150" s="69"/>
      <c r="BX150" s="69"/>
      <c r="BY150" s="69"/>
      <c r="BZ150" s="69"/>
      <c r="CA150" s="69"/>
      <c r="CB150" s="69"/>
      <c r="CC150" s="69"/>
      <c r="CD150" s="69"/>
      <c r="CE150" s="69"/>
      <c r="CF150" s="69"/>
      <c r="CG150" s="69"/>
      <c r="CH150" s="69"/>
      <c r="CI150" s="69"/>
      <c r="CJ150" s="69"/>
      <c r="CK150" s="69"/>
      <c r="CL150" s="69"/>
      <c r="CM150" s="69"/>
      <c r="CN150" s="69"/>
      <c r="CO150" s="69"/>
      <c r="CP150" s="69"/>
      <c r="CQ150" s="69"/>
      <c r="CR150" s="69"/>
      <c r="CS150" s="69"/>
      <c r="CT150" s="69"/>
      <c r="CU150" s="69"/>
      <c r="CV150" s="69"/>
      <c r="CW150" s="69"/>
      <c r="CX150" s="69"/>
      <c r="CY150" s="69"/>
      <c r="CZ150" s="69"/>
      <c r="DA150" s="69"/>
      <c r="DB150" s="69"/>
      <c r="DC150" s="69"/>
      <c r="DD150" s="69"/>
      <c r="DE150" s="69"/>
      <c r="DF150" s="69"/>
      <c r="DG150" s="69"/>
      <c r="DH150" s="69"/>
      <c r="DI150" s="69"/>
      <c r="DJ150" s="117"/>
      <c r="DK150" s="117"/>
      <c r="DL150" s="117"/>
      <c r="DM150" s="117"/>
      <c r="DN150" s="117"/>
      <c r="DO150" s="117"/>
      <c r="DP150" s="117"/>
      <c r="DQ150" s="117"/>
      <c r="DR150" s="117"/>
      <c r="DS150" s="117"/>
      <c r="DT150" s="117"/>
      <c r="DU150" s="117"/>
    </row>
    <row r="151" ht="15.75" customHeight="1">
      <c r="A151" s="69"/>
      <c r="B151" s="69"/>
      <c r="C151" s="69"/>
      <c r="D151" s="4"/>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c r="BI151" s="69"/>
      <c r="BJ151" s="69"/>
      <c r="BK151" s="69"/>
      <c r="BL151" s="69"/>
      <c r="BM151" s="69"/>
      <c r="BN151" s="69"/>
      <c r="BO151" s="69"/>
      <c r="BP151" s="69"/>
      <c r="BQ151" s="69"/>
      <c r="BR151" s="69"/>
      <c r="BS151" s="69"/>
      <c r="BT151" s="69"/>
      <c r="BU151" s="69"/>
      <c r="BV151" s="69"/>
      <c r="BW151" s="69"/>
      <c r="BX151" s="69"/>
      <c r="BY151" s="69"/>
      <c r="BZ151" s="69"/>
      <c r="CA151" s="69"/>
      <c r="CB151" s="69"/>
      <c r="CC151" s="69"/>
      <c r="CD151" s="69"/>
      <c r="CE151" s="69"/>
      <c r="CF151" s="69"/>
      <c r="CG151" s="69"/>
      <c r="CH151" s="69"/>
      <c r="CI151" s="69"/>
      <c r="CJ151" s="69"/>
      <c r="CK151" s="69"/>
      <c r="CL151" s="69"/>
      <c r="CM151" s="69"/>
      <c r="CN151" s="69"/>
      <c r="CO151" s="69"/>
      <c r="CP151" s="69"/>
      <c r="CQ151" s="69"/>
      <c r="CR151" s="69"/>
      <c r="CS151" s="69"/>
      <c r="CT151" s="69"/>
      <c r="CU151" s="69"/>
      <c r="CV151" s="69"/>
      <c r="CW151" s="69"/>
      <c r="CX151" s="69"/>
      <c r="CY151" s="69"/>
      <c r="CZ151" s="69"/>
      <c r="DA151" s="69"/>
      <c r="DB151" s="69"/>
      <c r="DC151" s="69"/>
      <c r="DD151" s="69"/>
      <c r="DE151" s="69"/>
      <c r="DF151" s="69"/>
      <c r="DG151" s="69"/>
      <c r="DH151" s="69"/>
      <c r="DI151" s="69"/>
      <c r="DJ151" s="69"/>
      <c r="DK151" s="69"/>
      <c r="DL151" s="69"/>
      <c r="DM151" s="69"/>
      <c r="DN151" s="69"/>
      <c r="DO151" s="69"/>
      <c r="DP151" s="69"/>
      <c r="DQ151" s="69"/>
      <c r="DR151" s="69"/>
      <c r="DS151" s="69"/>
      <c r="DT151" s="69"/>
      <c r="DU151" s="69"/>
    </row>
    <row r="152" ht="15.75" customHeight="1">
      <c r="A152" s="118" t="s">
        <v>269</v>
      </c>
      <c r="B152" s="67"/>
      <c r="C152" s="67"/>
      <c r="D152" s="67"/>
      <c r="E152" s="67"/>
      <c r="F152" s="67"/>
      <c r="G152" s="67"/>
      <c r="H152" s="68"/>
      <c r="I152" s="94"/>
      <c r="J152" s="94"/>
      <c r="K152" s="94"/>
      <c r="L152" s="94"/>
      <c r="M152" s="94"/>
      <c r="N152" s="94"/>
      <c r="O152" s="94"/>
      <c r="P152" s="94"/>
      <c r="Q152" s="94"/>
      <c r="R152" s="94"/>
      <c r="S152" s="94"/>
      <c r="T152" s="94"/>
      <c r="U152" s="94"/>
      <c r="V152" s="94"/>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69"/>
      <c r="BS152" s="69"/>
      <c r="BT152" s="69"/>
      <c r="BU152" s="69"/>
      <c r="BV152" s="69"/>
      <c r="BW152" s="69"/>
      <c r="BX152" s="69"/>
      <c r="BY152" s="69"/>
      <c r="BZ152" s="69"/>
      <c r="CA152" s="69"/>
      <c r="CB152" s="69"/>
      <c r="CC152" s="69"/>
      <c r="CD152" s="69"/>
      <c r="CE152" s="69"/>
      <c r="CF152" s="69"/>
      <c r="CG152" s="69"/>
      <c r="CH152" s="69"/>
      <c r="CI152" s="69"/>
      <c r="CJ152" s="69"/>
      <c r="CK152" s="69"/>
      <c r="CL152" s="69"/>
      <c r="CM152" s="69"/>
      <c r="CN152" s="69"/>
      <c r="CO152" s="69"/>
      <c r="CP152" s="69"/>
      <c r="CQ152" s="69"/>
      <c r="CR152" s="69"/>
      <c r="CS152" s="69"/>
      <c r="CT152" s="69"/>
      <c r="CU152" s="69"/>
      <c r="CV152" s="69"/>
      <c r="CW152" s="69"/>
      <c r="CX152" s="69"/>
      <c r="CY152" s="69"/>
      <c r="CZ152" s="69"/>
      <c r="DA152" s="69"/>
      <c r="DB152" s="69"/>
      <c r="DC152" s="69"/>
      <c r="DD152" s="69"/>
      <c r="DE152" s="69"/>
      <c r="DF152" s="69"/>
      <c r="DG152" s="69"/>
      <c r="DH152" s="69"/>
      <c r="DI152" s="69"/>
      <c r="DJ152" s="3"/>
      <c r="DK152" s="3"/>
      <c r="DL152" s="3"/>
      <c r="DM152" s="3"/>
      <c r="DN152" s="3"/>
      <c r="DO152" s="3"/>
      <c r="DP152" s="3"/>
      <c r="DQ152" s="3"/>
      <c r="DR152" s="3"/>
      <c r="DS152" s="3"/>
      <c r="DT152" s="3"/>
      <c r="DU152" s="3"/>
    </row>
    <row r="153" ht="15.75" customHeight="1">
      <c r="A153" s="95" t="s">
        <v>6</v>
      </c>
      <c r="B153" s="96" t="s">
        <v>7</v>
      </c>
      <c r="C153" s="97" t="s">
        <v>8</v>
      </c>
      <c r="D153" s="96" t="s">
        <v>9</v>
      </c>
      <c r="E153" s="96" t="s">
        <v>10</v>
      </c>
      <c r="F153" s="96" t="s">
        <v>11</v>
      </c>
      <c r="G153" s="96" t="s">
        <v>12</v>
      </c>
      <c r="H153" s="96" t="s">
        <v>13</v>
      </c>
      <c r="I153" s="98">
        <v>44123.0</v>
      </c>
      <c r="J153" s="98">
        <v>44120.0</v>
      </c>
      <c r="K153" s="98">
        <v>44119.0</v>
      </c>
      <c r="L153" s="98">
        <v>44118.0</v>
      </c>
      <c r="M153" s="98">
        <v>44117.0</v>
      </c>
      <c r="N153" s="98">
        <v>44116.0</v>
      </c>
      <c r="O153" s="98">
        <v>44114.0</v>
      </c>
      <c r="P153" s="98">
        <v>44113.0</v>
      </c>
      <c r="Q153" s="98">
        <v>44112.0</v>
      </c>
      <c r="R153" s="98">
        <v>44111.0</v>
      </c>
      <c r="S153" s="98">
        <v>44110.0</v>
      </c>
      <c r="T153" s="98">
        <v>44109.0</v>
      </c>
      <c r="U153" s="98">
        <v>44105.0</v>
      </c>
      <c r="V153" s="98">
        <v>44104.0</v>
      </c>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c r="BI153" s="69"/>
      <c r="BJ153" s="69"/>
      <c r="BK153" s="69"/>
      <c r="BL153" s="69"/>
      <c r="BM153" s="69"/>
      <c r="BN153" s="69"/>
      <c r="BO153" s="69"/>
      <c r="BP153" s="69"/>
      <c r="BQ153" s="69"/>
      <c r="BR153" s="69"/>
      <c r="BS153" s="69"/>
      <c r="BT153" s="69"/>
      <c r="BU153" s="69"/>
      <c r="BV153" s="69"/>
      <c r="BW153" s="69"/>
      <c r="BX153" s="69"/>
      <c r="BY153" s="69"/>
      <c r="BZ153" s="69"/>
      <c r="CA153" s="69"/>
      <c r="CB153" s="69"/>
      <c r="CC153" s="69"/>
      <c r="CD153" s="69"/>
      <c r="CE153" s="69"/>
      <c r="CF153" s="69"/>
      <c r="CG153" s="69"/>
      <c r="CH153" s="69"/>
      <c r="CI153" s="69"/>
      <c r="CJ153" s="69"/>
      <c r="CK153" s="69"/>
      <c r="CL153" s="69"/>
      <c r="CM153" s="69"/>
      <c r="CN153" s="69"/>
      <c r="CO153" s="69"/>
      <c r="CP153" s="69"/>
      <c r="CQ153" s="69"/>
      <c r="CR153" s="69"/>
      <c r="CS153" s="69"/>
      <c r="CT153" s="69"/>
      <c r="CU153" s="69"/>
      <c r="CV153" s="69"/>
      <c r="CW153" s="69"/>
      <c r="CX153" s="69"/>
      <c r="CY153" s="69"/>
      <c r="CZ153" s="69"/>
      <c r="DA153" s="69"/>
      <c r="DB153" s="69"/>
      <c r="DC153" s="69"/>
      <c r="DD153" s="69"/>
      <c r="DE153" s="69"/>
      <c r="DF153" s="69"/>
      <c r="DG153" s="69"/>
      <c r="DH153" s="69"/>
      <c r="DI153" s="69"/>
      <c r="DJ153" s="3"/>
      <c r="DK153" s="3"/>
      <c r="DL153" s="3"/>
      <c r="DM153" s="3"/>
      <c r="DN153" s="3"/>
      <c r="DO153" s="3"/>
      <c r="DP153" s="3"/>
      <c r="DQ153" s="3"/>
      <c r="DR153" s="3"/>
      <c r="DS153" s="3"/>
      <c r="DT153" s="3"/>
      <c r="DU153" s="3"/>
    </row>
    <row r="154" ht="15.75" customHeight="1">
      <c r="A154" s="99">
        <v>1.0</v>
      </c>
      <c r="B154" s="100" t="s">
        <v>270</v>
      </c>
      <c r="C154" s="101" t="s">
        <v>86</v>
      </c>
      <c r="D154" s="102" t="s">
        <v>42</v>
      </c>
      <c r="E154" s="102">
        <v>12.0</v>
      </c>
      <c r="F154" s="102">
        <v>12.0</v>
      </c>
      <c r="G154" s="6">
        <v>44104.0</v>
      </c>
      <c r="H154" s="6">
        <v>44105.0</v>
      </c>
      <c r="I154" s="111">
        <v>1.0</v>
      </c>
      <c r="J154" s="111">
        <v>1.0</v>
      </c>
      <c r="K154" s="111">
        <v>1.0</v>
      </c>
      <c r="L154" s="111">
        <v>1.0</v>
      </c>
      <c r="M154" s="111">
        <v>1.0</v>
      </c>
      <c r="N154" s="111">
        <v>1.0</v>
      </c>
      <c r="O154" s="111">
        <v>1.0</v>
      </c>
      <c r="P154" s="111">
        <v>1.0</v>
      </c>
      <c r="Q154" s="111">
        <v>1.0</v>
      </c>
      <c r="R154" s="111">
        <v>1.0</v>
      </c>
      <c r="S154" s="111">
        <v>1.0</v>
      </c>
      <c r="T154" s="111">
        <v>1.0</v>
      </c>
      <c r="U154" s="111">
        <v>1.0</v>
      </c>
      <c r="V154" s="111">
        <v>0.5</v>
      </c>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c r="BI154" s="69"/>
      <c r="BJ154" s="69"/>
      <c r="BK154" s="69"/>
      <c r="BL154" s="69"/>
      <c r="BM154" s="69"/>
      <c r="BN154" s="69"/>
      <c r="BO154" s="69"/>
      <c r="BP154" s="69"/>
      <c r="BQ154" s="69"/>
      <c r="BR154" s="69"/>
      <c r="BS154" s="69"/>
      <c r="BT154" s="69"/>
      <c r="BU154" s="69"/>
      <c r="BV154" s="69"/>
      <c r="BW154" s="69"/>
      <c r="BX154" s="69"/>
      <c r="BY154" s="69"/>
      <c r="BZ154" s="69"/>
      <c r="CA154" s="69"/>
      <c r="CB154" s="69"/>
      <c r="CC154" s="69"/>
      <c r="CD154" s="69"/>
      <c r="CE154" s="69"/>
      <c r="CF154" s="69"/>
      <c r="CG154" s="69"/>
      <c r="CH154" s="69"/>
      <c r="CI154" s="69"/>
      <c r="CJ154" s="69"/>
      <c r="CK154" s="69"/>
      <c r="CL154" s="69"/>
      <c r="CM154" s="69"/>
      <c r="CN154" s="69"/>
      <c r="CO154" s="69"/>
      <c r="CP154" s="69"/>
      <c r="CQ154" s="69"/>
      <c r="CR154" s="69"/>
      <c r="CS154" s="69"/>
      <c r="CT154" s="69"/>
      <c r="CU154" s="69"/>
      <c r="CV154" s="69"/>
      <c r="CW154" s="69"/>
      <c r="CX154" s="69"/>
      <c r="CY154" s="69"/>
      <c r="CZ154" s="69"/>
      <c r="DA154" s="69"/>
      <c r="DB154" s="69"/>
      <c r="DC154" s="69"/>
      <c r="DD154" s="69"/>
      <c r="DE154" s="69"/>
      <c r="DF154" s="69"/>
      <c r="DG154" s="69"/>
      <c r="DH154" s="69"/>
      <c r="DI154" s="69"/>
      <c r="DJ154" s="3"/>
      <c r="DK154" s="3"/>
      <c r="DL154" s="3"/>
      <c r="DM154" s="3"/>
      <c r="DN154" s="3"/>
      <c r="DO154" s="3"/>
      <c r="DP154" s="3"/>
      <c r="DQ154" s="3"/>
      <c r="DR154" s="3"/>
      <c r="DS154" s="3"/>
      <c r="DT154" s="3"/>
      <c r="DU154" s="3"/>
    </row>
    <row r="155" ht="15.75" customHeight="1">
      <c r="A155" s="99">
        <v>2.0</v>
      </c>
      <c r="B155" s="100" t="s">
        <v>271</v>
      </c>
      <c r="C155" s="101" t="s">
        <v>86</v>
      </c>
      <c r="D155" s="102" t="s">
        <v>55</v>
      </c>
      <c r="E155" s="102">
        <v>12.0</v>
      </c>
      <c r="F155" s="102">
        <v>12.0</v>
      </c>
      <c r="G155" s="6">
        <v>44104.0</v>
      </c>
      <c r="H155" s="6">
        <v>44105.0</v>
      </c>
      <c r="I155" s="111">
        <v>1.0</v>
      </c>
      <c r="J155" s="111">
        <v>1.0</v>
      </c>
      <c r="K155" s="111">
        <v>1.0</v>
      </c>
      <c r="L155" s="111">
        <v>1.0</v>
      </c>
      <c r="M155" s="111">
        <v>1.0</v>
      </c>
      <c r="N155" s="111">
        <v>1.0</v>
      </c>
      <c r="O155" s="111">
        <v>1.0</v>
      </c>
      <c r="P155" s="111">
        <v>1.0</v>
      </c>
      <c r="Q155" s="111">
        <v>1.0</v>
      </c>
      <c r="R155" s="111">
        <v>1.0</v>
      </c>
      <c r="S155" s="111">
        <v>1.0</v>
      </c>
      <c r="T155" s="111">
        <v>1.0</v>
      </c>
      <c r="U155" s="111">
        <v>1.0</v>
      </c>
      <c r="V155" s="111">
        <v>0.5</v>
      </c>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c r="BI155" s="69"/>
      <c r="BJ155" s="69"/>
      <c r="BK155" s="69"/>
      <c r="BL155" s="69"/>
      <c r="BM155" s="69"/>
      <c r="BN155" s="69"/>
      <c r="BO155" s="69"/>
      <c r="BP155" s="69"/>
      <c r="BQ155" s="69"/>
      <c r="BR155" s="69"/>
      <c r="BS155" s="69"/>
      <c r="BT155" s="69"/>
      <c r="BU155" s="69"/>
      <c r="BV155" s="69"/>
      <c r="BW155" s="69"/>
      <c r="BX155" s="69"/>
      <c r="BY155" s="69"/>
      <c r="BZ155" s="69"/>
      <c r="CA155" s="69"/>
      <c r="CB155" s="69"/>
      <c r="CC155" s="69"/>
      <c r="CD155" s="69"/>
      <c r="CE155" s="69"/>
      <c r="CF155" s="69"/>
      <c r="CG155" s="69"/>
      <c r="CH155" s="69"/>
      <c r="CI155" s="69"/>
      <c r="CJ155" s="69"/>
      <c r="CK155" s="69"/>
      <c r="CL155" s="69"/>
      <c r="CM155" s="69"/>
      <c r="CN155" s="69"/>
      <c r="CO155" s="69"/>
      <c r="CP155" s="69"/>
      <c r="CQ155" s="69"/>
      <c r="CR155" s="69"/>
      <c r="CS155" s="69"/>
      <c r="CT155" s="69"/>
      <c r="CU155" s="69"/>
      <c r="CV155" s="69"/>
      <c r="CW155" s="69"/>
      <c r="CX155" s="69"/>
      <c r="CY155" s="69"/>
      <c r="CZ155" s="69"/>
      <c r="DA155" s="69"/>
      <c r="DB155" s="69"/>
      <c r="DC155" s="69"/>
      <c r="DD155" s="69"/>
      <c r="DE155" s="69"/>
      <c r="DF155" s="69"/>
      <c r="DG155" s="69"/>
      <c r="DH155" s="69"/>
      <c r="DI155" s="69"/>
      <c r="DJ155" s="3"/>
      <c r="DK155" s="3"/>
      <c r="DL155" s="3"/>
      <c r="DM155" s="3"/>
      <c r="DN155" s="3"/>
      <c r="DO155" s="3"/>
      <c r="DP155" s="3"/>
      <c r="DQ155" s="3"/>
      <c r="DR155" s="3"/>
      <c r="DS155" s="3"/>
      <c r="DT155" s="3"/>
      <c r="DU155" s="3"/>
    </row>
    <row r="156" ht="15.75" customHeight="1">
      <c r="A156" s="99">
        <v>3.0</v>
      </c>
      <c r="B156" s="100" t="s">
        <v>272</v>
      </c>
      <c r="C156" s="101" t="s">
        <v>86</v>
      </c>
      <c r="D156" s="102" t="s">
        <v>51</v>
      </c>
      <c r="E156" s="102">
        <v>4.0</v>
      </c>
      <c r="F156" s="102">
        <v>4.0</v>
      </c>
      <c r="G156" s="6">
        <v>44104.0</v>
      </c>
      <c r="H156" s="6">
        <v>44105.0</v>
      </c>
      <c r="I156" s="111">
        <v>1.0</v>
      </c>
      <c r="J156" s="111">
        <v>1.0</v>
      </c>
      <c r="K156" s="111">
        <v>1.0</v>
      </c>
      <c r="L156" s="111">
        <v>1.0</v>
      </c>
      <c r="M156" s="111">
        <v>1.0</v>
      </c>
      <c r="N156" s="111">
        <v>1.0</v>
      </c>
      <c r="O156" s="111">
        <v>1.0</v>
      </c>
      <c r="P156" s="111">
        <v>1.0</v>
      </c>
      <c r="Q156" s="111">
        <v>1.0</v>
      </c>
      <c r="R156" s="111">
        <v>1.0</v>
      </c>
      <c r="S156" s="111">
        <v>1.0</v>
      </c>
      <c r="T156" s="111">
        <v>1.0</v>
      </c>
      <c r="U156" s="111">
        <v>1.0</v>
      </c>
      <c r="V156" s="111">
        <v>1.0</v>
      </c>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c r="BI156" s="69"/>
      <c r="BJ156" s="69"/>
      <c r="BK156" s="69"/>
      <c r="BL156" s="69"/>
      <c r="BM156" s="69"/>
      <c r="BN156" s="69"/>
      <c r="BO156" s="69"/>
      <c r="BP156" s="69"/>
      <c r="BQ156" s="69"/>
      <c r="BR156" s="69"/>
      <c r="BS156" s="69"/>
      <c r="BT156" s="69"/>
      <c r="BU156" s="69"/>
      <c r="BV156" s="69"/>
      <c r="BW156" s="69"/>
      <c r="BX156" s="69"/>
      <c r="BY156" s="69"/>
      <c r="BZ156" s="69"/>
      <c r="CA156" s="69"/>
      <c r="CB156" s="69"/>
      <c r="CC156" s="69"/>
      <c r="CD156" s="69"/>
      <c r="CE156" s="69"/>
      <c r="CF156" s="69"/>
      <c r="CG156" s="69"/>
      <c r="CH156" s="69"/>
      <c r="CI156" s="69"/>
      <c r="CJ156" s="69"/>
      <c r="CK156" s="69"/>
      <c r="CL156" s="69"/>
      <c r="CM156" s="69"/>
      <c r="CN156" s="69"/>
      <c r="CO156" s="69"/>
      <c r="CP156" s="69"/>
      <c r="CQ156" s="69"/>
      <c r="CR156" s="69"/>
      <c r="CS156" s="69"/>
      <c r="CT156" s="69"/>
      <c r="CU156" s="69"/>
      <c r="CV156" s="69"/>
      <c r="CW156" s="69"/>
      <c r="CX156" s="69"/>
      <c r="CY156" s="69"/>
      <c r="CZ156" s="69"/>
      <c r="DA156" s="69"/>
      <c r="DB156" s="69"/>
      <c r="DC156" s="69"/>
      <c r="DD156" s="69"/>
      <c r="DE156" s="69"/>
      <c r="DF156" s="69"/>
      <c r="DG156" s="69"/>
      <c r="DH156" s="69"/>
      <c r="DI156" s="69"/>
      <c r="DJ156" s="3"/>
      <c r="DK156" s="3"/>
      <c r="DL156" s="3"/>
      <c r="DM156" s="3"/>
      <c r="DN156" s="3"/>
      <c r="DO156" s="3"/>
      <c r="DP156" s="3"/>
      <c r="DQ156" s="3"/>
      <c r="DR156" s="3"/>
      <c r="DS156" s="3"/>
      <c r="DT156" s="3"/>
      <c r="DU156" s="3"/>
    </row>
    <row r="157" ht="15.75" customHeight="1">
      <c r="A157" s="99">
        <v>4.0</v>
      </c>
      <c r="B157" s="100" t="s">
        <v>273</v>
      </c>
      <c r="C157" s="101" t="s">
        <v>86</v>
      </c>
      <c r="D157" s="102" t="s">
        <v>42</v>
      </c>
      <c r="E157" s="102">
        <v>8.0</v>
      </c>
      <c r="F157" s="102">
        <v>8.0</v>
      </c>
      <c r="G157" s="6">
        <v>44109.0</v>
      </c>
      <c r="H157" s="6">
        <v>44109.0</v>
      </c>
      <c r="I157" s="111">
        <v>1.0</v>
      </c>
      <c r="J157" s="111">
        <v>1.0</v>
      </c>
      <c r="K157" s="111">
        <v>1.0</v>
      </c>
      <c r="L157" s="111">
        <v>1.0</v>
      </c>
      <c r="M157" s="111">
        <v>1.0</v>
      </c>
      <c r="N157" s="111">
        <v>1.0</v>
      </c>
      <c r="O157" s="111">
        <v>1.0</v>
      </c>
      <c r="P157" s="111">
        <v>1.0</v>
      </c>
      <c r="Q157" s="111">
        <v>1.0</v>
      </c>
      <c r="R157" s="111">
        <v>1.0</v>
      </c>
      <c r="S157" s="111">
        <v>1.0</v>
      </c>
      <c r="T157" s="111">
        <v>1.0</v>
      </c>
      <c r="U157" s="111"/>
      <c r="V157" s="111"/>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c r="BI157" s="69"/>
      <c r="BJ157" s="69"/>
      <c r="BK157" s="69"/>
      <c r="BL157" s="69"/>
      <c r="BM157" s="69"/>
      <c r="BN157" s="69"/>
      <c r="BO157" s="69"/>
      <c r="BP157" s="69"/>
      <c r="BQ157" s="69"/>
      <c r="BR157" s="69"/>
      <c r="BS157" s="69"/>
      <c r="BT157" s="69"/>
      <c r="BU157" s="69"/>
      <c r="BV157" s="69"/>
      <c r="BW157" s="69"/>
      <c r="BX157" s="69"/>
      <c r="BY157" s="69"/>
      <c r="BZ157" s="69"/>
      <c r="CA157" s="69"/>
      <c r="CB157" s="69"/>
      <c r="CC157" s="69"/>
      <c r="CD157" s="69"/>
      <c r="CE157" s="69"/>
      <c r="CF157" s="69"/>
      <c r="CG157" s="69"/>
      <c r="CH157" s="69"/>
      <c r="CI157" s="69"/>
      <c r="CJ157" s="69"/>
      <c r="CK157" s="69"/>
      <c r="CL157" s="69"/>
      <c r="CM157" s="69"/>
      <c r="CN157" s="69"/>
      <c r="CO157" s="69"/>
      <c r="CP157" s="69"/>
      <c r="CQ157" s="69"/>
      <c r="CR157" s="69"/>
      <c r="CS157" s="69"/>
      <c r="CT157" s="69"/>
      <c r="CU157" s="69"/>
      <c r="CV157" s="69"/>
      <c r="CW157" s="69"/>
      <c r="CX157" s="69"/>
      <c r="CY157" s="69"/>
      <c r="CZ157" s="69"/>
      <c r="DA157" s="69"/>
      <c r="DB157" s="69"/>
      <c r="DC157" s="69"/>
      <c r="DD157" s="69"/>
      <c r="DE157" s="69"/>
      <c r="DF157" s="69"/>
      <c r="DG157" s="69"/>
      <c r="DH157" s="69"/>
      <c r="DI157" s="69"/>
      <c r="DJ157" s="3"/>
      <c r="DK157" s="3"/>
      <c r="DL157" s="3"/>
      <c r="DM157" s="3"/>
      <c r="DN157" s="3"/>
      <c r="DO157" s="3"/>
      <c r="DP157" s="3"/>
      <c r="DQ157" s="3"/>
      <c r="DR157" s="3"/>
      <c r="DS157" s="3"/>
      <c r="DT157" s="3"/>
      <c r="DU157" s="3"/>
    </row>
    <row r="158" ht="15.75" customHeight="1">
      <c r="A158" s="99">
        <v>5.0</v>
      </c>
      <c r="B158" s="100" t="s">
        <v>274</v>
      </c>
      <c r="C158" s="101" t="s">
        <v>86</v>
      </c>
      <c r="D158" s="102" t="s">
        <v>55</v>
      </c>
      <c r="E158" s="102">
        <v>8.0</v>
      </c>
      <c r="F158" s="102">
        <v>8.0</v>
      </c>
      <c r="G158" s="6">
        <v>44109.0</v>
      </c>
      <c r="H158" s="6">
        <v>44109.0</v>
      </c>
      <c r="I158" s="111">
        <v>1.0</v>
      </c>
      <c r="J158" s="111">
        <v>1.0</v>
      </c>
      <c r="K158" s="111">
        <v>1.0</v>
      </c>
      <c r="L158" s="111">
        <v>1.0</v>
      </c>
      <c r="M158" s="111">
        <v>1.0</v>
      </c>
      <c r="N158" s="111">
        <v>1.0</v>
      </c>
      <c r="O158" s="111">
        <v>1.0</v>
      </c>
      <c r="P158" s="111">
        <v>1.0</v>
      </c>
      <c r="Q158" s="111">
        <v>1.0</v>
      </c>
      <c r="R158" s="111">
        <v>1.0</v>
      </c>
      <c r="S158" s="111">
        <v>1.0</v>
      </c>
      <c r="T158" s="111">
        <v>1.0</v>
      </c>
      <c r="U158" s="111"/>
      <c r="V158" s="111"/>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c r="BI158" s="69"/>
      <c r="BJ158" s="69"/>
      <c r="BK158" s="69"/>
      <c r="BL158" s="69"/>
      <c r="BM158" s="69"/>
      <c r="BN158" s="69"/>
      <c r="BO158" s="69"/>
      <c r="BP158" s="69"/>
      <c r="BQ158" s="69"/>
      <c r="BR158" s="69"/>
      <c r="BS158" s="69"/>
      <c r="BT158" s="69"/>
      <c r="BU158" s="69"/>
      <c r="BV158" s="69"/>
      <c r="BW158" s="69"/>
      <c r="BX158" s="69"/>
      <c r="BY158" s="69"/>
      <c r="BZ158" s="69"/>
      <c r="CA158" s="69"/>
      <c r="CB158" s="69"/>
      <c r="CC158" s="69"/>
      <c r="CD158" s="69"/>
      <c r="CE158" s="69"/>
      <c r="CF158" s="69"/>
      <c r="CG158" s="69"/>
      <c r="CH158" s="69"/>
      <c r="CI158" s="69"/>
      <c r="CJ158" s="69"/>
      <c r="CK158" s="69"/>
      <c r="CL158" s="69"/>
      <c r="CM158" s="69"/>
      <c r="CN158" s="69"/>
      <c r="CO158" s="69"/>
      <c r="CP158" s="69"/>
      <c r="CQ158" s="69"/>
      <c r="CR158" s="69"/>
      <c r="CS158" s="69"/>
      <c r="CT158" s="69"/>
      <c r="CU158" s="69"/>
      <c r="CV158" s="69"/>
      <c r="CW158" s="69"/>
      <c r="CX158" s="69"/>
      <c r="CY158" s="69"/>
      <c r="CZ158" s="69"/>
      <c r="DA158" s="69"/>
      <c r="DB158" s="69"/>
      <c r="DC158" s="69"/>
      <c r="DD158" s="69"/>
      <c r="DE158" s="69"/>
      <c r="DF158" s="69"/>
      <c r="DG158" s="69"/>
      <c r="DH158" s="69"/>
      <c r="DI158" s="69"/>
      <c r="DJ158" s="3"/>
      <c r="DK158" s="3"/>
      <c r="DL158" s="3"/>
      <c r="DM158" s="3"/>
      <c r="DN158" s="3"/>
      <c r="DO158" s="3"/>
      <c r="DP158" s="3"/>
      <c r="DQ158" s="3"/>
      <c r="DR158" s="3"/>
      <c r="DS158" s="3"/>
      <c r="DT158" s="3"/>
      <c r="DU158" s="3"/>
    </row>
    <row r="159" ht="15.75" customHeight="1">
      <c r="A159" s="99">
        <v>6.0</v>
      </c>
      <c r="B159" s="100" t="s">
        <v>275</v>
      </c>
      <c r="C159" s="101" t="s">
        <v>86</v>
      </c>
      <c r="D159" s="102" t="s">
        <v>51</v>
      </c>
      <c r="E159" s="102">
        <v>4.0</v>
      </c>
      <c r="F159" s="102">
        <v>4.0</v>
      </c>
      <c r="G159" s="6">
        <v>44109.0</v>
      </c>
      <c r="H159" s="6">
        <v>44109.0</v>
      </c>
      <c r="I159" s="111">
        <v>1.0</v>
      </c>
      <c r="J159" s="111">
        <v>1.0</v>
      </c>
      <c r="K159" s="111">
        <v>1.0</v>
      </c>
      <c r="L159" s="111">
        <v>1.0</v>
      </c>
      <c r="M159" s="111">
        <v>1.0</v>
      </c>
      <c r="N159" s="111">
        <v>1.0</v>
      </c>
      <c r="O159" s="111">
        <v>1.0</v>
      </c>
      <c r="P159" s="111">
        <v>1.0</v>
      </c>
      <c r="Q159" s="111">
        <v>1.0</v>
      </c>
      <c r="R159" s="111">
        <v>1.0</v>
      </c>
      <c r="S159" s="111">
        <v>1.0</v>
      </c>
      <c r="T159" s="111">
        <v>1.0</v>
      </c>
      <c r="U159" s="111"/>
      <c r="V159" s="111"/>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c r="BI159" s="69"/>
      <c r="BJ159" s="69"/>
      <c r="BK159" s="69"/>
      <c r="BL159" s="69"/>
      <c r="BM159" s="69"/>
      <c r="BN159" s="69"/>
      <c r="BO159" s="69"/>
      <c r="BP159" s="69"/>
      <c r="BQ159" s="69"/>
      <c r="BR159" s="69"/>
      <c r="BS159" s="69"/>
      <c r="BT159" s="69"/>
      <c r="BU159" s="69"/>
      <c r="BV159" s="69"/>
      <c r="BW159" s="69"/>
      <c r="BX159" s="69"/>
      <c r="BY159" s="69"/>
      <c r="BZ159" s="69"/>
      <c r="CA159" s="69"/>
      <c r="CB159" s="69"/>
      <c r="CC159" s="69"/>
      <c r="CD159" s="69"/>
      <c r="CE159" s="69"/>
      <c r="CF159" s="69"/>
      <c r="CG159" s="69"/>
      <c r="CH159" s="69"/>
      <c r="CI159" s="69"/>
      <c r="CJ159" s="69"/>
      <c r="CK159" s="69"/>
      <c r="CL159" s="69"/>
      <c r="CM159" s="69"/>
      <c r="CN159" s="69"/>
      <c r="CO159" s="69"/>
      <c r="CP159" s="69"/>
      <c r="CQ159" s="69"/>
      <c r="CR159" s="69"/>
      <c r="CS159" s="69"/>
      <c r="CT159" s="69"/>
      <c r="CU159" s="69"/>
      <c r="CV159" s="69"/>
      <c r="CW159" s="69"/>
      <c r="CX159" s="69"/>
      <c r="CY159" s="69"/>
      <c r="CZ159" s="69"/>
      <c r="DA159" s="69"/>
      <c r="DB159" s="69"/>
      <c r="DC159" s="69"/>
      <c r="DD159" s="69"/>
      <c r="DE159" s="69"/>
      <c r="DF159" s="69"/>
      <c r="DG159" s="69"/>
      <c r="DH159" s="69"/>
      <c r="DI159" s="69"/>
      <c r="DJ159" s="3"/>
      <c r="DK159" s="3"/>
      <c r="DL159" s="3"/>
      <c r="DM159" s="3"/>
      <c r="DN159" s="3"/>
      <c r="DO159" s="3"/>
      <c r="DP159" s="3"/>
      <c r="DQ159" s="3"/>
      <c r="DR159" s="3"/>
      <c r="DS159" s="3"/>
      <c r="DT159" s="3"/>
      <c r="DU159" s="3"/>
    </row>
    <row r="160" ht="15.75" customHeight="1">
      <c r="A160" s="99">
        <v>7.0</v>
      </c>
      <c r="B160" s="100" t="s">
        <v>276</v>
      </c>
      <c r="C160" s="101" t="s">
        <v>86</v>
      </c>
      <c r="D160" s="102" t="s">
        <v>42</v>
      </c>
      <c r="E160" s="102">
        <v>4.0</v>
      </c>
      <c r="F160" s="102">
        <v>4.0</v>
      </c>
      <c r="G160" s="6">
        <v>44110.0</v>
      </c>
      <c r="H160" s="6">
        <v>44110.0</v>
      </c>
      <c r="I160" s="111">
        <v>1.0</v>
      </c>
      <c r="J160" s="111">
        <v>1.0</v>
      </c>
      <c r="K160" s="111">
        <v>1.0</v>
      </c>
      <c r="L160" s="111">
        <v>1.0</v>
      </c>
      <c r="M160" s="111">
        <v>1.0</v>
      </c>
      <c r="N160" s="111">
        <v>1.0</v>
      </c>
      <c r="O160" s="111">
        <v>1.0</v>
      </c>
      <c r="P160" s="111">
        <v>1.0</v>
      </c>
      <c r="Q160" s="111">
        <v>1.0</v>
      </c>
      <c r="R160" s="111">
        <v>1.0</v>
      </c>
      <c r="S160" s="111">
        <v>0.5</v>
      </c>
      <c r="T160" s="111"/>
      <c r="U160" s="111"/>
      <c r="V160" s="111"/>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c r="BN160" s="69"/>
      <c r="BO160" s="69"/>
      <c r="BP160" s="69"/>
      <c r="BQ160" s="69"/>
      <c r="BR160" s="69"/>
      <c r="BS160" s="69"/>
      <c r="BT160" s="69"/>
      <c r="BU160" s="69"/>
      <c r="BV160" s="69"/>
      <c r="BW160" s="69"/>
      <c r="BX160" s="69"/>
      <c r="BY160" s="69"/>
      <c r="BZ160" s="69"/>
      <c r="CA160" s="69"/>
      <c r="CB160" s="69"/>
      <c r="CC160" s="69"/>
      <c r="CD160" s="69"/>
      <c r="CE160" s="69"/>
      <c r="CF160" s="69"/>
      <c r="CG160" s="69"/>
      <c r="CH160" s="69"/>
      <c r="CI160" s="69"/>
      <c r="CJ160" s="69"/>
      <c r="CK160" s="69"/>
      <c r="CL160" s="69"/>
      <c r="CM160" s="69"/>
      <c r="CN160" s="69"/>
      <c r="CO160" s="69"/>
      <c r="CP160" s="69"/>
      <c r="CQ160" s="69"/>
      <c r="CR160" s="69"/>
      <c r="CS160" s="69"/>
      <c r="CT160" s="69"/>
      <c r="CU160" s="69"/>
      <c r="CV160" s="69"/>
      <c r="CW160" s="69"/>
      <c r="CX160" s="69"/>
      <c r="CY160" s="69"/>
      <c r="CZ160" s="69"/>
      <c r="DA160" s="69"/>
      <c r="DB160" s="69"/>
      <c r="DC160" s="69"/>
      <c r="DD160" s="69"/>
      <c r="DE160" s="69"/>
      <c r="DF160" s="69"/>
      <c r="DG160" s="69"/>
      <c r="DH160" s="69"/>
      <c r="DI160" s="69"/>
      <c r="DJ160" s="3"/>
      <c r="DK160" s="3"/>
      <c r="DL160" s="3"/>
      <c r="DM160" s="3"/>
      <c r="DN160" s="3"/>
      <c r="DO160" s="3"/>
      <c r="DP160" s="3"/>
      <c r="DQ160" s="3"/>
      <c r="DR160" s="3"/>
      <c r="DS160" s="3"/>
      <c r="DT160" s="3"/>
      <c r="DU160" s="3"/>
    </row>
    <row r="161" ht="15.75" customHeight="1">
      <c r="A161" s="99">
        <v>8.0</v>
      </c>
      <c r="B161" s="100" t="s">
        <v>277</v>
      </c>
      <c r="C161" s="101" t="s">
        <v>86</v>
      </c>
      <c r="D161" s="102" t="s">
        <v>55</v>
      </c>
      <c r="E161" s="102">
        <v>4.0</v>
      </c>
      <c r="F161" s="102">
        <v>4.0</v>
      </c>
      <c r="G161" s="6">
        <v>44110.0</v>
      </c>
      <c r="H161" s="6">
        <v>44110.0</v>
      </c>
      <c r="I161" s="111">
        <v>1.0</v>
      </c>
      <c r="J161" s="111">
        <v>1.0</v>
      </c>
      <c r="K161" s="111">
        <v>1.0</v>
      </c>
      <c r="L161" s="111">
        <v>1.0</v>
      </c>
      <c r="M161" s="111">
        <v>1.0</v>
      </c>
      <c r="N161" s="111">
        <v>1.0</v>
      </c>
      <c r="O161" s="111">
        <v>1.0</v>
      </c>
      <c r="P161" s="111">
        <v>1.0</v>
      </c>
      <c r="Q161" s="111">
        <v>1.0</v>
      </c>
      <c r="R161" s="111">
        <v>1.0</v>
      </c>
      <c r="S161" s="111">
        <v>0.5</v>
      </c>
      <c r="T161" s="111"/>
      <c r="U161" s="111"/>
      <c r="V161" s="111"/>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3"/>
      <c r="DK161" s="3"/>
      <c r="DL161" s="3"/>
      <c r="DM161" s="3"/>
      <c r="DN161" s="3"/>
      <c r="DO161" s="3"/>
      <c r="DP161" s="3"/>
      <c r="DQ161" s="3"/>
      <c r="DR161" s="3"/>
      <c r="DS161" s="3"/>
      <c r="DT161" s="3"/>
      <c r="DU161" s="3"/>
    </row>
    <row r="162" ht="15.75" customHeight="1">
      <c r="A162" s="99">
        <v>9.0</v>
      </c>
      <c r="B162" s="100" t="s">
        <v>278</v>
      </c>
      <c r="C162" s="101" t="s">
        <v>86</v>
      </c>
      <c r="D162" s="102" t="s">
        <v>51</v>
      </c>
      <c r="E162" s="102">
        <v>4.0</v>
      </c>
      <c r="F162" s="102">
        <v>4.0</v>
      </c>
      <c r="G162" s="6">
        <v>44110.0</v>
      </c>
      <c r="H162" s="6">
        <v>44110.0</v>
      </c>
      <c r="I162" s="111">
        <v>1.0</v>
      </c>
      <c r="J162" s="111">
        <v>1.0</v>
      </c>
      <c r="K162" s="111">
        <v>1.0</v>
      </c>
      <c r="L162" s="111">
        <v>1.0</v>
      </c>
      <c r="M162" s="111">
        <v>1.0</v>
      </c>
      <c r="N162" s="111">
        <v>1.0</v>
      </c>
      <c r="O162" s="111">
        <v>1.0</v>
      </c>
      <c r="P162" s="111">
        <v>1.0</v>
      </c>
      <c r="Q162" s="111">
        <v>1.0</v>
      </c>
      <c r="R162" s="111">
        <v>1.0</v>
      </c>
      <c r="S162" s="111">
        <v>1.0</v>
      </c>
      <c r="T162" s="111"/>
      <c r="U162" s="111"/>
      <c r="V162" s="111"/>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c r="BN162" s="69"/>
      <c r="BO162" s="69"/>
      <c r="BP162" s="69"/>
      <c r="BQ162" s="69"/>
      <c r="BR162" s="69"/>
      <c r="BS162" s="69"/>
      <c r="BT162" s="69"/>
      <c r="BU162" s="69"/>
      <c r="BV162" s="69"/>
      <c r="BW162" s="69"/>
      <c r="BX162" s="69"/>
      <c r="BY162" s="69"/>
      <c r="BZ162" s="69"/>
      <c r="CA162" s="69"/>
      <c r="CB162" s="69"/>
      <c r="CC162" s="69"/>
      <c r="CD162" s="69"/>
      <c r="CE162" s="69"/>
      <c r="CF162" s="69"/>
      <c r="CG162" s="69"/>
      <c r="CH162" s="69"/>
      <c r="CI162" s="69"/>
      <c r="CJ162" s="69"/>
      <c r="CK162" s="69"/>
      <c r="CL162" s="69"/>
      <c r="CM162" s="69"/>
      <c r="CN162" s="69"/>
      <c r="CO162" s="69"/>
      <c r="CP162" s="69"/>
      <c r="CQ162" s="69"/>
      <c r="CR162" s="69"/>
      <c r="CS162" s="69"/>
      <c r="CT162" s="69"/>
      <c r="CU162" s="69"/>
      <c r="CV162" s="69"/>
      <c r="CW162" s="69"/>
      <c r="CX162" s="69"/>
      <c r="CY162" s="69"/>
      <c r="CZ162" s="69"/>
      <c r="DA162" s="69"/>
      <c r="DB162" s="69"/>
      <c r="DC162" s="69"/>
      <c r="DD162" s="69"/>
      <c r="DE162" s="69"/>
      <c r="DF162" s="69"/>
      <c r="DG162" s="69"/>
      <c r="DH162" s="69"/>
      <c r="DI162" s="69"/>
      <c r="DJ162" s="3"/>
      <c r="DK162" s="3"/>
      <c r="DL162" s="3"/>
      <c r="DM162" s="3"/>
      <c r="DN162" s="3"/>
      <c r="DO162" s="3"/>
      <c r="DP162" s="3"/>
      <c r="DQ162" s="3"/>
      <c r="DR162" s="3"/>
      <c r="DS162" s="3"/>
      <c r="DT162" s="3"/>
      <c r="DU162" s="3"/>
    </row>
    <row r="163" ht="15.0" customHeight="1">
      <c r="A163" s="108" t="s">
        <v>45</v>
      </c>
      <c r="B163" s="50"/>
      <c r="C163" s="51"/>
      <c r="D163" s="101"/>
      <c r="E163" s="109">
        <f t="shared" ref="E163:F163" si="11">SUM(E154:E162)</f>
        <v>60</v>
      </c>
      <c r="F163" s="109">
        <f t="shared" si="11"/>
        <v>60</v>
      </c>
      <c r="G163" s="110"/>
      <c r="H163" s="110"/>
      <c r="I163" s="111"/>
      <c r="J163" s="111"/>
      <c r="K163" s="111"/>
      <c r="L163" s="111"/>
      <c r="M163" s="111"/>
      <c r="N163" s="111"/>
      <c r="O163" s="111"/>
      <c r="P163" s="111"/>
      <c r="Q163" s="111"/>
      <c r="R163" s="111"/>
      <c r="S163" s="111"/>
      <c r="T163" s="111"/>
      <c r="U163" s="111"/>
      <c r="V163" s="111"/>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69"/>
      <c r="BS163" s="69"/>
      <c r="BT163" s="69"/>
      <c r="BU163" s="69"/>
      <c r="BV163" s="69"/>
      <c r="BW163" s="69"/>
      <c r="BX163" s="69"/>
      <c r="BY163" s="69"/>
      <c r="BZ163" s="69"/>
      <c r="CA163" s="69"/>
      <c r="CB163" s="69"/>
      <c r="CC163" s="69"/>
      <c r="CD163" s="69"/>
      <c r="CE163" s="69"/>
      <c r="CF163" s="69"/>
      <c r="CG163" s="69"/>
      <c r="CH163" s="69"/>
      <c r="CI163" s="69"/>
      <c r="CJ163" s="69"/>
      <c r="CK163" s="69"/>
      <c r="CL163" s="69"/>
      <c r="CM163" s="69"/>
      <c r="CN163" s="69"/>
      <c r="CO163" s="69"/>
      <c r="CP163" s="69"/>
      <c r="CQ163" s="69"/>
      <c r="CR163" s="69"/>
      <c r="CS163" s="69"/>
      <c r="CT163" s="69"/>
      <c r="CU163" s="69"/>
      <c r="CV163" s="69"/>
      <c r="CW163" s="69"/>
      <c r="CX163" s="69"/>
      <c r="CY163" s="69"/>
      <c r="CZ163" s="69"/>
      <c r="DA163" s="69"/>
      <c r="DB163" s="69"/>
      <c r="DC163" s="69"/>
      <c r="DD163" s="69"/>
      <c r="DE163" s="69"/>
      <c r="DF163" s="69"/>
      <c r="DG163" s="69"/>
      <c r="DH163" s="69"/>
      <c r="DI163" s="69"/>
      <c r="DJ163" s="112"/>
      <c r="DK163" s="112"/>
      <c r="DL163" s="112"/>
      <c r="DM163" s="112"/>
      <c r="DN163" s="112"/>
      <c r="DO163" s="112"/>
      <c r="DP163" s="112"/>
      <c r="DQ163" s="112"/>
      <c r="DR163" s="112"/>
      <c r="DS163" s="112"/>
      <c r="DT163" s="112"/>
      <c r="DU163" s="112"/>
    </row>
    <row r="164" ht="19.5" customHeight="1">
      <c r="A164" s="113" t="s">
        <v>166</v>
      </c>
      <c r="B164" s="50"/>
      <c r="C164" s="50"/>
      <c r="D164" s="50"/>
      <c r="E164" s="50"/>
      <c r="F164" s="50"/>
      <c r="G164" s="50"/>
      <c r="H164" s="50"/>
      <c r="I164" s="124">
        <v>44110.0</v>
      </c>
      <c r="J164" s="124"/>
      <c r="K164" s="124"/>
      <c r="L164" s="124"/>
      <c r="M164" s="124"/>
      <c r="N164" s="124"/>
      <c r="O164" s="124"/>
      <c r="P164" s="124"/>
      <c r="Q164" s="124"/>
      <c r="R164" s="124"/>
      <c r="S164" s="124"/>
      <c r="T164" s="124"/>
      <c r="U164" s="124"/>
      <c r="V164" s="124"/>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9"/>
      <c r="CD164" s="69"/>
      <c r="CE164" s="69"/>
      <c r="CF164" s="69"/>
      <c r="CG164" s="69"/>
      <c r="CH164" s="69"/>
      <c r="CI164" s="69"/>
      <c r="CJ164" s="69"/>
      <c r="CK164" s="69"/>
      <c r="CL164" s="69"/>
      <c r="CM164" s="69"/>
      <c r="CN164" s="69"/>
      <c r="CO164" s="69"/>
      <c r="CP164" s="69"/>
      <c r="CQ164" s="69"/>
      <c r="CR164" s="69"/>
      <c r="CS164" s="69"/>
      <c r="CT164" s="69"/>
      <c r="CU164" s="69"/>
      <c r="CV164" s="69"/>
      <c r="CW164" s="69"/>
      <c r="CX164" s="69"/>
      <c r="CY164" s="69"/>
      <c r="CZ164" s="69"/>
      <c r="DA164" s="69"/>
      <c r="DB164" s="69"/>
      <c r="DC164" s="69"/>
      <c r="DD164" s="69"/>
      <c r="DE164" s="69"/>
      <c r="DF164" s="69"/>
      <c r="DG164" s="69"/>
      <c r="DH164" s="69"/>
      <c r="DI164" s="69"/>
      <c r="DJ164" s="117"/>
      <c r="DK164" s="117"/>
      <c r="DL164" s="117"/>
      <c r="DM164" s="117"/>
      <c r="DN164" s="117"/>
      <c r="DO164" s="117"/>
      <c r="DP164" s="117"/>
      <c r="DQ164" s="117"/>
      <c r="DR164" s="117"/>
      <c r="DS164" s="117"/>
      <c r="DT164" s="117"/>
      <c r="DU164" s="117"/>
    </row>
    <row r="165" ht="15.75" customHeight="1">
      <c r="A165" s="69"/>
      <c r="B165" s="69"/>
      <c r="C165" s="69"/>
      <c r="D165" s="4"/>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9"/>
      <c r="CD165" s="69"/>
      <c r="CE165" s="69"/>
      <c r="CF165" s="69"/>
      <c r="CG165" s="69"/>
      <c r="CH165" s="69"/>
      <c r="CI165" s="69"/>
      <c r="CJ165" s="69"/>
      <c r="CK165" s="69"/>
      <c r="CL165" s="69"/>
      <c r="CM165" s="69"/>
      <c r="CN165" s="69"/>
      <c r="CO165" s="69"/>
      <c r="CP165" s="69"/>
      <c r="CQ165" s="69"/>
      <c r="CR165" s="69"/>
      <c r="CS165" s="69"/>
      <c r="CT165" s="69"/>
      <c r="CU165" s="69"/>
      <c r="CV165" s="69"/>
      <c r="CW165" s="69"/>
      <c r="CX165" s="69"/>
      <c r="CY165" s="69"/>
      <c r="CZ165" s="69"/>
      <c r="DA165" s="69"/>
      <c r="DB165" s="69"/>
      <c r="DC165" s="69"/>
      <c r="DD165" s="69"/>
      <c r="DE165" s="69"/>
      <c r="DF165" s="69"/>
      <c r="DG165" s="69"/>
      <c r="DH165" s="69"/>
      <c r="DI165" s="69"/>
      <c r="DJ165" s="69"/>
      <c r="DK165" s="69"/>
      <c r="DL165" s="69"/>
      <c r="DM165" s="69"/>
      <c r="DN165" s="69"/>
      <c r="DO165" s="69"/>
      <c r="DP165" s="69"/>
      <c r="DQ165" s="69"/>
      <c r="DR165" s="69"/>
      <c r="DS165" s="69"/>
      <c r="DT165" s="69"/>
      <c r="DU165" s="69"/>
    </row>
    <row r="166" ht="15.75" customHeight="1">
      <c r="A166" s="118" t="s">
        <v>279</v>
      </c>
      <c r="B166" s="67"/>
      <c r="C166" s="67"/>
      <c r="D166" s="67"/>
      <c r="E166" s="67"/>
      <c r="F166" s="67"/>
      <c r="G166" s="67"/>
      <c r="H166" s="68"/>
      <c r="I166" s="94"/>
      <c r="J166" s="94"/>
      <c r="K166" s="94"/>
      <c r="L166" s="94"/>
      <c r="M166" s="94"/>
      <c r="N166" s="94"/>
      <c r="O166" s="94"/>
      <c r="P166" s="94"/>
      <c r="Q166" s="94"/>
      <c r="R166" s="94"/>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9"/>
      <c r="CD166" s="69"/>
      <c r="CE166" s="69"/>
      <c r="CF166" s="69"/>
      <c r="CG166" s="69"/>
      <c r="CH166" s="69"/>
      <c r="CI166" s="69"/>
      <c r="CJ166" s="69"/>
      <c r="CK166" s="69"/>
      <c r="CL166" s="69"/>
      <c r="CM166" s="69"/>
      <c r="CN166" s="69"/>
      <c r="CO166" s="69"/>
      <c r="CP166" s="69"/>
      <c r="CQ166" s="69"/>
      <c r="CR166" s="69"/>
      <c r="CS166" s="69"/>
      <c r="CT166" s="69"/>
      <c r="CU166" s="69"/>
      <c r="CV166" s="69"/>
      <c r="CW166" s="69"/>
      <c r="CX166" s="69"/>
      <c r="CY166" s="69"/>
      <c r="CZ166" s="69"/>
      <c r="DA166" s="69"/>
      <c r="DB166" s="69"/>
      <c r="DC166" s="69"/>
      <c r="DD166" s="69"/>
      <c r="DE166" s="69"/>
      <c r="DF166" s="69"/>
      <c r="DG166" s="69"/>
      <c r="DH166" s="69"/>
      <c r="DI166" s="69"/>
      <c r="DJ166" s="3"/>
      <c r="DK166" s="3"/>
      <c r="DL166" s="3"/>
      <c r="DM166" s="3"/>
      <c r="DN166" s="3"/>
      <c r="DO166" s="3"/>
      <c r="DP166" s="3"/>
      <c r="DQ166" s="3"/>
      <c r="DR166" s="3"/>
      <c r="DS166" s="3"/>
      <c r="DT166" s="3"/>
      <c r="DU166" s="3"/>
    </row>
    <row r="167" ht="15.75" customHeight="1">
      <c r="A167" s="95" t="s">
        <v>6</v>
      </c>
      <c r="B167" s="96" t="s">
        <v>7</v>
      </c>
      <c r="C167" s="97" t="s">
        <v>8</v>
      </c>
      <c r="D167" s="96" t="s">
        <v>9</v>
      </c>
      <c r="E167" s="96" t="s">
        <v>10</v>
      </c>
      <c r="F167" s="96" t="s">
        <v>11</v>
      </c>
      <c r="G167" s="96" t="s">
        <v>12</v>
      </c>
      <c r="H167" s="96" t="s">
        <v>13</v>
      </c>
      <c r="I167" s="98">
        <v>44123.0</v>
      </c>
      <c r="J167" s="98">
        <v>44120.0</v>
      </c>
      <c r="K167" s="98">
        <v>44119.0</v>
      </c>
      <c r="L167" s="98">
        <v>44118.0</v>
      </c>
      <c r="M167" s="98">
        <v>44117.0</v>
      </c>
      <c r="N167" s="98">
        <v>44116.0</v>
      </c>
      <c r="O167" s="98">
        <v>44114.0</v>
      </c>
      <c r="P167" s="98">
        <v>44113.0</v>
      </c>
      <c r="Q167" s="98">
        <v>44112.0</v>
      </c>
      <c r="R167" s="98">
        <v>44111.0</v>
      </c>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c r="BI167" s="69"/>
      <c r="BJ167" s="69"/>
      <c r="BK167" s="69"/>
      <c r="BL167" s="69"/>
      <c r="BM167" s="69"/>
      <c r="BN167" s="69"/>
      <c r="BO167" s="69"/>
      <c r="BP167" s="69"/>
      <c r="BQ167" s="69"/>
      <c r="BR167" s="69"/>
      <c r="BS167" s="69"/>
      <c r="BT167" s="69"/>
      <c r="BU167" s="69"/>
      <c r="BV167" s="69"/>
      <c r="BW167" s="69"/>
      <c r="BX167" s="69"/>
      <c r="BY167" s="69"/>
      <c r="BZ167" s="69"/>
      <c r="CA167" s="69"/>
      <c r="CB167" s="69"/>
      <c r="CC167" s="69"/>
      <c r="CD167" s="69"/>
      <c r="CE167" s="69"/>
      <c r="CF167" s="69"/>
      <c r="CG167" s="69"/>
      <c r="CH167" s="69"/>
      <c r="CI167" s="69"/>
      <c r="CJ167" s="69"/>
      <c r="CK167" s="69"/>
      <c r="CL167" s="69"/>
      <c r="CM167" s="69"/>
      <c r="CN167" s="69"/>
      <c r="CO167" s="69"/>
      <c r="CP167" s="69"/>
      <c r="CQ167" s="69"/>
      <c r="CR167" s="69"/>
      <c r="CS167" s="69"/>
      <c r="CT167" s="69"/>
      <c r="CU167" s="69"/>
      <c r="CV167" s="69"/>
      <c r="CW167" s="69"/>
      <c r="CX167" s="69"/>
      <c r="CY167" s="69"/>
      <c r="CZ167" s="69"/>
      <c r="DA167" s="69"/>
      <c r="DB167" s="69"/>
      <c r="DC167" s="69"/>
      <c r="DD167" s="69"/>
      <c r="DE167" s="69"/>
      <c r="DF167" s="69"/>
      <c r="DG167" s="69"/>
      <c r="DH167" s="69"/>
      <c r="DI167" s="69"/>
      <c r="DJ167" s="3"/>
      <c r="DK167" s="3"/>
      <c r="DL167" s="3"/>
      <c r="DM167" s="3"/>
      <c r="DN167" s="3"/>
      <c r="DO167" s="3"/>
      <c r="DP167" s="3"/>
      <c r="DQ167" s="3"/>
      <c r="DR167" s="3"/>
      <c r="DS167" s="3"/>
      <c r="DT167" s="3"/>
      <c r="DU167" s="3"/>
    </row>
    <row r="168" ht="15.75" customHeight="1">
      <c r="A168" s="99">
        <v>1.0</v>
      </c>
      <c r="B168" s="100" t="s">
        <v>280</v>
      </c>
      <c r="C168" s="101" t="s">
        <v>86</v>
      </c>
      <c r="D168" s="102" t="s">
        <v>42</v>
      </c>
      <c r="E168" s="102">
        <v>8.0</v>
      </c>
      <c r="F168" s="102">
        <v>8.0</v>
      </c>
      <c r="G168" s="6">
        <v>44111.0</v>
      </c>
      <c r="H168" s="6">
        <v>44111.0</v>
      </c>
      <c r="I168" s="111">
        <v>1.0</v>
      </c>
      <c r="J168" s="111">
        <v>1.0</v>
      </c>
      <c r="K168" s="111">
        <v>1.0</v>
      </c>
      <c r="L168" s="111">
        <v>1.0</v>
      </c>
      <c r="M168" s="111">
        <v>1.0</v>
      </c>
      <c r="N168" s="111">
        <v>1.0</v>
      </c>
      <c r="O168" s="111">
        <v>1.0</v>
      </c>
      <c r="P168" s="111">
        <v>1.0</v>
      </c>
      <c r="Q168" s="111">
        <v>1.0</v>
      </c>
      <c r="R168" s="111">
        <v>1.0</v>
      </c>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c r="BN168" s="69"/>
      <c r="BO168" s="69"/>
      <c r="BP168" s="69"/>
      <c r="BQ168" s="69"/>
      <c r="BR168" s="69"/>
      <c r="BS168" s="69"/>
      <c r="BT168" s="69"/>
      <c r="BU168" s="69"/>
      <c r="BV168" s="69"/>
      <c r="BW168" s="69"/>
      <c r="BX168" s="69"/>
      <c r="BY168" s="69"/>
      <c r="BZ168" s="69"/>
      <c r="CA168" s="69"/>
      <c r="CB168" s="69"/>
      <c r="CC168" s="69"/>
      <c r="CD168" s="69"/>
      <c r="CE168" s="69"/>
      <c r="CF168" s="69"/>
      <c r="CG168" s="69"/>
      <c r="CH168" s="69"/>
      <c r="CI168" s="69"/>
      <c r="CJ168" s="69"/>
      <c r="CK168" s="69"/>
      <c r="CL168" s="69"/>
      <c r="CM168" s="69"/>
      <c r="CN168" s="69"/>
      <c r="CO168" s="69"/>
      <c r="CP168" s="69"/>
      <c r="CQ168" s="69"/>
      <c r="CR168" s="69"/>
      <c r="CS168" s="69"/>
      <c r="CT168" s="69"/>
      <c r="CU168" s="69"/>
      <c r="CV168" s="69"/>
      <c r="CW168" s="69"/>
      <c r="CX168" s="69"/>
      <c r="CY168" s="69"/>
      <c r="CZ168" s="69"/>
      <c r="DA168" s="69"/>
      <c r="DB168" s="69"/>
      <c r="DC168" s="69"/>
      <c r="DD168" s="69"/>
      <c r="DE168" s="69"/>
      <c r="DF168" s="69"/>
      <c r="DG168" s="69"/>
      <c r="DH168" s="69"/>
      <c r="DI168" s="69"/>
      <c r="DJ168" s="3"/>
      <c r="DK168" s="3"/>
      <c r="DL168" s="3"/>
      <c r="DM168" s="3"/>
      <c r="DN168" s="3"/>
      <c r="DO168" s="3"/>
      <c r="DP168" s="3"/>
      <c r="DQ168" s="3"/>
      <c r="DR168" s="3"/>
      <c r="DS168" s="3"/>
      <c r="DT168" s="3"/>
      <c r="DU168" s="3"/>
    </row>
    <row r="169" ht="15.75" customHeight="1">
      <c r="A169" s="99">
        <v>2.0</v>
      </c>
      <c r="B169" s="100" t="s">
        <v>259</v>
      </c>
      <c r="C169" s="101" t="s">
        <v>86</v>
      </c>
      <c r="D169" s="102" t="s">
        <v>42</v>
      </c>
      <c r="E169" s="102">
        <v>8.0</v>
      </c>
      <c r="F169" s="102">
        <v>8.0</v>
      </c>
      <c r="G169" s="6">
        <v>44112.0</v>
      </c>
      <c r="H169" s="6">
        <v>44112.0</v>
      </c>
      <c r="I169" s="111">
        <v>1.0</v>
      </c>
      <c r="J169" s="111">
        <v>1.0</v>
      </c>
      <c r="K169" s="111">
        <v>1.0</v>
      </c>
      <c r="L169" s="111">
        <v>1.0</v>
      </c>
      <c r="M169" s="111">
        <v>1.0</v>
      </c>
      <c r="N169" s="111">
        <v>1.0</v>
      </c>
      <c r="O169" s="111">
        <v>1.0</v>
      </c>
      <c r="P169" s="111">
        <v>1.0</v>
      </c>
      <c r="Q169" s="111">
        <v>1.0</v>
      </c>
      <c r="R169" s="111">
        <v>1.0</v>
      </c>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c r="BI169" s="69"/>
      <c r="BJ169" s="69"/>
      <c r="BK169" s="69"/>
      <c r="BL169" s="69"/>
      <c r="BM169" s="69"/>
      <c r="BN169" s="69"/>
      <c r="BO169" s="69"/>
      <c r="BP169" s="69"/>
      <c r="BQ169" s="69"/>
      <c r="BR169" s="69"/>
      <c r="BS169" s="69"/>
      <c r="BT169" s="69"/>
      <c r="BU169" s="69"/>
      <c r="BV169" s="69"/>
      <c r="BW169" s="69"/>
      <c r="BX169" s="69"/>
      <c r="BY169" s="69"/>
      <c r="BZ169" s="69"/>
      <c r="CA169" s="69"/>
      <c r="CB169" s="69"/>
      <c r="CC169" s="69"/>
      <c r="CD169" s="69"/>
      <c r="CE169" s="69"/>
      <c r="CF169" s="69"/>
      <c r="CG169" s="69"/>
      <c r="CH169" s="69"/>
      <c r="CI169" s="69"/>
      <c r="CJ169" s="69"/>
      <c r="CK169" s="69"/>
      <c r="CL169" s="69"/>
      <c r="CM169" s="69"/>
      <c r="CN169" s="69"/>
      <c r="CO169" s="69"/>
      <c r="CP169" s="69"/>
      <c r="CQ169" s="69"/>
      <c r="CR169" s="69"/>
      <c r="CS169" s="69"/>
      <c r="CT169" s="69"/>
      <c r="CU169" s="69"/>
      <c r="CV169" s="69"/>
      <c r="CW169" s="69"/>
      <c r="CX169" s="69"/>
      <c r="CY169" s="69"/>
      <c r="CZ169" s="69"/>
      <c r="DA169" s="69"/>
      <c r="DB169" s="69"/>
      <c r="DC169" s="69"/>
      <c r="DD169" s="69"/>
      <c r="DE169" s="69"/>
      <c r="DF169" s="69"/>
      <c r="DG169" s="69"/>
      <c r="DH169" s="69"/>
      <c r="DI169" s="69"/>
      <c r="DJ169" s="3"/>
      <c r="DK169" s="3"/>
      <c r="DL169" s="3"/>
      <c r="DM169" s="3"/>
      <c r="DN169" s="3"/>
      <c r="DO169" s="3"/>
      <c r="DP169" s="3"/>
      <c r="DQ169" s="3"/>
      <c r="DR169" s="3"/>
      <c r="DS169" s="3"/>
      <c r="DT169" s="3"/>
      <c r="DU169" s="3"/>
    </row>
    <row r="170" ht="15.75" customHeight="1">
      <c r="A170" s="99">
        <v>3.0</v>
      </c>
      <c r="B170" s="100" t="s">
        <v>260</v>
      </c>
      <c r="C170" s="101" t="s">
        <v>86</v>
      </c>
      <c r="D170" s="102" t="s">
        <v>42</v>
      </c>
      <c r="E170" s="102">
        <v>8.0</v>
      </c>
      <c r="F170" s="102">
        <v>8.0</v>
      </c>
      <c r="G170" s="6">
        <v>44112.0</v>
      </c>
      <c r="H170" s="6">
        <v>44112.0</v>
      </c>
      <c r="I170" s="111">
        <v>1.0</v>
      </c>
      <c r="J170" s="111">
        <v>1.0</v>
      </c>
      <c r="K170" s="111">
        <v>1.0</v>
      </c>
      <c r="L170" s="111">
        <v>1.0</v>
      </c>
      <c r="M170" s="111">
        <v>1.0</v>
      </c>
      <c r="N170" s="111">
        <v>1.0</v>
      </c>
      <c r="O170" s="111">
        <v>1.0</v>
      </c>
      <c r="P170" s="111">
        <v>1.0</v>
      </c>
      <c r="Q170" s="111">
        <v>1.0</v>
      </c>
      <c r="R170" s="111">
        <v>1.0</v>
      </c>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c r="BN170" s="69"/>
      <c r="BO170" s="69"/>
      <c r="BP170" s="69"/>
      <c r="BQ170" s="69"/>
      <c r="BR170" s="69"/>
      <c r="BS170" s="69"/>
      <c r="BT170" s="69"/>
      <c r="BU170" s="69"/>
      <c r="BV170" s="69"/>
      <c r="BW170" s="69"/>
      <c r="BX170" s="69"/>
      <c r="BY170" s="69"/>
      <c r="BZ170" s="69"/>
      <c r="CA170" s="69"/>
      <c r="CB170" s="69"/>
      <c r="CC170" s="69"/>
      <c r="CD170" s="69"/>
      <c r="CE170" s="69"/>
      <c r="CF170" s="69"/>
      <c r="CG170" s="69"/>
      <c r="CH170" s="69"/>
      <c r="CI170" s="69"/>
      <c r="CJ170" s="69"/>
      <c r="CK170" s="69"/>
      <c r="CL170" s="69"/>
      <c r="CM170" s="69"/>
      <c r="CN170" s="69"/>
      <c r="CO170" s="69"/>
      <c r="CP170" s="69"/>
      <c r="CQ170" s="69"/>
      <c r="CR170" s="69"/>
      <c r="CS170" s="69"/>
      <c r="CT170" s="69"/>
      <c r="CU170" s="69"/>
      <c r="CV170" s="69"/>
      <c r="CW170" s="69"/>
      <c r="CX170" s="69"/>
      <c r="CY170" s="69"/>
      <c r="CZ170" s="69"/>
      <c r="DA170" s="69"/>
      <c r="DB170" s="69"/>
      <c r="DC170" s="69"/>
      <c r="DD170" s="69"/>
      <c r="DE170" s="69"/>
      <c r="DF170" s="69"/>
      <c r="DG170" s="69"/>
      <c r="DH170" s="69"/>
      <c r="DI170" s="69"/>
      <c r="DJ170" s="3"/>
      <c r="DK170" s="3"/>
      <c r="DL170" s="3"/>
      <c r="DM170" s="3"/>
      <c r="DN170" s="3"/>
      <c r="DO170" s="3"/>
      <c r="DP170" s="3"/>
      <c r="DQ170" s="3"/>
      <c r="DR170" s="3"/>
      <c r="DS170" s="3"/>
      <c r="DT170" s="3"/>
      <c r="DU170" s="3"/>
    </row>
    <row r="171" ht="15.75" customHeight="1">
      <c r="A171" s="99">
        <v>4.0</v>
      </c>
      <c r="B171" s="100" t="s">
        <v>281</v>
      </c>
      <c r="C171" s="101" t="s">
        <v>86</v>
      </c>
      <c r="D171" s="102" t="s">
        <v>42</v>
      </c>
      <c r="E171" s="102">
        <v>16.0</v>
      </c>
      <c r="F171" s="102">
        <v>16.0</v>
      </c>
      <c r="G171" s="6">
        <v>44113.0</v>
      </c>
      <c r="H171" s="6">
        <v>44114.0</v>
      </c>
      <c r="I171" s="111">
        <v>1.0</v>
      </c>
      <c r="J171" s="111">
        <v>1.0</v>
      </c>
      <c r="K171" s="111">
        <v>1.0</v>
      </c>
      <c r="L171" s="111">
        <v>1.0</v>
      </c>
      <c r="M171" s="111">
        <v>1.0</v>
      </c>
      <c r="N171" s="111">
        <v>1.0</v>
      </c>
      <c r="O171" s="111">
        <v>1.0</v>
      </c>
      <c r="P171" s="111">
        <v>0.5</v>
      </c>
      <c r="Q171" s="111"/>
      <c r="R171" s="111"/>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c r="BT171" s="69"/>
      <c r="BU171" s="69"/>
      <c r="BV171" s="69"/>
      <c r="BW171" s="69"/>
      <c r="BX171" s="69"/>
      <c r="BY171" s="69"/>
      <c r="BZ171" s="69"/>
      <c r="CA171" s="69"/>
      <c r="CB171" s="69"/>
      <c r="CC171" s="69"/>
      <c r="CD171" s="69"/>
      <c r="CE171" s="69"/>
      <c r="CF171" s="69"/>
      <c r="CG171" s="69"/>
      <c r="CH171" s="69"/>
      <c r="CI171" s="69"/>
      <c r="CJ171" s="69"/>
      <c r="CK171" s="69"/>
      <c r="CL171" s="69"/>
      <c r="CM171" s="69"/>
      <c r="CN171" s="69"/>
      <c r="CO171" s="69"/>
      <c r="CP171" s="69"/>
      <c r="CQ171" s="69"/>
      <c r="CR171" s="69"/>
      <c r="CS171" s="69"/>
      <c r="CT171" s="69"/>
      <c r="CU171" s="69"/>
      <c r="CV171" s="69"/>
      <c r="CW171" s="69"/>
      <c r="CX171" s="69"/>
      <c r="CY171" s="69"/>
      <c r="CZ171" s="69"/>
      <c r="DA171" s="69"/>
      <c r="DB171" s="69"/>
      <c r="DC171" s="69"/>
      <c r="DD171" s="69"/>
      <c r="DE171" s="69"/>
      <c r="DF171" s="69"/>
      <c r="DG171" s="69"/>
      <c r="DH171" s="69"/>
      <c r="DI171" s="69"/>
      <c r="DJ171" s="3"/>
      <c r="DK171" s="3"/>
      <c r="DL171" s="3"/>
      <c r="DM171" s="3"/>
      <c r="DN171" s="3"/>
      <c r="DO171" s="3"/>
      <c r="DP171" s="3"/>
      <c r="DQ171" s="3"/>
      <c r="DR171" s="3"/>
      <c r="DS171" s="3"/>
      <c r="DT171" s="3"/>
      <c r="DU171" s="3"/>
    </row>
    <row r="172" ht="15.75" customHeight="1">
      <c r="A172" s="99">
        <v>5.0</v>
      </c>
      <c r="B172" s="100" t="s">
        <v>282</v>
      </c>
      <c r="C172" s="101" t="s">
        <v>86</v>
      </c>
      <c r="D172" s="102" t="s">
        <v>55</v>
      </c>
      <c r="E172" s="102">
        <v>16.0</v>
      </c>
      <c r="F172" s="102">
        <v>16.0</v>
      </c>
      <c r="G172" s="6">
        <v>44113.0</v>
      </c>
      <c r="H172" s="6">
        <v>44114.0</v>
      </c>
      <c r="I172" s="111">
        <v>1.0</v>
      </c>
      <c r="J172" s="111">
        <v>1.0</v>
      </c>
      <c r="K172" s="111">
        <v>1.0</v>
      </c>
      <c r="L172" s="111">
        <v>1.0</v>
      </c>
      <c r="M172" s="111">
        <v>1.0</v>
      </c>
      <c r="N172" s="111">
        <v>1.0</v>
      </c>
      <c r="O172" s="111">
        <v>1.0</v>
      </c>
      <c r="P172" s="111">
        <v>0.5</v>
      </c>
      <c r="Q172" s="111"/>
      <c r="R172" s="111"/>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3"/>
      <c r="DK172" s="3"/>
      <c r="DL172" s="3"/>
      <c r="DM172" s="3"/>
      <c r="DN172" s="3"/>
      <c r="DO172" s="3"/>
      <c r="DP172" s="3"/>
      <c r="DQ172" s="3"/>
      <c r="DR172" s="3"/>
      <c r="DS172" s="3"/>
      <c r="DT172" s="3"/>
      <c r="DU172" s="3"/>
    </row>
    <row r="173" ht="15.75" customHeight="1">
      <c r="A173" s="99">
        <v>6.0</v>
      </c>
      <c r="B173" s="100" t="s">
        <v>283</v>
      </c>
      <c r="C173" s="101" t="s">
        <v>86</v>
      </c>
      <c r="D173" s="102" t="s">
        <v>51</v>
      </c>
      <c r="E173" s="102">
        <v>8.0</v>
      </c>
      <c r="F173" s="102">
        <v>10.0</v>
      </c>
      <c r="G173" s="6">
        <v>44113.0</v>
      </c>
      <c r="H173" s="6">
        <v>44114.0</v>
      </c>
      <c r="I173" s="111">
        <v>1.0</v>
      </c>
      <c r="J173" s="111">
        <v>1.0</v>
      </c>
      <c r="K173" s="111">
        <v>1.0</v>
      </c>
      <c r="L173" s="111">
        <v>1.0</v>
      </c>
      <c r="M173" s="111">
        <v>1.0</v>
      </c>
      <c r="N173" s="111">
        <v>1.0</v>
      </c>
      <c r="O173" s="111">
        <v>1.0</v>
      </c>
      <c r="P173" s="111">
        <v>0.5</v>
      </c>
      <c r="Q173" s="111"/>
      <c r="R173" s="111"/>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3"/>
      <c r="DK173" s="3"/>
      <c r="DL173" s="3"/>
      <c r="DM173" s="3"/>
      <c r="DN173" s="3"/>
      <c r="DO173" s="3"/>
      <c r="DP173" s="3"/>
      <c r="DQ173" s="3"/>
      <c r="DR173" s="3"/>
      <c r="DS173" s="3"/>
      <c r="DT173" s="3"/>
      <c r="DU173" s="3"/>
    </row>
    <row r="174" ht="15.75" customHeight="1">
      <c r="A174" s="99">
        <v>7.0</v>
      </c>
      <c r="B174" s="100" t="s">
        <v>284</v>
      </c>
      <c r="C174" s="101" t="s">
        <v>86</v>
      </c>
      <c r="D174" s="102" t="s">
        <v>51</v>
      </c>
      <c r="E174" s="102">
        <v>16.0</v>
      </c>
      <c r="F174" s="102">
        <v>16.0</v>
      </c>
      <c r="G174" s="6">
        <v>44111.0</v>
      </c>
      <c r="H174" s="6">
        <v>44116.0</v>
      </c>
      <c r="I174" s="111">
        <v>1.0</v>
      </c>
      <c r="J174" s="111">
        <v>1.0</v>
      </c>
      <c r="K174" s="111">
        <v>1.0</v>
      </c>
      <c r="L174" s="111">
        <v>1.0</v>
      </c>
      <c r="M174" s="111">
        <v>1.0</v>
      </c>
      <c r="N174" s="111">
        <v>1.0</v>
      </c>
      <c r="O174" s="111">
        <v>0.6</v>
      </c>
      <c r="P174" s="111">
        <v>0.6</v>
      </c>
      <c r="Q174" s="111">
        <v>0.6</v>
      </c>
      <c r="R174" s="111">
        <v>0.3</v>
      </c>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3"/>
      <c r="DK174" s="3"/>
      <c r="DL174" s="3"/>
      <c r="DM174" s="3"/>
      <c r="DN174" s="3"/>
      <c r="DO174" s="3"/>
      <c r="DP174" s="3"/>
      <c r="DQ174" s="3"/>
      <c r="DR174" s="3"/>
      <c r="DS174" s="3"/>
      <c r="DT174" s="3"/>
      <c r="DU174" s="3"/>
    </row>
    <row r="175" ht="15.0" customHeight="1">
      <c r="A175" s="108" t="s">
        <v>45</v>
      </c>
      <c r="B175" s="50"/>
      <c r="C175" s="51"/>
      <c r="D175" s="101"/>
      <c r="E175" s="109">
        <f t="shared" ref="E175:F175" si="12">SUM(E168:E174)</f>
        <v>80</v>
      </c>
      <c r="F175" s="109">
        <f t="shared" si="12"/>
        <v>82</v>
      </c>
      <c r="G175" s="110"/>
      <c r="H175" s="110"/>
      <c r="I175" s="111"/>
      <c r="J175" s="111"/>
      <c r="K175" s="111"/>
      <c r="L175" s="111"/>
      <c r="M175" s="111"/>
      <c r="N175" s="111"/>
      <c r="O175" s="111"/>
      <c r="P175" s="111"/>
      <c r="Q175" s="111"/>
      <c r="R175" s="111"/>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c r="BT175" s="69"/>
      <c r="BU175" s="69"/>
      <c r="BV175" s="69"/>
      <c r="BW175" s="69"/>
      <c r="BX175" s="69"/>
      <c r="BY175" s="69"/>
      <c r="BZ175" s="69"/>
      <c r="CA175" s="69"/>
      <c r="CB175" s="69"/>
      <c r="CC175" s="69"/>
      <c r="CD175" s="69"/>
      <c r="CE175" s="69"/>
      <c r="CF175" s="69"/>
      <c r="CG175" s="69"/>
      <c r="CH175" s="69"/>
      <c r="CI175" s="69"/>
      <c r="CJ175" s="69"/>
      <c r="CK175" s="69"/>
      <c r="CL175" s="69"/>
      <c r="CM175" s="69"/>
      <c r="CN175" s="69"/>
      <c r="CO175" s="69"/>
      <c r="CP175" s="69"/>
      <c r="CQ175" s="69"/>
      <c r="CR175" s="69"/>
      <c r="CS175" s="69"/>
      <c r="CT175" s="69"/>
      <c r="CU175" s="69"/>
      <c r="CV175" s="69"/>
      <c r="CW175" s="69"/>
      <c r="CX175" s="69"/>
      <c r="CY175" s="69"/>
      <c r="CZ175" s="69"/>
      <c r="DA175" s="69"/>
      <c r="DB175" s="69"/>
      <c r="DC175" s="69"/>
      <c r="DD175" s="69"/>
      <c r="DE175" s="69"/>
      <c r="DF175" s="69"/>
      <c r="DG175" s="69"/>
      <c r="DH175" s="69"/>
      <c r="DI175" s="69"/>
      <c r="DJ175" s="112"/>
      <c r="DK175" s="112"/>
      <c r="DL175" s="112"/>
      <c r="DM175" s="112"/>
      <c r="DN175" s="112"/>
      <c r="DO175" s="112"/>
      <c r="DP175" s="112"/>
      <c r="DQ175" s="112"/>
      <c r="DR175" s="112"/>
      <c r="DS175" s="112"/>
      <c r="DT175" s="112"/>
      <c r="DU175" s="112"/>
    </row>
    <row r="176" ht="19.5" customHeight="1">
      <c r="A176" s="113" t="s">
        <v>166</v>
      </c>
      <c r="B176" s="50"/>
      <c r="C176" s="50"/>
      <c r="D176" s="50"/>
      <c r="E176" s="50"/>
      <c r="F176" s="50"/>
      <c r="G176" s="50"/>
      <c r="H176" s="50"/>
      <c r="I176" s="124">
        <v>44117.0</v>
      </c>
      <c r="J176" s="124"/>
      <c r="K176" s="124"/>
      <c r="L176" s="124"/>
      <c r="M176" s="124"/>
      <c r="N176" s="124"/>
      <c r="O176" s="124"/>
      <c r="P176" s="124"/>
      <c r="Q176" s="124"/>
      <c r="R176" s="124"/>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c r="BT176" s="69"/>
      <c r="BU176" s="69"/>
      <c r="BV176" s="69"/>
      <c r="BW176" s="69"/>
      <c r="BX176" s="69"/>
      <c r="BY176" s="69"/>
      <c r="BZ176" s="69"/>
      <c r="CA176" s="69"/>
      <c r="CB176" s="69"/>
      <c r="CC176" s="69"/>
      <c r="CD176" s="69"/>
      <c r="CE176" s="69"/>
      <c r="CF176" s="69"/>
      <c r="CG176" s="69"/>
      <c r="CH176" s="69"/>
      <c r="CI176" s="69"/>
      <c r="CJ176" s="69"/>
      <c r="CK176" s="69"/>
      <c r="CL176" s="69"/>
      <c r="CM176" s="69"/>
      <c r="CN176" s="69"/>
      <c r="CO176" s="69"/>
      <c r="CP176" s="69"/>
      <c r="CQ176" s="69"/>
      <c r="CR176" s="69"/>
      <c r="CS176" s="69"/>
      <c r="CT176" s="69"/>
      <c r="CU176" s="69"/>
      <c r="CV176" s="69"/>
      <c r="CW176" s="69"/>
      <c r="CX176" s="69"/>
      <c r="CY176" s="69"/>
      <c r="CZ176" s="69"/>
      <c r="DA176" s="69"/>
      <c r="DB176" s="69"/>
      <c r="DC176" s="69"/>
      <c r="DD176" s="69"/>
      <c r="DE176" s="69"/>
      <c r="DF176" s="69"/>
      <c r="DG176" s="69"/>
      <c r="DH176" s="69"/>
      <c r="DI176" s="69"/>
      <c r="DJ176" s="117"/>
      <c r="DK176" s="117"/>
      <c r="DL176" s="117"/>
      <c r="DM176" s="117"/>
      <c r="DN176" s="117"/>
      <c r="DO176" s="117"/>
      <c r="DP176" s="117"/>
      <c r="DQ176" s="117"/>
      <c r="DR176" s="117"/>
      <c r="DS176" s="117"/>
      <c r="DT176" s="117"/>
      <c r="DU176" s="117"/>
    </row>
    <row r="177" ht="15.75" customHeight="1">
      <c r="A177" s="69"/>
      <c r="B177" s="69"/>
      <c r="C177" s="69"/>
      <c r="D177" s="4"/>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69"/>
      <c r="BS177" s="69"/>
      <c r="BT177" s="69"/>
      <c r="BU177" s="69"/>
      <c r="BV177" s="69"/>
      <c r="BW177" s="69"/>
      <c r="BX177" s="69"/>
      <c r="BY177" s="69"/>
      <c r="BZ177" s="69"/>
      <c r="CA177" s="69"/>
      <c r="CB177" s="69"/>
      <c r="CC177" s="69"/>
      <c r="CD177" s="69"/>
      <c r="CE177" s="69"/>
      <c r="CF177" s="69"/>
      <c r="CG177" s="69"/>
      <c r="CH177" s="69"/>
      <c r="CI177" s="69"/>
      <c r="CJ177" s="69"/>
      <c r="CK177" s="69"/>
      <c r="CL177" s="69"/>
      <c r="CM177" s="69"/>
      <c r="CN177" s="69"/>
      <c r="CO177" s="69"/>
      <c r="CP177" s="69"/>
      <c r="CQ177" s="69"/>
      <c r="CR177" s="69"/>
      <c r="CS177" s="69"/>
      <c r="CT177" s="69"/>
      <c r="CU177" s="69"/>
      <c r="CV177" s="69"/>
      <c r="CW177" s="69"/>
      <c r="CX177" s="69"/>
      <c r="CY177" s="69"/>
      <c r="CZ177" s="69"/>
      <c r="DA177" s="69"/>
      <c r="DB177" s="69"/>
      <c r="DC177" s="69"/>
      <c r="DD177" s="69"/>
      <c r="DE177" s="69"/>
      <c r="DF177" s="69"/>
      <c r="DG177" s="69"/>
      <c r="DH177" s="69"/>
      <c r="DI177" s="69"/>
      <c r="DJ177" s="69"/>
      <c r="DK177" s="69"/>
      <c r="DL177" s="69"/>
      <c r="DM177" s="69"/>
      <c r="DN177" s="69"/>
      <c r="DO177" s="69"/>
      <c r="DP177" s="69"/>
      <c r="DQ177" s="69"/>
      <c r="DR177" s="69"/>
      <c r="DS177" s="69"/>
      <c r="DT177" s="69"/>
      <c r="DU177" s="69"/>
    </row>
    <row r="178" ht="15.75" customHeight="1">
      <c r="A178" s="118" t="s">
        <v>285</v>
      </c>
      <c r="B178" s="67"/>
      <c r="C178" s="67"/>
      <c r="D178" s="67"/>
      <c r="E178" s="67"/>
      <c r="F178" s="67"/>
      <c r="G178" s="67"/>
      <c r="H178" s="68"/>
      <c r="I178" s="94"/>
      <c r="J178" s="94"/>
      <c r="K178" s="94"/>
      <c r="L178" s="94"/>
      <c r="M178" s="94"/>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c r="BN178" s="69"/>
      <c r="BO178" s="69"/>
      <c r="BP178" s="69"/>
      <c r="BQ178" s="69"/>
      <c r="BR178" s="69"/>
      <c r="BS178" s="69"/>
      <c r="BT178" s="69"/>
      <c r="BU178" s="69"/>
      <c r="BV178" s="69"/>
      <c r="BW178" s="69"/>
      <c r="BX178" s="69"/>
      <c r="BY178" s="69"/>
      <c r="BZ178" s="69"/>
      <c r="CA178" s="69"/>
      <c r="CB178" s="69"/>
      <c r="CC178" s="69"/>
      <c r="CD178" s="69"/>
      <c r="CE178" s="69"/>
      <c r="CF178" s="69"/>
      <c r="CG178" s="69"/>
      <c r="CH178" s="69"/>
      <c r="CI178" s="69"/>
      <c r="CJ178" s="69"/>
      <c r="CK178" s="69"/>
      <c r="CL178" s="69"/>
      <c r="CM178" s="69"/>
      <c r="CN178" s="69"/>
      <c r="CO178" s="69"/>
      <c r="CP178" s="69"/>
      <c r="CQ178" s="69"/>
      <c r="CR178" s="69"/>
      <c r="CS178" s="69"/>
      <c r="CT178" s="69"/>
      <c r="CU178" s="69"/>
      <c r="CV178" s="69"/>
      <c r="CW178" s="69"/>
      <c r="CX178" s="69"/>
      <c r="CY178" s="69"/>
      <c r="CZ178" s="69"/>
      <c r="DA178" s="69"/>
      <c r="DB178" s="69"/>
      <c r="DC178" s="69"/>
      <c r="DD178" s="69"/>
      <c r="DE178" s="69"/>
      <c r="DF178" s="69"/>
      <c r="DG178" s="69"/>
      <c r="DH178" s="69"/>
      <c r="DI178" s="69"/>
      <c r="DJ178" s="3"/>
      <c r="DK178" s="3"/>
      <c r="DL178" s="3"/>
      <c r="DM178" s="3"/>
      <c r="DN178" s="3"/>
      <c r="DO178" s="3"/>
      <c r="DP178" s="3"/>
      <c r="DQ178" s="3"/>
      <c r="DR178" s="3"/>
      <c r="DS178" s="3"/>
      <c r="DT178" s="3"/>
      <c r="DU178" s="3"/>
    </row>
    <row r="179" ht="15.75" customHeight="1">
      <c r="A179" s="95" t="s">
        <v>6</v>
      </c>
      <c r="B179" s="96" t="s">
        <v>7</v>
      </c>
      <c r="C179" s="97" t="s">
        <v>8</v>
      </c>
      <c r="D179" s="96" t="s">
        <v>9</v>
      </c>
      <c r="E179" s="96" t="s">
        <v>10</v>
      </c>
      <c r="F179" s="96" t="s">
        <v>11</v>
      </c>
      <c r="G179" s="96" t="s">
        <v>12</v>
      </c>
      <c r="H179" s="96" t="s">
        <v>13</v>
      </c>
      <c r="I179" s="98">
        <v>44123.0</v>
      </c>
      <c r="J179" s="98">
        <v>44120.0</v>
      </c>
      <c r="K179" s="98">
        <v>44119.0</v>
      </c>
      <c r="L179" s="98">
        <v>44118.0</v>
      </c>
      <c r="M179" s="98">
        <v>44117.0</v>
      </c>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c r="BI179" s="69"/>
      <c r="BJ179" s="69"/>
      <c r="BK179" s="69"/>
      <c r="BL179" s="69"/>
      <c r="BM179" s="69"/>
      <c r="BN179" s="69"/>
      <c r="BO179" s="69"/>
      <c r="BP179" s="69"/>
      <c r="BQ179" s="69"/>
      <c r="BR179" s="69"/>
      <c r="BS179" s="69"/>
      <c r="BT179" s="69"/>
      <c r="BU179" s="69"/>
      <c r="BV179" s="69"/>
      <c r="BW179" s="69"/>
      <c r="BX179" s="69"/>
      <c r="BY179" s="69"/>
      <c r="BZ179" s="69"/>
      <c r="CA179" s="69"/>
      <c r="CB179" s="69"/>
      <c r="CC179" s="69"/>
      <c r="CD179" s="69"/>
      <c r="CE179" s="69"/>
      <c r="CF179" s="69"/>
      <c r="CG179" s="69"/>
      <c r="CH179" s="69"/>
      <c r="CI179" s="69"/>
      <c r="CJ179" s="69"/>
      <c r="CK179" s="69"/>
      <c r="CL179" s="69"/>
      <c r="CM179" s="69"/>
      <c r="CN179" s="69"/>
      <c r="CO179" s="69"/>
      <c r="CP179" s="69"/>
      <c r="CQ179" s="69"/>
      <c r="CR179" s="69"/>
      <c r="CS179" s="69"/>
      <c r="CT179" s="69"/>
      <c r="CU179" s="69"/>
      <c r="CV179" s="69"/>
      <c r="CW179" s="69"/>
      <c r="CX179" s="69"/>
      <c r="CY179" s="69"/>
      <c r="CZ179" s="69"/>
      <c r="DA179" s="69"/>
      <c r="DB179" s="69"/>
      <c r="DC179" s="69"/>
      <c r="DD179" s="69"/>
      <c r="DE179" s="69"/>
      <c r="DF179" s="69"/>
      <c r="DG179" s="69"/>
      <c r="DH179" s="69"/>
      <c r="DI179" s="69"/>
      <c r="DJ179" s="3"/>
      <c r="DK179" s="3"/>
      <c r="DL179" s="3"/>
      <c r="DM179" s="3"/>
      <c r="DN179" s="3"/>
      <c r="DO179" s="3"/>
      <c r="DP179" s="3"/>
      <c r="DQ179" s="3"/>
      <c r="DR179" s="3"/>
      <c r="DS179" s="3"/>
      <c r="DT179" s="3"/>
      <c r="DU179" s="3"/>
    </row>
    <row r="180" ht="15.75" customHeight="1">
      <c r="A180" s="99">
        <v>1.0</v>
      </c>
      <c r="B180" s="100" t="s">
        <v>286</v>
      </c>
      <c r="C180" s="101" t="s">
        <v>86</v>
      </c>
      <c r="D180" s="102" t="s">
        <v>42</v>
      </c>
      <c r="E180" s="102">
        <v>24.0</v>
      </c>
      <c r="F180" s="102">
        <v>25.0</v>
      </c>
      <c r="G180" s="6">
        <v>44117.0</v>
      </c>
      <c r="H180" s="6">
        <v>44120.0</v>
      </c>
      <c r="I180" s="111">
        <v>1.0</v>
      </c>
      <c r="J180" s="111">
        <v>1.0</v>
      </c>
      <c r="K180" s="111">
        <v>0.8</v>
      </c>
      <c r="L180" s="111">
        <v>0.6</v>
      </c>
      <c r="M180" s="111">
        <v>0.4</v>
      </c>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c r="BN180" s="69"/>
      <c r="BO180" s="69"/>
      <c r="BP180" s="69"/>
      <c r="BQ180" s="69"/>
      <c r="BR180" s="69"/>
      <c r="BS180" s="69"/>
      <c r="BT180" s="69"/>
      <c r="BU180" s="69"/>
      <c r="BV180" s="69"/>
      <c r="BW180" s="69"/>
      <c r="BX180" s="69"/>
      <c r="BY180" s="69"/>
      <c r="BZ180" s="69"/>
      <c r="CA180" s="69"/>
      <c r="CB180" s="69"/>
      <c r="CC180" s="69"/>
      <c r="CD180" s="69"/>
      <c r="CE180" s="69"/>
      <c r="CF180" s="69"/>
      <c r="CG180" s="69"/>
      <c r="CH180" s="69"/>
      <c r="CI180" s="69"/>
      <c r="CJ180" s="69"/>
      <c r="CK180" s="69"/>
      <c r="CL180" s="69"/>
      <c r="CM180" s="69"/>
      <c r="CN180" s="69"/>
      <c r="CO180" s="69"/>
      <c r="CP180" s="69"/>
      <c r="CQ180" s="69"/>
      <c r="CR180" s="69"/>
      <c r="CS180" s="69"/>
      <c r="CT180" s="69"/>
      <c r="CU180" s="69"/>
      <c r="CV180" s="69"/>
      <c r="CW180" s="69"/>
      <c r="CX180" s="69"/>
      <c r="CY180" s="69"/>
      <c r="CZ180" s="69"/>
      <c r="DA180" s="69"/>
      <c r="DB180" s="69"/>
      <c r="DC180" s="69"/>
      <c r="DD180" s="69"/>
      <c r="DE180" s="69"/>
      <c r="DF180" s="69"/>
      <c r="DG180" s="69"/>
      <c r="DH180" s="69"/>
      <c r="DI180" s="69"/>
      <c r="DJ180" s="3"/>
      <c r="DK180" s="3"/>
      <c r="DL180" s="3"/>
      <c r="DM180" s="3"/>
      <c r="DN180" s="3"/>
      <c r="DO180" s="3"/>
      <c r="DP180" s="3"/>
      <c r="DQ180" s="3"/>
      <c r="DR180" s="3"/>
      <c r="DS180" s="3"/>
      <c r="DT180" s="3"/>
      <c r="DU180" s="3"/>
    </row>
    <row r="181" ht="15.75" customHeight="1">
      <c r="A181" s="99">
        <v>2.0</v>
      </c>
      <c r="B181" s="100" t="s">
        <v>259</v>
      </c>
      <c r="C181" s="101" t="s">
        <v>86</v>
      </c>
      <c r="D181" s="102" t="s">
        <v>42</v>
      </c>
      <c r="E181" s="102">
        <v>12.0</v>
      </c>
      <c r="F181" s="102">
        <v>14.0</v>
      </c>
      <c r="G181" s="6">
        <v>44117.0</v>
      </c>
      <c r="H181" s="6">
        <v>44123.0</v>
      </c>
      <c r="I181" s="111">
        <v>1.0</v>
      </c>
      <c r="J181" s="111">
        <v>0.8</v>
      </c>
      <c r="K181" s="111">
        <v>0.8</v>
      </c>
      <c r="L181" s="111">
        <v>0.6</v>
      </c>
      <c r="M181" s="111">
        <v>0.4</v>
      </c>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c r="BI181" s="69"/>
      <c r="BJ181" s="69"/>
      <c r="BK181" s="69"/>
      <c r="BL181" s="69"/>
      <c r="BM181" s="69"/>
      <c r="BN181" s="69"/>
      <c r="BO181" s="69"/>
      <c r="BP181" s="69"/>
      <c r="BQ181" s="69"/>
      <c r="BR181" s="69"/>
      <c r="BS181" s="69"/>
      <c r="BT181" s="69"/>
      <c r="BU181" s="69"/>
      <c r="BV181" s="69"/>
      <c r="BW181" s="69"/>
      <c r="BX181" s="69"/>
      <c r="BY181" s="69"/>
      <c r="BZ181" s="69"/>
      <c r="CA181" s="69"/>
      <c r="CB181" s="69"/>
      <c r="CC181" s="69"/>
      <c r="CD181" s="69"/>
      <c r="CE181" s="69"/>
      <c r="CF181" s="69"/>
      <c r="CG181" s="69"/>
      <c r="CH181" s="69"/>
      <c r="CI181" s="69"/>
      <c r="CJ181" s="69"/>
      <c r="CK181" s="69"/>
      <c r="CL181" s="69"/>
      <c r="CM181" s="69"/>
      <c r="CN181" s="69"/>
      <c r="CO181" s="69"/>
      <c r="CP181" s="69"/>
      <c r="CQ181" s="69"/>
      <c r="CR181" s="69"/>
      <c r="CS181" s="69"/>
      <c r="CT181" s="69"/>
      <c r="CU181" s="69"/>
      <c r="CV181" s="69"/>
      <c r="CW181" s="69"/>
      <c r="CX181" s="69"/>
      <c r="CY181" s="69"/>
      <c r="CZ181" s="69"/>
      <c r="DA181" s="69"/>
      <c r="DB181" s="69"/>
      <c r="DC181" s="69"/>
      <c r="DD181" s="69"/>
      <c r="DE181" s="69"/>
      <c r="DF181" s="69"/>
      <c r="DG181" s="69"/>
      <c r="DH181" s="69"/>
      <c r="DI181" s="69"/>
      <c r="DJ181" s="3"/>
      <c r="DK181" s="3"/>
      <c r="DL181" s="3"/>
      <c r="DM181" s="3"/>
      <c r="DN181" s="3"/>
      <c r="DO181" s="3"/>
      <c r="DP181" s="3"/>
      <c r="DQ181" s="3"/>
      <c r="DR181" s="3"/>
      <c r="DS181" s="3"/>
      <c r="DT181" s="3"/>
      <c r="DU181" s="3"/>
    </row>
    <row r="182" ht="15.75" customHeight="1">
      <c r="A182" s="99">
        <v>3.0</v>
      </c>
      <c r="B182" s="100" t="s">
        <v>260</v>
      </c>
      <c r="C182" s="101" t="s">
        <v>86</v>
      </c>
      <c r="D182" s="102" t="s">
        <v>55</v>
      </c>
      <c r="E182" s="102">
        <v>4.0</v>
      </c>
      <c r="F182" s="102">
        <v>4.0</v>
      </c>
      <c r="G182" s="6">
        <v>44117.0</v>
      </c>
      <c r="H182" s="6">
        <v>44123.0</v>
      </c>
      <c r="I182" s="111">
        <v>1.0</v>
      </c>
      <c r="J182" s="111">
        <v>0.8</v>
      </c>
      <c r="K182" s="111">
        <v>0.8</v>
      </c>
      <c r="L182" s="111">
        <v>0.8</v>
      </c>
      <c r="M182" s="111">
        <v>0.8</v>
      </c>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69"/>
      <c r="BS182" s="69"/>
      <c r="BT182" s="69"/>
      <c r="BU182" s="69"/>
      <c r="BV182" s="69"/>
      <c r="BW182" s="69"/>
      <c r="BX182" s="69"/>
      <c r="BY182" s="69"/>
      <c r="BZ182" s="69"/>
      <c r="CA182" s="69"/>
      <c r="CB182" s="69"/>
      <c r="CC182" s="69"/>
      <c r="CD182" s="69"/>
      <c r="CE182" s="69"/>
      <c r="CF182" s="69"/>
      <c r="CG182" s="69"/>
      <c r="CH182" s="69"/>
      <c r="CI182" s="69"/>
      <c r="CJ182" s="69"/>
      <c r="CK182" s="69"/>
      <c r="CL182" s="69"/>
      <c r="CM182" s="69"/>
      <c r="CN182" s="69"/>
      <c r="CO182" s="69"/>
      <c r="CP182" s="69"/>
      <c r="CQ182" s="69"/>
      <c r="CR182" s="69"/>
      <c r="CS182" s="69"/>
      <c r="CT182" s="69"/>
      <c r="CU182" s="69"/>
      <c r="CV182" s="69"/>
      <c r="CW182" s="69"/>
      <c r="CX182" s="69"/>
      <c r="CY182" s="69"/>
      <c r="CZ182" s="69"/>
      <c r="DA182" s="69"/>
      <c r="DB182" s="69"/>
      <c r="DC182" s="69"/>
      <c r="DD182" s="69"/>
      <c r="DE182" s="69"/>
      <c r="DF182" s="69"/>
      <c r="DG182" s="69"/>
      <c r="DH182" s="69"/>
      <c r="DI182" s="69"/>
      <c r="DJ182" s="3"/>
      <c r="DK182" s="3"/>
      <c r="DL182" s="3"/>
      <c r="DM182" s="3"/>
      <c r="DN182" s="3"/>
      <c r="DO182" s="3"/>
      <c r="DP182" s="3"/>
      <c r="DQ182" s="3"/>
      <c r="DR182" s="3"/>
      <c r="DS182" s="3"/>
      <c r="DT182" s="3"/>
      <c r="DU182" s="3"/>
    </row>
    <row r="183" ht="15.75" customHeight="1">
      <c r="A183" s="99">
        <v>4.0</v>
      </c>
      <c r="B183" s="100" t="s">
        <v>261</v>
      </c>
      <c r="C183" s="101" t="s">
        <v>86</v>
      </c>
      <c r="D183" s="102" t="s">
        <v>51</v>
      </c>
      <c r="E183" s="102">
        <v>4.0</v>
      </c>
      <c r="F183" s="102">
        <v>4.0</v>
      </c>
      <c r="G183" s="6">
        <v>44117.0</v>
      </c>
      <c r="H183" s="6">
        <v>44123.0</v>
      </c>
      <c r="I183" s="111">
        <v>1.0</v>
      </c>
      <c r="J183" s="111">
        <v>0.8</v>
      </c>
      <c r="K183" s="111">
        <v>0.8</v>
      </c>
      <c r="L183" s="111">
        <v>0.8</v>
      </c>
      <c r="M183" s="111">
        <v>0.8</v>
      </c>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c r="BI183" s="69"/>
      <c r="BJ183" s="69"/>
      <c r="BK183" s="69"/>
      <c r="BL183" s="69"/>
      <c r="BM183" s="69"/>
      <c r="BN183" s="69"/>
      <c r="BO183" s="69"/>
      <c r="BP183" s="69"/>
      <c r="BQ183" s="69"/>
      <c r="BR183" s="69"/>
      <c r="BS183" s="69"/>
      <c r="BT183" s="69"/>
      <c r="BU183" s="69"/>
      <c r="BV183" s="69"/>
      <c r="BW183" s="69"/>
      <c r="BX183" s="69"/>
      <c r="BY183" s="69"/>
      <c r="BZ183" s="69"/>
      <c r="CA183" s="69"/>
      <c r="CB183" s="69"/>
      <c r="CC183" s="69"/>
      <c r="CD183" s="69"/>
      <c r="CE183" s="69"/>
      <c r="CF183" s="69"/>
      <c r="CG183" s="69"/>
      <c r="CH183" s="69"/>
      <c r="CI183" s="69"/>
      <c r="CJ183" s="69"/>
      <c r="CK183" s="69"/>
      <c r="CL183" s="69"/>
      <c r="CM183" s="69"/>
      <c r="CN183" s="69"/>
      <c r="CO183" s="69"/>
      <c r="CP183" s="69"/>
      <c r="CQ183" s="69"/>
      <c r="CR183" s="69"/>
      <c r="CS183" s="69"/>
      <c r="CT183" s="69"/>
      <c r="CU183" s="69"/>
      <c r="CV183" s="69"/>
      <c r="CW183" s="69"/>
      <c r="CX183" s="69"/>
      <c r="CY183" s="69"/>
      <c r="CZ183" s="69"/>
      <c r="DA183" s="69"/>
      <c r="DB183" s="69"/>
      <c r="DC183" s="69"/>
      <c r="DD183" s="69"/>
      <c r="DE183" s="69"/>
      <c r="DF183" s="69"/>
      <c r="DG183" s="69"/>
      <c r="DH183" s="69"/>
      <c r="DI183" s="69"/>
      <c r="DJ183" s="3"/>
      <c r="DK183" s="3"/>
      <c r="DL183" s="3"/>
      <c r="DM183" s="3"/>
      <c r="DN183" s="3"/>
      <c r="DO183" s="3"/>
      <c r="DP183" s="3"/>
      <c r="DQ183" s="3"/>
      <c r="DR183" s="3"/>
      <c r="DS183" s="3"/>
      <c r="DT183" s="3"/>
      <c r="DU183" s="3"/>
    </row>
    <row r="184" ht="15.75" customHeight="1">
      <c r="A184" s="99">
        <v>5.0</v>
      </c>
      <c r="B184" s="100" t="s">
        <v>287</v>
      </c>
      <c r="C184" s="101" t="s">
        <v>86</v>
      </c>
      <c r="D184" s="102" t="s">
        <v>51</v>
      </c>
      <c r="E184" s="102">
        <v>4.0</v>
      </c>
      <c r="F184" s="102">
        <v>4.0</v>
      </c>
      <c r="G184" s="6">
        <v>44119.0</v>
      </c>
      <c r="H184" s="6">
        <v>44120.0</v>
      </c>
      <c r="I184" s="111">
        <v>1.0</v>
      </c>
      <c r="J184" s="111">
        <v>1.0</v>
      </c>
      <c r="K184" s="111">
        <v>0.5</v>
      </c>
      <c r="L184" s="111"/>
      <c r="M184" s="111"/>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c r="BN184" s="69"/>
      <c r="BO184" s="69"/>
      <c r="BP184" s="69"/>
      <c r="BQ184" s="69"/>
      <c r="BR184" s="69"/>
      <c r="BS184" s="69"/>
      <c r="BT184" s="69"/>
      <c r="BU184" s="69"/>
      <c r="BV184" s="69"/>
      <c r="BW184" s="69"/>
      <c r="BX184" s="69"/>
      <c r="BY184" s="69"/>
      <c r="BZ184" s="69"/>
      <c r="CA184" s="69"/>
      <c r="CB184" s="69"/>
      <c r="CC184" s="69"/>
      <c r="CD184" s="69"/>
      <c r="CE184" s="69"/>
      <c r="CF184" s="69"/>
      <c r="CG184" s="69"/>
      <c r="CH184" s="69"/>
      <c r="CI184" s="69"/>
      <c r="CJ184" s="69"/>
      <c r="CK184" s="69"/>
      <c r="CL184" s="69"/>
      <c r="CM184" s="69"/>
      <c r="CN184" s="69"/>
      <c r="CO184" s="69"/>
      <c r="CP184" s="69"/>
      <c r="CQ184" s="69"/>
      <c r="CR184" s="69"/>
      <c r="CS184" s="69"/>
      <c r="CT184" s="69"/>
      <c r="CU184" s="69"/>
      <c r="CV184" s="69"/>
      <c r="CW184" s="69"/>
      <c r="CX184" s="69"/>
      <c r="CY184" s="69"/>
      <c r="CZ184" s="69"/>
      <c r="DA184" s="69"/>
      <c r="DB184" s="69"/>
      <c r="DC184" s="69"/>
      <c r="DD184" s="69"/>
      <c r="DE184" s="69"/>
      <c r="DF184" s="69"/>
      <c r="DG184" s="69"/>
      <c r="DH184" s="69"/>
      <c r="DI184" s="69"/>
      <c r="DJ184" s="3"/>
      <c r="DK184" s="3"/>
      <c r="DL184" s="3"/>
      <c r="DM184" s="3"/>
      <c r="DN184" s="3"/>
      <c r="DO184" s="3"/>
      <c r="DP184" s="3"/>
      <c r="DQ184" s="3"/>
      <c r="DR184" s="3"/>
      <c r="DS184" s="3"/>
      <c r="DT184" s="3"/>
      <c r="DU184" s="3"/>
    </row>
    <row r="185" ht="15.75" customHeight="1">
      <c r="A185" s="99">
        <v>6.0</v>
      </c>
      <c r="B185" s="100" t="s">
        <v>288</v>
      </c>
      <c r="C185" s="101" t="s">
        <v>86</v>
      </c>
      <c r="D185" s="102" t="s">
        <v>51</v>
      </c>
      <c r="E185" s="102">
        <v>8.0</v>
      </c>
      <c r="F185" s="102">
        <v>8.0</v>
      </c>
      <c r="G185" s="6">
        <v>44119.0</v>
      </c>
      <c r="H185" s="6">
        <v>44123.0</v>
      </c>
      <c r="I185" s="111">
        <v>1.0</v>
      </c>
      <c r="J185" s="111">
        <v>0.8</v>
      </c>
      <c r="K185" s="111">
        <v>0.5</v>
      </c>
      <c r="L185" s="111"/>
      <c r="M185" s="111"/>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c r="BI185" s="69"/>
      <c r="BJ185" s="69"/>
      <c r="BK185" s="69"/>
      <c r="BL185" s="69"/>
      <c r="BM185" s="69"/>
      <c r="BN185" s="69"/>
      <c r="BO185" s="69"/>
      <c r="BP185" s="69"/>
      <c r="BQ185" s="69"/>
      <c r="BR185" s="69"/>
      <c r="BS185" s="69"/>
      <c r="BT185" s="69"/>
      <c r="BU185" s="69"/>
      <c r="BV185" s="69"/>
      <c r="BW185" s="69"/>
      <c r="BX185" s="69"/>
      <c r="BY185" s="69"/>
      <c r="BZ185" s="69"/>
      <c r="CA185" s="69"/>
      <c r="CB185" s="69"/>
      <c r="CC185" s="69"/>
      <c r="CD185" s="69"/>
      <c r="CE185" s="69"/>
      <c r="CF185" s="69"/>
      <c r="CG185" s="69"/>
      <c r="CH185" s="69"/>
      <c r="CI185" s="69"/>
      <c r="CJ185" s="69"/>
      <c r="CK185" s="69"/>
      <c r="CL185" s="69"/>
      <c r="CM185" s="69"/>
      <c r="CN185" s="69"/>
      <c r="CO185" s="69"/>
      <c r="CP185" s="69"/>
      <c r="CQ185" s="69"/>
      <c r="CR185" s="69"/>
      <c r="CS185" s="69"/>
      <c r="CT185" s="69"/>
      <c r="CU185" s="69"/>
      <c r="CV185" s="69"/>
      <c r="CW185" s="69"/>
      <c r="CX185" s="69"/>
      <c r="CY185" s="69"/>
      <c r="CZ185" s="69"/>
      <c r="DA185" s="69"/>
      <c r="DB185" s="69"/>
      <c r="DC185" s="69"/>
      <c r="DD185" s="69"/>
      <c r="DE185" s="69"/>
      <c r="DF185" s="69"/>
      <c r="DG185" s="69"/>
      <c r="DH185" s="69"/>
      <c r="DI185" s="69"/>
      <c r="DJ185" s="3"/>
      <c r="DK185" s="3"/>
      <c r="DL185" s="3"/>
      <c r="DM185" s="3"/>
      <c r="DN185" s="3"/>
      <c r="DO185" s="3"/>
      <c r="DP185" s="3"/>
      <c r="DQ185" s="3"/>
      <c r="DR185" s="3"/>
      <c r="DS185" s="3"/>
      <c r="DT185" s="3"/>
      <c r="DU185" s="3"/>
    </row>
    <row r="186" ht="15.0" customHeight="1">
      <c r="A186" s="108" t="s">
        <v>45</v>
      </c>
      <c r="B186" s="50"/>
      <c r="C186" s="51"/>
      <c r="D186" s="101"/>
      <c r="E186" s="109">
        <f t="shared" ref="E186:F186" si="13">SUM(E180:E185)</f>
        <v>56</v>
      </c>
      <c r="F186" s="109">
        <f t="shared" si="13"/>
        <v>59</v>
      </c>
      <c r="G186" s="110"/>
      <c r="H186" s="110"/>
      <c r="I186" s="111"/>
      <c r="J186" s="111"/>
      <c r="K186" s="111"/>
      <c r="L186" s="111"/>
      <c r="M186" s="111"/>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c r="BN186" s="69"/>
      <c r="BO186" s="69"/>
      <c r="BP186" s="69"/>
      <c r="BQ186" s="69"/>
      <c r="BR186" s="69"/>
      <c r="BS186" s="69"/>
      <c r="BT186" s="69"/>
      <c r="BU186" s="69"/>
      <c r="BV186" s="69"/>
      <c r="BW186" s="69"/>
      <c r="BX186" s="69"/>
      <c r="BY186" s="69"/>
      <c r="BZ186" s="69"/>
      <c r="CA186" s="69"/>
      <c r="CB186" s="69"/>
      <c r="CC186" s="69"/>
      <c r="CD186" s="69"/>
      <c r="CE186" s="69"/>
      <c r="CF186" s="69"/>
      <c r="CG186" s="69"/>
      <c r="CH186" s="69"/>
      <c r="CI186" s="69"/>
      <c r="CJ186" s="69"/>
      <c r="CK186" s="69"/>
      <c r="CL186" s="69"/>
      <c r="CM186" s="69"/>
      <c r="CN186" s="69"/>
      <c r="CO186" s="69"/>
      <c r="CP186" s="69"/>
      <c r="CQ186" s="69"/>
      <c r="CR186" s="69"/>
      <c r="CS186" s="69"/>
      <c r="CT186" s="69"/>
      <c r="CU186" s="69"/>
      <c r="CV186" s="69"/>
      <c r="CW186" s="69"/>
      <c r="CX186" s="69"/>
      <c r="CY186" s="69"/>
      <c r="CZ186" s="69"/>
      <c r="DA186" s="69"/>
      <c r="DB186" s="69"/>
      <c r="DC186" s="69"/>
      <c r="DD186" s="69"/>
      <c r="DE186" s="69"/>
      <c r="DF186" s="69"/>
      <c r="DG186" s="69"/>
      <c r="DH186" s="69"/>
      <c r="DI186" s="69"/>
      <c r="DJ186" s="112"/>
      <c r="DK186" s="112"/>
      <c r="DL186" s="112"/>
      <c r="DM186" s="112"/>
      <c r="DN186" s="112"/>
      <c r="DO186" s="112"/>
      <c r="DP186" s="112"/>
      <c r="DQ186" s="112"/>
      <c r="DR186" s="112"/>
      <c r="DS186" s="112"/>
      <c r="DT186" s="112"/>
      <c r="DU186" s="112"/>
    </row>
    <row r="187" ht="19.5" customHeight="1">
      <c r="A187" s="113" t="s">
        <v>166</v>
      </c>
      <c r="B187" s="50"/>
      <c r="C187" s="50"/>
      <c r="D187" s="50"/>
      <c r="E187" s="50"/>
      <c r="F187" s="50"/>
      <c r="G187" s="50"/>
      <c r="H187" s="50"/>
      <c r="I187" s="124">
        <v>44124.0</v>
      </c>
      <c r="J187" s="124"/>
      <c r="K187" s="124"/>
      <c r="L187" s="124"/>
      <c r="M187" s="124"/>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c r="BI187" s="69"/>
      <c r="BJ187" s="69"/>
      <c r="BK187" s="69"/>
      <c r="BL187" s="69"/>
      <c r="BM187" s="69"/>
      <c r="BN187" s="69"/>
      <c r="BO187" s="69"/>
      <c r="BP187" s="69"/>
      <c r="BQ187" s="69"/>
      <c r="BR187" s="69"/>
      <c r="BS187" s="69"/>
      <c r="BT187" s="69"/>
      <c r="BU187" s="69"/>
      <c r="BV187" s="69"/>
      <c r="BW187" s="69"/>
      <c r="BX187" s="69"/>
      <c r="BY187" s="69"/>
      <c r="BZ187" s="69"/>
      <c r="CA187" s="69"/>
      <c r="CB187" s="69"/>
      <c r="CC187" s="69"/>
      <c r="CD187" s="69"/>
      <c r="CE187" s="69"/>
      <c r="CF187" s="69"/>
      <c r="CG187" s="69"/>
      <c r="CH187" s="69"/>
      <c r="CI187" s="69"/>
      <c r="CJ187" s="69"/>
      <c r="CK187" s="69"/>
      <c r="CL187" s="69"/>
      <c r="CM187" s="69"/>
      <c r="CN187" s="69"/>
      <c r="CO187" s="69"/>
      <c r="CP187" s="69"/>
      <c r="CQ187" s="69"/>
      <c r="CR187" s="69"/>
      <c r="CS187" s="69"/>
      <c r="CT187" s="69"/>
      <c r="CU187" s="69"/>
      <c r="CV187" s="69"/>
      <c r="CW187" s="69"/>
      <c r="CX187" s="69"/>
      <c r="CY187" s="69"/>
      <c r="CZ187" s="69"/>
      <c r="DA187" s="69"/>
      <c r="DB187" s="69"/>
      <c r="DC187" s="69"/>
      <c r="DD187" s="69"/>
      <c r="DE187" s="69"/>
      <c r="DF187" s="69"/>
      <c r="DG187" s="69"/>
      <c r="DH187" s="69"/>
      <c r="DI187" s="69"/>
      <c r="DJ187" s="117"/>
      <c r="DK187" s="117"/>
      <c r="DL187" s="117"/>
      <c r="DM187" s="117"/>
      <c r="DN187" s="117"/>
      <c r="DO187" s="117"/>
      <c r="DP187" s="117"/>
      <c r="DQ187" s="117"/>
      <c r="DR187" s="117"/>
      <c r="DS187" s="117"/>
      <c r="DT187" s="117"/>
      <c r="DU187" s="117"/>
    </row>
    <row r="188" ht="15.75" customHeight="1">
      <c r="A188" s="69"/>
      <c r="B188" s="69"/>
      <c r="C188" s="69"/>
      <c r="D188" s="4"/>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c r="BN188" s="69"/>
      <c r="BO188" s="69"/>
      <c r="BP188" s="69"/>
      <c r="BQ188" s="69"/>
      <c r="BR188" s="69"/>
      <c r="BS188" s="69"/>
      <c r="BT188" s="69"/>
      <c r="BU188" s="69"/>
      <c r="BV188" s="69"/>
      <c r="BW188" s="69"/>
      <c r="BX188" s="69"/>
      <c r="BY188" s="69"/>
      <c r="BZ188" s="69"/>
      <c r="CA188" s="69"/>
      <c r="CB188" s="69"/>
      <c r="CC188" s="69"/>
      <c r="CD188" s="69"/>
      <c r="CE188" s="69"/>
      <c r="CF188" s="69"/>
      <c r="CG188" s="69"/>
      <c r="CH188" s="69"/>
      <c r="CI188" s="69"/>
      <c r="CJ188" s="69"/>
      <c r="CK188" s="69"/>
      <c r="CL188" s="69"/>
      <c r="CM188" s="69"/>
      <c r="CN188" s="69"/>
      <c r="CO188" s="69"/>
      <c r="CP188" s="69"/>
      <c r="CQ188" s="69"/>
      <c r="CR188" s="69"/>
      <c r="CS188" s="69"/>
      <c r="CT188" s="69"/>
      <c r="CU188" s="69"/>
      <c r="CV188" s="69"/>
      <c r="CW188" s="69"/>
      <c r="CX188" s="69"/>
      <c r="CY188" s="69"/>
      <c r="CZ188" s="69"/>
      <c r="DA188" s="69"/>
      <c r="DB188" s="69"/>
      <c r="DC188" s="69"/>
      <c r="DD188" s="69"/>
      <c r="DE188" s="69"/>
      <c r="DF188" s="69"/>
      <c r="DG188" s="69"/>
      <c r="DH188" s="69"/>
      <c r="DI188" s="69"/>
      <c r="DJ188" s="69"/>
      <c r="DK188" s="69"/>
      <c r="DL188" s="69"/>
      <c r="DM188" s="69"/>
      <c r="DN188" s="69"/>
      <c r="DO188" s="69"/>
      <c r="DP188" s="69"/>
      <c r="DQ188" s="69"/>
      <c r="DR188" s="69"/>
      <c r="DS188" s="69"/>
      <c r="DT188" s="69"/>
      <c r="DU188" s="69"/>
    </row>
    <row r="189" ht="15.75" customHeight="1">
      <c r="A189" s="69"/>
      <c r="B189" s="69"/>
      <c r="C189" s="69"/>
      <c r="D189" s="4"/>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c r="BI189" s="69"/>
      <c r="BJ189" s="69"/>
      <c r="BK189" s="69"/>
      <c r="BL189" s="69"/>
      <c r="BM189" s="69"/>
      <c r="BN189" s="69"/>
      <c r="BO189" s="69"/>
      <c r="BP189" s="69"/>
      <c r="BQ189" s="69"/>
      <c r="BR189" s="69"/>
      <c r="BS189" s="69"/>
      <c r="BT189" s="69"/>
      <c r="BU189" s="69"/>
      <c r="BV189" s="69"/>
      <c r="BW189" s="69"/>
      <c r="BX189" s="69"/>
      <c r="BY189" s="69"/>
      <c r="BZ189" s="69"/>
      <c r="CA189" s="69"/>
      <c r="CB189" s="69"/>
      <c r="CC189" s="69"/>
      <c r="CD189" s="69"/>
      <c r="CE189" s="69"/>
      <c r="CF189" s="69"/>
      <c r="CG189" s="69"/>
      <c r="CH189" s="69"/>
      <c r="CI189" s="69"/>
      <c r="CJ189" s="69"/>
      <c r="CK189" s="69"/>
      <c r="CL189" s="69"/>
      <c r="CM189" s="69"/>
      <c r="CN189" s="69"/>
      <c r="CO189" s="69"/>
      <c r="CP189" s="69"/>
      <c r="CQ189" s="69"/>
      <c r="CR189" s="69"/>
      <c r="CS189" s="69"/>
      <c r="CT189" s="69"/>
      <c r="CU189" s="69"/>
      <c r="CV189" s="69"/>
      <c r="CW189" s="69"/>
      <c r="CX189" s="69"/>
      <c r="CY189" s="69"/>
      <c r="CZ189" s="69"/>
      <c r="DA189" s="69"/>
      <c r="DB189" s="69"/>
      <c r="DC189" s="69"/>
      <c r="DD189" s="69"/>
      <c r="DE189" s="69"/>
      <c r="DF189" s="69"/>
      <c r="DG189" s="69"/>
      <c r="DH189" s="69"/>
      <c r="DI189" s="69"/>
      <c r="DJ189" s="69"/>
      <c r="DK189" s="69"/>
      <c r="DL189" s="69"/>
      <c r="DM189" s="69"/>
      <c r="DN189" s="69"/>
      <c r="DO189" s="69"/>
      <c r="DP189" s="69"/>
      <c r="DQ189" s="69"/>
      <c r="DR189" s="69"/>
      <c r="DS189" s="69"/>
      <c r="DT189" s="69"/>
      <c r="DU189" s="69"/>
    </row>
    <row r="190" ht="15.75" customHeight="1">
      <c r="A190" s="69"/>
      <c r="B190" s="69"/>
      <c r="C190" s="69"/>
      <c r="D190" s="4"/>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69"/>
      <c r="CR190" s="69"/>
      <c r="CS190" s="69"/>
      <c r="CT190" s="69"/>
      <c r="CU190" s="69"/>
      <c r="CV190" s="69"/>
      <c r="CW190" s="69"/>
      <c r="CX190" s="69"/>
      <c r="CY190" s="69"/>
      <c r="CZ190" s="69"/>
      <c r="DA190" s="69"/>
      <c r="DB190" s="69"/>
      <c r="DC190" s="69"/>
      <c r="DD190" s="69"/>
      <c r="DE190" s="69"/>
      <c r="DF190" s="69"/>
      <c r="DG190" s="69"/>
      <c r="DH190" s="69"/>
      <c r="DI190" s="69"/>
      <c r="DJ190" s="69"/>
      <c r="DK190" s="69"/>
      <c r="DL190" s="69"/>
      <c r="DM190" s="69"/>
      <c r="DN190" s="69"/>
      <c r="DO190" s="69"/>
      <c r="DP190" s="69"/>
      <c r="DQ190" s="69"/>
      <c r="DR190" s="69"/>
      <c r="DS190" s="69"/>
      <c r="DT190" s="69"/>
      <c r="DU190" s="69"/>
    </row>
    <row r="191" ht="15.75" customHeight="1">
      <c r="A191" s="69"/>
      <c r="B191" s="69"/>
      <c r="C191" s="69"/>
      <c r="D191" s="4"/>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69"/>
      <c r="CR191" s="69"/>
      <c r="CS191" s="69"/>
      <c r="CT191" s="69"/>
      <c r="CU191" s="69"/>
      <c r="CV191" s="69"/>
      <c r="CW191" s="69"/>
      <c r="CX191" s="69"/>
      <c r="CY191" s="69"/>
      <c r="CZ191" s="69"/>
      <c r="DA191" s="69"/>
      <c r="DB191" s="69"/>
      <c r="DC191" s="69"/>
      <c r="DD191" s="69"/>
      <c r="DE191" s="69"/>
      <c r="DF191" s="69"/>
      <c r="DG191" s="69"/>
      <c r="DH191" s="69"/>
      <c r="DI191" s="69"/>
      <c r="DJ191" s="69"/>
      <c r="DK191" s="69"/>
      <c r="DL191" s="69"/>
      <c r="DM191" s="69"/>
      <c r="DN191" s="69"/>
      <c r="DO191" s="69"/>
      <c r="DP191" s="69"/>
      <c r="DQ191" s="69"/>
      <c r="DR191" s="69"/>
      <c r="DS191" s="69"/>
      <c r="DT191" s="69"/>
      <c r="DU191" s="69"/>
    </row>
    <row r="192" ht="15.75" customHeight="1">
      <c r="A192" s="69"/>
      <c r="B192" s="69"/>
      <c r="C192" s="69"/>
      <c r="D192" s="4"/>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c r="BT192" s="69"/>
      <c r="BU192" s="69"/>
      <c r="BV192" s="69"/>
      <c r="BW192" s="69"/>
      <c r="BX192" s="69"/>
      <c r="BY192" s="69"/>
      <c r="BZ192" s="69"/>
      <c r="CA192" s="69"/>
      <c r="CB192" s="69"/>
      <c r="CC192" s="69"/>
      <c r="CD192" s="69"/>
      <c r="CE192" s="69"/>
      <c r="CF192" s="69"/>
      <c r="CG192" s="69"/>
      <c r="CH192" s="69"/>
      <c r="CI192" s="69"/>
      <c r="CJ192" s="69"/>
      <c r="CK192" s="69"/>
      <c r="CL192" s="69"/>
      <c r="CM192" s="69"/>
      <c r="CN192" s="69"/>
      <c r="CO192" s="69"/>
      <c r="CP192" s="69"/>
      <c r="CQ192" s="69"/>
      <c r="CR192" s="69"/>
      <c r="CS192" s="69"/>
      <c r="CT192" s="69"/>
      <c r="CU192" s="69"/>
      <c r="CV192" s="69"/>
      <c r="CW192" s="69"/>
      <c r="CX192" s="69"/>
      <c r="CY192" s="69"/>
      <c r="CZ192" s="69"/>
      <c r="DA192" s="69"/>
      <c r="DB192" s="69"/>
      <c r="DC192" s="69"/>
      <c r="DD192" s="69"/>
      <c r="DE192" s="69"/>
      <c r="DF192" s="69"/>
      <c r="DG192" s="69"/>
      <c r="DH192" s="69"/>
      <c r="DI192" s="69"/>
      <c r="DJ192" s="69"/>
      <c r="DK192" s="69"/>
      <c r="DL192" s="69"/>
      <c r="DM192" s="69"/>
      <c r="DN192" s="69"/>
      <c r="DO192" s="69"/>
      <c r="DP192" s="69"/>
      <c r="DQ192" s="69"/>
      <c r="DR192" s="69"/>
      <c r="DS192" s="69"/>
      <c r="DT192" s="69"/>
      <c r="DU192" s="69"/>
    </row>
    <row r="193" ht="15.75" customHeight="1">
      <c r="A193" s="69"/>
      <c r="B193" s="69"/>
      <c r="C193" s="69"/>
      <c r="D193" s="4"/>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69"/>
      <c r="BS193" s="69"/>
      <c r="BT193" s="69"/>
      <c r="BU193" s="69"/>
      <c r="BV193" s="69"/>
      <c r="BW193" s="69"/>
      <c r="BX193" s="69"/>
      <c r="BY193" s="69"/>
      <c r="BZ193" s="69"/>
      <c r="CA193" s="69"/>
      <c r="CB193" s="69"/>
      <c r="CC193" s="69"/>
      <c r="CD193" s="69"/>
      <c r="CE193" s="69"/>
      <c r="CF193" s="69"/>
      <c r="CG193" s="69"/>
      <c r="CH193" s="69"/>
      <c r="CI193" s="69"/>
      <c r="CJ193" s="69"/>
      <c r="CK193" s="69"/>
      <c r="CL193" s="69"/>
      <c r="CM193" s="69"/>
      <c r="CN193" s="69"/>
      <c r="CO193" s="69"/>
      <c r="CP193" s="69"/>
      <c r="CQ193" s="69"/>
      <c r="CR193" s="69"/>
      <c r="CS193" s="69"/>
      <c r="CT193" s="69"/>
      <c r="CU193" s="69"/>
      <c r="CV193" s="69"/>
      <c r="CW193" s="69"/>
      <c r="CX193" s="69"/>
      <c r="CY193" s="69"/>
      <c r="CZ193" s="69"/>
      <c r="DA193" s="69"/>
      <c r="DB193" s="69"/>
      <c r="DC193" s="69"/>
      <c r="DD193" s="69"/>
      <c r="DE193" s="69"/>
      <c r="DF193" s="69"/>
      <c r="DG193" s="69"/>
      <c r="DH193" s="69"/>
      <c r="DI193" s="69"/>
      <c r="DJ193" s="69"/>
      <c r="DK193" s="69"/>
      <c r="DL193" s="69"/>
      <c r="DM193" s="69"/>
      <c r="DN193" s="69"/>
      <c r="DO193" s="69"/>
      <c r="DP193" s="69"/>
      <c r="DQ193" s="69"/>
      <c r="DR193" s="69"/>
      <c r="DS193" s="69"/>
      <c r="DT193" s="69"/>
      <c r="DU193" s="69"/>
    </row>
    <row r="194" ht="15.75" customHeight="1">
      <c r="A194" s="69"/>
      <c r="B194" s="69"/>
      <c r="C194" s="69"/>
      <c r="D194" s="4"/>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69"/>
      <c r="BS194" s="69"/>
      <c r="BT194" s="69"/>
      <c r="BU194" s="69"/>
      <c r="BV194" s="69"/>
      <c r="BW194" s="69"/>
      <c r="BX194" s="69"/>
      <c r="BY194" s="69"/>
      <c r="BZ194" s="69"/>
      <c r="CA194" s="69"/>
      <c r="CB194" s="69"/>
      <c r="CC194" s="69"/>
      <c r="CD194" s="69"/>
      <c r="CE194" s="69"/>
      <c r="CF194" s="69"/>
      <c r="CG194" s="69"/>
      <c r="CH194" s="69"/>
      <c r="CI194" s="69"/>
      <c r="CJ194" s="69"/>
      <c r="CK194" s="69"/>
      <c r="CL194" s="69"/>
      <c r="CM194" s="69"/>
      <c r="CN194" s="69"/>
      <c r="CO194" s="69"/>
      <c r="CP194" s="69"/>
      <c r="CQ194" s="69"/>
      <c r="CR194" s="69"/>
      <c r="CS194" s="69"/>
      <c r="CT194" s="69"/>
      <c r="CU194" s="69"/>
      <c r="CV194" s="69"/>
      <c r="CW194" s="69"/>
      <c r="CX194" s="69"/>
      <c r="CY194" s="69"/>
      <c r="CZ194" s="69"/>
      <c r="DA194" s="69"/>
      <c r="DB194" s="69"/>
      <c r="DC194" s="69"/>
      <c r="DD194" s="69"/>
      <c r="DE194" s="69"/>
      <c r="DF194" s="69"/>
      <c r="DG194" s="69"/>
      <c r="DH194" s="69"/>
      <c r="DI194" s="69"/>
      <c r="DJ194" s="69"/>
      <c r="DK194" s="69"/>
      <c r="DL194" s="69"/>
      <c r="DM194" s="69"/>
      <c r="DN194" s="69"/>
      <c r="DO194" s="69"/>
      <c r="DP194" s="69"/>
      <c r="DQ194" s="69"/>
      <c r="DR194" s="69"/>
      <c r="DS194" s="69"/>
      <c r="DT194" s="69"/>
      <c r="DU194" s="69"/>
    </row>
    <row r="195" ht="15.75" customHeight="1">
      <c r="A195" s="69"/>
      <c r="B195" s="69"/>
      <c r="C195" s="69"/>
      <c r="D195" s="4"/>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c r="BI195" s="69"/>
      <c r="BJ195" s="69"/>
      <c r="BK195" s="69"/>
      <c r="BL195" s="69"/>
      <c r="BM195" s="69"/>
      <c r="BN195" s="69"/>
      <c r="BO195" s="69"/>
      <c r="BP195" s="69"/>
      <c r="BQ195" s="69"/>
      <c r="BR195" s="69"/>
      <c r="BS195" s="69"/>
      <c r="BT195" s="69"/>
      <c r="BU195" s="69"/>
      <c r="BV195" s="69"/>
      <c r="BW195" s="69"/>
      <c r="BX195" s="69"/>
      <c r="BY195" s="69"/>
      <c r="BZ195" s="69"/>
      <c r="CA195" s="69"/>
      <c r="CB195" s="69"/>
      <c r="CC195" s="69"/>
      <c r="CD195" s="69"/>
      <c r="CE195" s="69"/>
      <c r="CF195" s="69"/>
      <c r="CG195" s="69"/>
      <c r="CH195" s="69"/>
      <c r="CI195" s="69"/>
      <c r="CJ195" s="69"/>
      <c r="CK195" s="69"/>
      <c r="CL195" s="69"/>
      <c r="CM195" s="69"/>
      <c r="CN195" s="69"/>
      <c r="CO195" s="69"/>
      <c r="CP195" s="69"/>
      <c r="CQ195" s="69"/>
      <c r="CR195" s="69"/>
      <c r="CS195" s="69"/>
      <c r="CT195" s="69"/>
      <c r="CU195" s="69"/>
      <c r="CV195" s="69"/>
      <c r="CW195" s="69"/>
      <c r="CX195" s="69"/>
      <c r="CY195" s="69"/>
      <c r="CZ195" s="69"/>
      <c r="DA195" s="69"/>
      <c r="DB195" s="69"/>
      <c r="DC195" s="69"/>
      <c r="DD195" s="69"/>
      <c r="DE195" s="69"/>
      <c r="DF195" s="69"/>
      <c r="DG195" s="69"/>
      <c r="DH195" s="69"/>
      <c r="DI195" s="69"/>
      <c r="DJ195" s="69"/>
      <c r="DK195" s="69"/>
      <c r="DL195" s="69"/>
      <c r="DM195" s="69"/>
      <c r="DN195" s="69"/>
      <c r="DO195" s="69"/>
      <c r="DP195" s="69"/>
      <c r="DQ195" s="69"/>
      <c r="DR195" s="69"/>
      <c r="DS195" s="69"/>
      <c r="DT195" s="69"/>
      <c r="DU195" s="69"/>
    </row>
    <row r="196" ht="15.75" customHeight="1">
      <c r="A196" s="69"/>
      <c r="B196" s="69"/>
      <c r="C196" s="69"/>
      <c r="D196" s="4"/>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69"/>
      <c r="BS196" s="69"/>
      <c r="BT196" s="69"/>
      <c r="BU196" s="69"/>
      <c r="BV196" s="69"/>
      <c r="BW196" s="69"/>
      <c r="BX196" s="69"/>
      <c r="BY196" s="69"/>
      <c r="BZ196" s="69"/>
      <c r="CA196" s="69"/>
      <c r="CB196" s="69"/>
      <c r="CC196" s="69"/>
      <c r="CD196" s="69"/>
      <c r="CE196" s="69"/>
      <c r="CF196" s="69"/>
      <c r="CG196" s="69"/>
      <c r="CH196" s="69"/>
      <c r="CI196" s="69"/>
      <c r="CJ196" s="69"/>
      <c r="CK196" s="69"/>
      <c r="CL196" s="69"/>
      <c r="CM196" s="69"/>
      <c r="CN196" s="69"/>
      <c r="CO196" s="69"/>
      <c r="CP196" s="69"/>
      <c r="CQ196" s="69"/>
      <c r="CR196" s="69"/>
      <c r="CS196" s="69"/>
      <c r="CT196" s="69"/>
      <c r="CU196" s="69"/>
      <c r="CV196" s="69"/>
      <c r="CW196" s="69"/>
      <c r="CX196" s="69"/>
      <c r="CY196" s="69"/>
      <c r="CZ196" s="69"/>
      <c r="DA196" s="69"/>
      <c r="DB196" s="69"/>
      <c r="DC196" s="69"/>
      <c r="DD196" s="69"/>
      <c r="DE196" s="69"/>
      <c r="DF196" s="69"/>
      <c r="DG196" s="69"/>
      <c r="DH196" s="69"/>
      <c r="DI196" s="69"/>
      <c r="DJ196" s="69"/>
      <c r="DK196" s="69"/>
      <c r="DL196" s="69"/>
      <c r="DM196" s="69"/>
      <c r="DN196" s="69"/>
      <c r="DO196" s="69"/>
      <c r="DP196" s="69"/>
      <c r="DQ196" s="69"/>
      <c r="DR196" s="69"/>
      <c r="DS196" s="69"/>
      <c r="DT196" s="69"/>
      <c r="DU196" s="69"/>
    </row>
    <row r="197" ht="15.75" customHeight="1">
      <c r="A197" s="69"/>
      <c r="B197" s="69"/>
      <c r="C197" s="69"/>
      <c r="D197" s="4"/>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69"/>
      <c r="BS197" s="69"/>
      <c r="BT197" s="69"/>
      <c r="BU197" s="69"/>
      <c r="BV197" s="69"/>
      <c r="BW197" s="69"/>
      <c r="BX197" s="69"/>
      <c r="BY197" s="69"/>
      <c r="BZ197" s="69"/>
      <c r="CA197" s="69"/>
      <c r="CB197" s="69"/>
      <c r="CC197" s="69"/>
      <c r="CD197" s="69"/>
      <c r="CE197" s="69"/>
      <c r="CF197" s="69"/>
      <c r="CG197" s="69"/>
      <c r="CH197" s="69"/>
      <c r="CI197" s="69"/>
      <c r="CJ197" s="69"/>
      <c r="CK197" s="69"/>
      <c r="CL197" s="69"/>
      <c r="CM197" s="69"/>
      <c r="CN197" s="69"/>
      <c r="CO197" s="69"/>
      <c r="CP197" s="69"/>
      <c r="CQ197" s="69"/>
      <c r="CR197" s="69"/>
      <c r="CS197" s="69"/>
      <c r="CT197" s="69"/>
      <c r="CU197" s="69"/>
      <c r="CV197" s="69"/>
      <c r="CW197" s="69"/>
      <c r="CX197" s="69"/>
      <c r="CY197" s="69"/>
      <c r="CZ197" s="69"/>
      <c r="DA197" s="69"/>
      <c r="DB197" s="69"/>
      <c r="DC197" s="69"/>
      <c r="DD197" s="69"/>
      <c r="DE197" s="69"/>
      <c r="DF197" s="69"/>
      <c r="DG197" s="69"/>
      <c r="DH197" s="69"/>
      <c r="DI197" s="69"/>
      <c r="DJ197" s="69"/>
      <c r="DK197" s="69"/>
      <c r="DL197" s="69"/>
      <c r="DM197" s="69"/>
      <c r="DN197" s="69"/>
      <c r="DO197" s="69"/>
      <c r="DP197" s="69"/>
      <c r="DQ197" s="69"/>
      <c r="DR197" s="69"/>
      <c r="DS197" s="69"/>
      <c r="DT197" s="69"/>
      <c r="DU197" s="69"/>
    </row>
    <row r="198" ht="15.75" customHeight="1">
      <c r="A198" s="69"/>
      <c r="B198" s="69"/>
      <c r="C198" s="69"/>
      <c r="D198" s="4"/>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69"/>
      <c r="BS198" s="69"/>
      <c r="BT198" s="69"/>
      <c r="BU198" s="69"/>
      <c r="BV198" s="69"/>
      <c r="BW198" s="69"/>
      <c r="BX198" s="69"/>
      <c r="BY198" s="69"/>
      <c r="BZ198" s="69"/>
      <c r="CA198" s="69"/>
      <c r="CB198" s="69"/>
      <c r="CC198" s="69"/>
      <c r="CD198" s="69"/>
      <c r="CE198" s="69"/>
      <c r="CF198" s="69"/>
      <c r="CG198" s="69"/>
      <c r="CH198" s="69"/>
      <c r="CI198" s="69"/>
      <c r="CJ198" s="69"/>
      <c r="CK198" s="69"/>
      <c r="CL198" s="69"/>
      <c r="CM198" s="69"/>
      <c r="CN198" s="69"/>
      <c r="CO198" s="69"/>
      <c r="CP198" s="69"/>
      <c r="CQ198" s="69"/>
      <c r="CR198" s="69"/>
      <c r="CS198" s="69"/>
      <c r="CT198" s="69"/>
      <c r="CU198" s="69"/>
      <c r="CV198" s="69"/>
      <c r="CW198" s="69"/>
      <c r="CX198" s="69"/>
      <c r="CY198" s="69"/>
      <c r="CZ198" s="69"/>
      <c r="DA198" s="69"/>
      <c r="DB198" s="69"/>
      <c r="DC198" s="69"/>
      <c r="DD198" s="69"/>
      <c r="DE198" s="69"/>
      <c r="DF198" s="69"/>
      <c r="DG198" s="69"/>
      <c r="DH198" s="69"/>
      <c r="DI198" s="69"/>
      <c r="DJ198" s="69"/>
      <c r="DK198" s="69"/>
      <c r="DL198" s="69"/>
      <c r="DM198" s="69"/>
      <c r="DN198" s="69"/>
      <c r="DO198" s="69"/>
      <c r="DP198" s="69"/>
      <c r="DQ198" s="69"/>
      <c r="DR198" s="69"/>
      <c r="DS198" s="69"/>
      <c r="DT198" s="69"/>
      <c r="DU198" s="69"/>
    </row>
    <row r="199" ht="15.75" customHeight="1">
      <c r="A199" s="69"/>
      <c r="B199" s="69"/>
      <c r="C199" s="69"/>
      <c r="D199" s="4"/>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69"/>
      <c r="BS199" s="69"/>
      <c r="BT199" s="69"/>
      <c r="BU199" s="69"/>
      <c r="BV199" s="69"/>
      <c r="BW199" s="69"/>
      <c r="BX199" s="69"/>
      <c r="BY199" s="69"/>
      <c r="BZ199" s="69"/>
      <c r="CA199" s="69"/>
      <c r="CB199" s="69"/>
      <c r="CC199" s="69"/>
      <c r="CD199" s="69"/>
      <c r="CE199" s="69"/>
      <c r="CF199" s="69"/>
      <c r="CG199" s="69"/>
      <c r="CH199" s="69"/>
      <c r="CI199" s="69"/>
      <c r="CJ199" s="69"/>
      <c r="CK199" s="69"/>
      <c r="CL199" s="69"/>
      <c r="CM199" s="69"/>
      <c r="CN199" s="69"/>
      <c r="CO199" s="69"/>
      <c r="CP199" s="69"/>
      <c r="CQ199" s="69"/>
      <c r="CR199" s="69"/>
      <c r="CS199" s="69"/>
      <c r="CT199" s="69"/>
      <c r="CU199" s="69"/>
      <c r="CV199" s="69"/>
      <c r="CW199" s="69"/>
      <c r="CX199" s="69"/>
      <c r="CY199" s="69"/>
      <c r="CZ199" s="69"/>
      <c r="DA199" s="69"/>
      <c r="DB199" s="69"/>
      <c r="DC199" s="69"/>
      <c r="DD199" s="69"/>
      <c r="DE199" s="69"/>
      <c r="DF199" s="69"/>
      <c r="DG199" s="69"/>
      <c r="DH199" s="69"/>
      <c r="DI199" s="69"/>
      <c r="DJ199" s="69"/>
      <c r="DK199" s="69"/>
      <c r="DL199" s="69"/>
      <c r="DM199" s="69"/>
      <c r="DN199" s="69"/>
      <c r="DO199" s="69"/>
      <c r="DP199" s="69"/>
      <c r="DQ199" s="69"/>
      <c r="DR199" s="69"/>
      <c r="DS199" s="69"/>
      <c r="DT199" s="69"/>
      <c r="DU199" s="69"/>
    </row>
    <row r="200" ht="15.75" customHeight="1">
      <c r="A200" s="69"/>
      <c r="B200" s="69"/>
      <c r="C200" s="69"/>
      <c r="D200" s="4"/>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69"/>
      <c r="BS200" s="69"/>
      <c r="BT200" s="69"/>
      <c r="BU200" s="69"/>
      <c r="BV200" s="69"/>
      <c r="BW200" s="69"/>
      <c r="BX200" s="69"/>
      <c r="BY200" s="69"/>
      <c r="BZ200" s="69"/>
      <c r="CA200" s="69"/>
      <c r="CB200" s="69"/>
      <c r="CC200" s="69"/>
      <c r="CD200" s="69"/>
      <c r="CE200" s="69"/>
      <c r="CF200" s="69"/>
      <c r="CG200" s="69"/>
      <c r="CH200" s="69"/>
      <c r="CI200" s="69"/>
      <c r="CJ200" s="69"/>
      <c r="CK200" s="69"/>
      <c r="CL200" s="69"/>
      <c r="CM200" s="69"/>
      <c r="CN200" s="69"/>
      <c r="CO200" s="69"/>
      <c r="CP200" s="69"/>
      <c r="CQ200" s="69"/>
      <c r="CR200" s="69"/>
      <c r="CS200" s="69"/>
      <c r="CT200" s="69"/>
      <c r="CU200" s="69"/>
      <c r="CV200" s="69"/>
      <c r="CW200" s="69"/>
      <c r="CX200" s="69"/>
      <c r="CY200" s="69"/>
      <c r="CZ200" s="69"/>
      <c r="DA200" s="69"/>
      <c r="DB200" s="69"/>
      <c r="DC200" s="69"/>
      <c r="DD200" s="69"/>
      <c r="DE200" s="69"/>
      <c r="DF200" s="69"/>
      <c r="DG200" s="69"/>
      <c r="DH200" s="69"/>
      <c r="DI200" s="69"/>
      <c r="DJ200" s="69"/>
      <c r="DK200" s="69"/>
      <c r="DL200" s="69"/>
      <c r="DM200" s="69"/>
      <c r="DN200" s="69"/>
      <c r="DO200" s="69"/>
      <c r="DP200" s="69"/>
      <c r="DQ200" s="69"/>
      <c r="DR200" s="69"/>
      <c r="DS200" s="69"/>
      <c r="DT200" s="69"/>
      <c r="DU200" s="69"/>
    </row>
    <row r="201" ht="15.75" customHeight="1">
      <c r="A201" s="69"/>
      <c r="B201" s="69"/>
      <c r="C201" s="69"/>
      <c r="D201" s="4"/>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69"/>
      <c r="BS201" s="69"/>
      <c r="BT201" s="69"/>
      <c r="BU201" s="69"/>
      <c r="BV201" s="69"/>
      <c r="BW201" s="69"/>
      <c r="BX201" s="69"/>
      <c r="BY201" s="69"/>
      <c r="BZ201" s="69"/>
      <c r="CA201" s="69"/>
      <c r="CB201" s="69"/>
      <c r="CC201" s="69"/>
      <c r="CD201" s="69"/>
      <c r="CE201" s="69"/>
      <c r="CF201" s="69"/>
      <c r="CG201" s="69"/>
      <c r="CH201" s="69"/>
      <c r="CI201" s="69"/>
      <c r="CJ201" s="69"/>
      <c r="CK201" s="69"/>
      <c r="CL201" s="69"/>
      <c r="CM201" s="69"/>
      <c r="CN201" s="69"/>
      <c r="CO201" s="69"/>
      <c r="CP201" s="69"/>
      <c r="CQ201" s="69"/>
      <c r="CR201" s="69"/>
      <c r="CS201" s="69"/>
      <c r="CT201" s="69"/>
      <c r="CU201" s="69"/>
      <c r="CV201" s="69"/>
      <c r="CW201" s="69"/>
      <c r="CX201" s="69"/>
      <c r="CY201" s="69"/>
      <c r="CZ201" s="69"/>
      <c r="DA201" s="69"/>
      <c r="DB201" s="69"/>
      <c r="DC201" s="69"/>
      <c r="DD201" s="69"/>
      <c r="DE201" s="69"/>
      <c r="DF201" s="69"/>
      <c r="DG201" s="69"/>
      <c r="DH201" s="69"/>
      <c r="DI201" s="69"/>
      <c r="DJ201" s="69"/>
      <c r="DK201" s="69"/>
      <c r="DL201" s="69"/>
      <c r="DM201" s="69"/>
      <c r="DN201" s="69"/>
      <c r="DO201" s="69"/>
      <c r="DP201" s="69"/>
      <c r="DQ201" s="69"/>
      <c r="DR201" s="69"/>
      <c r="DS201" s="69"/>
      <c r="DT201" s="69"/>
      <c r="DU201" s="69"/>
    </row>
    <row r="202" ht="15.75" customHeight="1">
      <c r="A202" s="69"/>
      <c r="B202" s="69"/>
      <c r="C202" s="69"/>
      <c r="D202" s="4"/>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69"/>
      <c r="BS202" s="69"/>
      <c r="BT202" s="69"/>
      <c r="BU202" s="69"/>
      <c r="BV202" s="69"/>
      <c r="BW202" s="69"/>
      <c r="BX202" s="69"/>
      <c r="BY202" s="69"/>
      <c r="BZ202" s="69"/>
      <c r="CA202" s="69"/>
      <c r="CB202" s="69"/>
      <c r="CC202" s="69"/>
      <c r="CD202" s="69"/>
      <c r="CE202" s="69"/>
      <c r="CF202" s="69"/>
      <c r="CG202" s="69"/>
      <c r="CH202" s="69"/>
      <c r="CI202" s="69"/>
      <c r="CJ202" s="69"/>
      <c r="CK202" s="69"/>
      <c r="CL202" s="69"/>
      <c r="CM202" s="69"/>
      <c r="CN202" s="69"/>
      <c r="CO202" s="69"/>
      <c r="CP202" s="69"/>
      <c r="CQ202" s="69"/>
      <c r="CR202" s="69"/>
      <c r="CS202" s="69"/>
      <c r="CT202" s="69"/>
      <c r="CU202" s="69"/>
      <c r="CV202" s="69"/>
      <c r="CW202" s="69"/>
      <c r="CX202" s="69"/>
      <c r="CY202" s="69"/>
      <c r="CZ202" s="69"/>
      <c r="DA202" s="69"/>
      <c r="DB202" s="69"/>
      <c r="DC202" s="69"/>
      <c r="DD202" s="69"/>
      <c r="DE202" s="69"/>
      <c r="DF202" s="69"/>
      <c r="DG202" s="69"/>
      <c r="DH202" s="69"/>
      <c r="DI202" s="69"/>
      <c r="DJ202" s="69"/>
      <c r="DK202" s="69"/>
      <c r="DL202" s="69"/>
      <c r="DM202" s="69"/>
      <c r="DN202" s="69"/>
      <c r="DO202" s="69"/>
      <c r="DP202" s="69"/>
      <c r="DQ202" s="69"/>
      <c r="DR202" s="69"/>
      <c r="DS202" s="69"/>
      <c r="DT202" s="69"/>
      <c r="DU202" s="69"/>
    </row>
    <row r="203" ht="15.75" customHeight="1">
      <c r="A203" s="69"/>
      <c r="B203" s="69"/>
      <c r="C203" s="69"/>
      <c r="D203" s="4"/>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c r="BI203" s="69"/>
      <c r="BJ203" s="69"/>
      <c r="BK203" s="69"/>
      <c r="BL203" s="69"/>
      <c r="BM203" s="69"/>
      <c r="BN203" s="69"/>
      <c r="BO203" s="69"/>
      <c r="BP203" s="69"/>
      <c r="BQ203" s="69"/>
      <c r="BR203" s="69"/>
      <c r="BS203" s="69"/>
      <c r="BT203" s="69"/>
      <c r="BU203" s="69"/>
      <c r="BV203" s="69"/>
      <c r="BW203" s="69"/>
      <c r="BX203" s="69"/>
      <c r="BY203" s="69"/>
      <c r="BZ203" s="69"/>
      <c r="CA203" s="69"/>
      <c r="CB203" s="69"/>
      <c r="CC203" s="69"/>
      <c r="CD203" s="69"/>
      <c r="CE203" s="69"/>
      <c r="CF203" s="69"/>
      <c r="CG203" s="69"/>
      <c r="CH203" s="69"/>
      <c r="CI203" s="69"/>
      <c r="CJ203" s="69"/>
      <c r="CK203" s="69"/>
      <c r="CL203" s="69"/>
      <c r="CM203" s="69"/>
      <c r="CN203" s="69"/>
      <c r="CO203" s="69"/>
      <c r="CP203" s="69"/>
      <c r="CQ203" s="69"/>
      <c r="CR203" s="69"/>
      <c r="CS203" s="69"/>
      <c r="CT203" s="69"/>
      <c r="CU203" s="69"/>
      <c r="CV203" s="69"/>
      <c r="CW203" s="69"/>
      <c r="CX203" s="69"/>
      <c r="CY203" s="69"/>
      <c r="CZ203" s="69"/>
      <c r="DA203" s="69"/>
      <c r="DB203" s="69"/>
      <c r="DC203" s="69"/>
      <c r="DD203" s="69"/>
      <c r="DE203" s="69"/>
      <c r="DF203" s="69"/>
      <c r="DG203" s="69"/>
      <c r="DH203" s="69"/>
      <c r="DI203" s="69"/>
      <c r="DJ203" s="69"/>
      <c r="DK203" s="69"/>
      <c r="DL203" s="69"/>
      <c r="DM203" s="69"/>
      <c r="DN203" s="69"/>
      <c r="DO203" s="69"/>
      <c r="DP203" s="69"/>
      <c r="DQ203" s="69"/>
      <c r="DR203" s="69"/>
      <c r="DS203" s="69"/>
      <c r="DT203" s="69"/>
      <c r="DU203" s="69"/>
    </row>
    <row r="204" ht="15.75" customHeight="1">
      <c r="A204" s="69"/>
      <c r="B204" s="69"/>
      <c r="C204" s="69"/>
      <c r="D204" s="4"/>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c r="BI204" s="69"/>
      <c r="BJ204" s="69"/>
      <c r="BK204" s="69"/>
      <c r="BL204" s="69"/>
      <c r="BM204" s="69"/>
      <c r="BN204" s="69"/>
      <c r="BO204" s="69"/>
      <c r="BP204" s="69"/>
      <c r="BQ204" s="69"/>
      <c r="BR204" s="69"/>
      <c r="BS204" s="69"/>
      <c r="BT204" s="69"/>
      <c r="BU204" s="69"/>
      <c r="BV204" s="69"/>
      <c r="BW204" s="69"/>
      <c r="BX204" s="69"/>
      <c r="BY204" s="69"/>
      <c r="BZ204" s="69"/>
      <c r="CA204" s="69"/>
      <c r="CB204" s="69"/>
      <c r="CC204" s="69"/>
      <c r="CD204" s="69"/>
      <c r="CE204" s="69"/>
      <c r="CF204" s="69"/>
      <c r="CG204" s="69"/>
      <c r="CH204" s="69"/>
      <c r="CI204" s="69"/>
      <c r="CJ204" s="69"/>
      <c r="CK204" s="69"/>
      <c r="CL204" s="69"/>
      <c r="CM204" s="69"/>
      <c r="CN204" s="69"/>
      <c r="CO204" s="69"/>
      <c r="CP204" s="69"/>
      <c r="CQ204" s="69"/>
      <c r="CR204" s="69"/>
      <c r="CS204" s="69"/>
      <c r="CT204" s="69"/>
      <c r="CU204" s="69"/>
      <c r="CV204" s="69"/>
      <c r="CW204" s="69"/>
      <c r="CX204" s="69"/>
      <c r="CY204" s="69"/>
      <c r="CZ204" s="69"/>
      <c r="DA204" s="69"/>
      <c r="DB204" s="69"/>
      <c r="DC204" s="69"/>
      <c r="DD204" s="69"/>
      <c r="DE204" s="69"/>
      <c r="DF204" s="69"/>
      <c r="DG204" s="69"/>
      <c r="DH204" s="69"/>
      <c r="DI204" s="69"/>
      <c r="DJ204" s="69"/>
      <c r="DK204" s="69"/>
      <c r="DL204" s="69"/>
      <c r="DM204" s="69"/>
      <c r="DN204" s="69"/>
      <c r="DO204" s="69"/>
      <c r="DP204" s="69"/>
      <c r="DQ204" s="69"/>
      <c r="DR204" s="69"/>
      <c r="DS204" s="69"/>
      <c r="DT204" s="69"/>
      <c r="DU204" s="69"/>
    </row>
    <row r="205" ht="15.75" customHeight="1">
      <c r="A205" s="69"/>
      <c r="B205" s="69"/>
      <c r="C205" s="69"/>
      <c r="D205" s="4"/>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c r="BI205" s="69"/>
      <c r="BJ205" s="69"/>
      <c r="BK205" s="69"/>
      <c r="BL205" s="69"/>
      <c r="BM205" s="69"/>
      <c r="BN205" s="69"/>
      <c r="BO205" s="69"/>
      <c r="BP205" s="69"/>
      <c r="BQ205" s="69"/>
      <c r="BR205" s="69"/>
      <c r="BS205" s="69"/>
      <c r="BT205" s="69"/>
      <c r="BU205" s="69"/>
      <c r="BV205" s="69"/>
      <c r="BW205" s="69"/>
      <c r="BX205" s="69"/>
      <c r="BY205" s="69"/>
      <c r="BZ205" s="69"/>
      <c r="CA205" s="69"/>
      <c r="CB205" s="69"/>
      <c r="CC205" s="69"/>
      <c r="CD205" s="69"/>
      <c r="CE205" s="69"/>
      <c r="CF205" s="69"/>
      <c r="CG205" s="69"/>
      <c r="CH205" s="69"/>
      <c r="CI205" s="69"/>
      <c r="CJ205" s="69"/>
      <c r="CK205" s="69"/>
      <c r="CL205" s="69"/>
      <c r="CM205" s="69"/>
      <c r="CN205" s="69"/>
      <c r="CO205" s="69"/>
      <c r="CP205" s="69"/>
      <c r="CQ205" s="69"/>
      <c r="CR205" s="69"/>
      <c r="CS205" s="69"/>
      <c r="CT205" s="69"/>
      <c r="CU205" s="69"/>
      <c r="CV205" s="69"/>
      <c r="CW205" s="69"/>
      <c r="CX205" s="69"/>
      <c r="CY205" s="69"/>
      <c r="CZ205" s="69"/>
      <c r="DA205" s="69"/>
      <c r="DB205" s="69"/>
      <c r="DC205" s="69"/>
      <c r="DD205" s="69"/>
      <c r="DE205" s="69"/>
      <c r="DF205" s="69"/>
      <c r="DG205" s="69"/>
      <c r="DH205" s="69"/>
      <c r="DI205" s="69"/>
      <c r="DJ205" s="69"/>
      <c r="DK205" s="69"/>
      <c r="DL205" s="69"/>
      <c r="DM205" s="69"/>
      <c r="DN205" s="69"/>
      <c r="DO205" s="69"/>
      <c r="DP205" s="69"/>
      <c r="DQ205" s="69"/>
      <c r="DR205" s="69"/>
      <c r="DS205" s="69"/>
      <c r="DT205" s="69"/>
      <c r="DU205" s="69"/>
    </row>
    <row r="206" ht="15.75" customHeight="1">
      <c r="A206" s="69"/>
      <c r="B206" s="69"/>
      <c r="C206" s="69"/>
      <c r="D206" s="4"/>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c r="BN206" s="69"/>
      <c r="BO206" s="69"/>
      <c r="BP206" s="69"/>
      <c r="BQ206" s="69"/>
      <c r="BR206" s="69"/>
      <c r="BS206" s="69"/>
      <c r="BT206" s="69"/>
      <c r="BU206" s="69"/>
      <c r="BV206" s="69"/>
      <c r="BW206" s="69"/>
      <c r="BX206" s="69"/>
      <c r="BY206" s="69"/>
      <c r="BZ206" s="69"/>
      <c r="CA206" s="69"/>
      <c r="CB206" s="69"/>
      <c r="CC206" s="69"/>
      <c r="CD206" s="69"/>
      <c r="CE206" s="69"/>
      <c r="CF206" s="69"/>
      <c r="CG206" s="69"/>
      <c r="CH206" s="69"/>
      <c r="CI206" s="69"/>
      <c r="CJ206" s="69"/>
      <c r="CK206" s="69"/>
      <c r="CL206" s="69"/>
      <c r="CM206" s="69"/>
      <c r="CN206" s="69"/>
      <c r="CO206" s="69"/>
      <c r="CP206" s="69"/>
      <c r="CQ206" s="69"/>
      <c r="CR206" s="69"/>
      <c r="CS206" s="69"/>
      <c r="CT206" s="69"/>
      <c r="CU206" s="69"/>
      <c r="CV206" s="69"/>
      <c r="CW206" s="69"/>
      <c r="CX206" s="69"/>
      <c r="CY206" s="69"/>
      <c r="CZ206" s="69"/>
      <c r="DA206" s="69"/>
      <c r="DB206" s="69"/>
      <c r="DC206" s="69"/>
      <c r="DD206" s="69"/>
      <c r="DE206" s="69"/>
      <c r="DF206" s="69"/>
      <c r="DG206" s="69"/>
      <c r="DH206" s="69"/>
      <c r="DI206" s="69"/>
      <c r="DJ206" s="69"/>
      <c r="DK206" s="69"/>
      <c r="DL206" s="69"/>
      <c r="DM206" s="69"/>
      <c r="DN206" s="69"/>
      <c r="DO206" s="69"/>
      <c r="DP206" s="69"/>
      <c r="DQ206" s="69"/>
      <c r="DR206" s="69"/>
      <c r="DS206" s="69"/>
      <c r="DT206" s="69"/>
      <c r="DU206" s="69"/>
    </row>
    <row r="207" ht="15.75" customHeight="1">
      <c r="A207" s="69"/>
      <c r="B207" s="69"/>
      <c r="C207" s="69"/>
      <c r="D207" s="4"/>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69"/>
      <c r="CF207" s="69"/>
      <c r="CG207" s="69"/>
      <c r="CH207" s="69"/>
      <c r="CI207" s="69"/>
      <c r="CJ207" s="69"/>
      <c r="CK207" s="69"/>
      <c r="CL207" s="69"/>
      <c r="CM207" s="69"/>
      <c r="CN207" s="69"/>
      <c r="CO207" s="69"/>
      <c r="CP207" s="69"/>
      <c r="CQ207" s="69"/>
      <c r="CR207" s="69"/>
      <c r="CS207" s="69"/>
      <c r="CT207" s="69"/>
      <c r="CU207" s="69"/>
      <c r="CV207" s="69"/>
      <c r="CW207" s="69"/>
      <c r="CX207" s="69"/>
      <c r="CY207" s="69"/>
      <c r="CZ207" s="69"/>
      <c r="DA207" s="69"/>
      <c r="DB207" s="69"/>
      <c r="DC207" s="69"/>
      <c r="DD207" s="69"/>
      <c r="DE207" s="69"/>
      <c r="DF207" s="69"/>
      <c r="DG207" s="69"/>
      <c r="DH207" s="69"/>
      <c r="DI207" s="69"/>
      <c r="DJ207" s="69"/>
      <c r="DK207" s="69"/>
      <c r="DL207" s="69"/>
      <c r="DM207" s="69"/>
      <c r="DN207" s="69"/>
      <c r="DO207" s="69"/>
      <c r="DP207" s="69"/>
      <c r="DQ207" s="69"/>
      <c r="DR207" s="69"/>
      <c r="DS207" s="69"/>
      <c r="DT207" s="69"/>
      <c r="DU207" s="69"/>
    </row>
    <row r="208" ht="15.75" customHeight="1">
      <c r="A208" s="69"/>
      <c r="B208" s="69"/>
      <c r="C208" s="69"/>
      <c r="D208" s="4"/>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c r="BN208" s="69"/>
      <c r="BO208" s="69"/>
      <c r="BP208" s="69"/>
      <c r="BQ208" s="69"/>
      <c r="BR208" s="69"/>
      <c r="BS208" s="69"/>
      <c r="BT208" s="69"/>
      <c r="BU208" s="69"/>
      <c r="BV208" s="69"/>
      <c r="BW208" s="69"/>
      <c r="BX208" s="69"/>
      <c r="BY208" s="69"/>
      <c r="BZ208" s="69"/>
      <c r="CA208" s="69"/>
      <c r="CB208" s="69"/>
      <c r="CC208" s="69"/>
      <c r="CD208" s="69"/>
      <c r="CE208" s="69"/>
      <c r="CF208" s="69"/>
      <c r="CG208" s="69"/>
      <c r="CH208" s="69"/>
      <c r="CI208" s="69"/>
      <c r="CJ208" s="69"/>
      <c r="CK208" s="69"/>
      <c r="CL208" s="69"/>
      <c r="CM208" s="69"/>
      <c r="CN208" s="69"/>
      <c r="CO208" s="69"/>
      <c r="CP208" s="69"/>
      <c r="CQ208" s="69"/>
      <c r="CR208" s="69"/>
      <c r="CS208" s="69"/>
      <c r="CT208" s="69"/>
      <c r="CU208" s="69"/>
      <c r="CV208" s="69"/>
      <c r="CW208" s="69"/>
      <c r="CX208" s="69"/>
      <c r="CY208" s="69"/>
      <c r="CZ208" s="69"/>
      <c r="DA208" s="69"/>
      <c r="DB208" s="69"/>
      <c r="DC208" s="69"/>
      <c r="DD208" s="69"/>
      <c r="DE208" s="69"/>
      <c r="DF208" s="69"/>
      <c r="DG208" s="69"/>
      <c r="DH208" s="69"/>
      <c r="DI208" s="69"/>
      <c r="DJ208" s="69"/>
      <c r="DK208" s="69"/>
      <c r="DL208" s="69"/>
      <c r="DM208" s="69"/>
      <c r="DN208" s="69"/>
      <c r="DO208" s="69"/>
      <c r="DP208" s="69"/>
      <c r="DQ208" s="69"/>
      <c r="DR208" s="69"/>
      <c r="DS208" s="69"/>
      <c r="DT208" s="69"/>
      <c r="DU208" s="69"/>
    </row>
    <row r="209" ht="15.75" customHeight="1">
      <c r="A209" s="69"/>
      <c r="B209" s="69"/>
      <c r="C209" s="69"/>
      <c r="D209" s="4"/>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c r="BI209" s="69"/>
      <c r="BJ209" s="69"/>
      <c r="BK209" s="69"/>
      <c r="BL209" s="69"/>
      <c r="BM209" s="69"/>
      <c r="BN209" s="69"/>
      <c r="BO209" s="69"/>
      <c r="BP209" s="69"/>
      <c r="BQ209" s="69"/>
      <c r="BR209" s="69"/>
      <c r="BS209" s="69"/>
      <c r="BT209" s="69"/>
      <c r="BU209" s="69"/>
      <c r="BV209" s="69"/>
      <c r="BW209" s="69"/>
      <c r="BX209" s="69"/>
      <c r="BY209" s="69"/>
      <c r="BZ209" s="69"/>
      <c r="CA209" s="69"/>
      <c r="CB209" s="69"/>
      <c r="CC209" s="69"/>
      <c r="CD209" s="69"/>
      <c r="CE209" s="69"/>
      <c r="CF209" s="69"/>
      <c r="CG209" s="69"/>
      <c r="CH209" s="69"/>
      <c r="CI209" s="69"/>
      <c r="CJ209" s="69"/>
      <c r="CK209" s="69"/>
      <c r="CL209" s="69"/>
      <c r="CM209" s="69"/>
      <c r="CN209" s="69"/>
      <c r="CO209" s="69"/>
      <c r="CP209" s="69"/>
      <c r="CQ209" s="69"/>
      <c r="CR209" s="69"/>
      <c r="CS209" s="69"/>
      <c r="CT209" s="69"/>
      <c r="CU209" s="69"/>
      <c r="CV209" s="69"/>
      <c r="CW209" s="69"/>
      <c r="CX209" s="69"/>
      <c r="CY209" s="69"/>
      <c r="CZ209" s="69"/>
      <c r="DA209" s="69"/>
      <c r="DB209" s="69"/>
      <c r="DC209" s="69"/>
      <c r="DD209" s="69"/>
      <c r="DE209" s="69"/>
      <c r="DF209" s="69"/>
      <c r="DG209" s="69"/>
      <c r="DH209" s="69"/>
      <c r="DI209" s="69"/>
      <c r="DJ209" s="69"/>
      <c r="DK209" s="69"/>
      <c r="DL209" s="69"/>
      <c r="DM209" s="69"/>
      <c r="DN209" s="69"/>
      <c r="DO209" s="69"/>
      <c r="DP209" s="69"/>
      <c r="DQ209" s="69"/>
      <c r="DR209" s="69"/>
      <c r="DS209" s="69"/>
      <c r="DT209" s="69"/>
      <c r="DU209" s="69"/>
    </row>
    <row r="210" ht="15.75" customHeight="1">
      <c r="A210" s="69"/>
      <c r="B210" s="69"/>
      <c r="C210" s="69"/>
      <c r="D210" s="4"/>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c r="BN210" s="69"/>
      <c r="BO210" s="69"/>
      <c r="BP210" s="69"/>
      <c r="BQ210" s="69"/>
      <c r="BR210" s="69"/>
      <c r="BS210" s="69"/>
      <c r="BT210" s="69"/>
      <c r="BU210" s="69"/>
      <c r="BV210" s="69"/>
      <c r="BW210" s="69"/>
      <c r="BX210" s="69"/>
      <c r="BY210" s="69"/>
      <c r="BZ210" s="69"/>
      <c r="CA210" s="69"/>
      <c r="CB210" s="69"/>
      <c r="CC210" s="69"/>
      <c r="CD210" s="69"/>
      <c r="CE210" s="69"/>
      <c r="CF210" s="69"/>
      <c r="CG210" s="69"/>
      <c r="CH210" s="69"/>
      <c r="CI210" s="69"/>
      <c r="CJ210" s="69"/>
      <c r="CK210" s="69"/>
      <c r="CL210" s="69"/>
      <c r="CM210" s="69"/>
      <c r="CN210" s="69"/>
      <c r="CO210" s="69"/>
      <c r="CP210" s="69"/>
      <c r="CQ210" s="69"/>
      <c r="CR210" s="69"/>
      <c r="CS210" s="69"/>
      <c r="CT210" s="69"/>
      <c r="CU210" s="69"/>
      <c r="CV210" s="69"/>
      <c r="CW210" s="69"/>
      <c r="CX210" s="69"/>
      <c r="CY210" s="69"/>
      <c r="CZ210" s="69"/>
      <c r="DA210" s="69"/>
      <c r="DB210" s="69"/>
      <c r="DC210" s="69"/>
      <c r="DD210" s="69"/>
      <c r="DE210" s="69"/>
      <c r="DF210" s="69"/>
      <c r="DG210" s="69"/>
      <c r="DH210" s="69"/>
      <c r="DI210" s="69"/>
      <c r="DJ210" s="69"/>
      <c r="DK210" s="69"/>
      <c r="DL210" s="69"/>
      <c r="DM210" s="69"/>
      <c r="DN210" s="69"/>
      <c r="DO210" s="69"/>
      <c r="DP210" s="69"/>
      <c r="DQ210" s="69"/>
      <c r="DR210" s="69"/>
      <c r="DS210" s="69"/>
      <c r="DT210" s="69"/>
      <c r="DU210" s="69"/>
    </row>
    <row r="211" ht="15.75" customHeight="1">
      <c r="A211" s="69"/>
      <c r="B211" s="69"/>
      <c r="C211" s="69"/>
      <c r="D211" s="4"/>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69"/>
      <c r="BS211" s="69"/>
      <c r="BT211" s="69"/>
      <c r="BU211" s="69"/>
      <c r="BV211" s="69"/>
      <c r="BW211" s="69"/>
      <c r="BX211" s="69"/>
      <c r="BY211" s="69"/>
      <c r="BZ211" s="69"/>
      <c r="CA211" s="69"/>
      <c r="CB211" s="69"/>
      <c r="CC211" s="69"/>
      <c r="CD211" s="69"/>
      <c r="CE211" s="69"/>
      <c r="CF211" s="69"/>
      <c r="CG211" s="69"/>
      <c r="CH211" s="69"/>
      <c r="CI211" s="69"/>
      <c r="CJ211" s="69"/>
      <c r="CK211" s="69"/>
      <c r="CL211" s="69"/>
      <c r="CM211" s="69"/>
      <c r="CN211" s="69"/>
      <c r="CO211" s="69"/>
      <c r="CP211" s="69"/>
      <c r="CQ211" s="69"/>
      <c r="CR211" s="69"/>
      <c r="CS211" s="69"/>
      <c r="CT211" s="69"/>
      <c r="CU211" s="69"/>
      <c r="CV211" s="69"/>
      <c r="CW211" s="69"/>
      <c r="CX211" s="69"/>
      <c r="CY211" s="69"/>
      <c r="CZ211" s="69"/>
      <c r="DA211" s="69"/>
      <c r="DB211" s="69"/>
      <c r="DC211" s="69"/>
      <c r="DD211" s="69"/>
      <c r="DE211" s="69"/>
      <c r="DF211" s="69"/>
      <c r="DG211" s="69"/>
      <c r="DH211" s="69"/>
      <c r="DI211" s="69"/>
      <c r="DJ211" s="69"/>
      <c r="DK211" s="69"/>
      <c r="DL211" s="69"/>
      <c r="DM211" s="69"/>
      <c r="DN211" s="69"/>
      <c r="DO211" s="69"/>
      <c r="DP211" s="69"/>
      <c r="DQ211" s="69"/>
      <c r="DR211" s="69"/>
      <c r="DS211" s="69"/>
      <c r="DT211" s="69"/>
      <c r="DU211" s="69"/>
    </row>
    <row r="212" ht="15.75" customHeight="1">
      <c r="A212" s="69"/>
      <c r="B212" s="69"/>
      <c r="C212" s="69"/>
      <c r="D212" s="4"/>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c r="BN212" s="69"/>
      <c r="BO212" s="69"/>
      <c r="BP212" s="69"/>
      <c r="BQ212" s="69"/>
      <c r="BR212" s="69"/>
      <c r="BS212" s="69"/>
      <c r="BT212" s="69"/>
      <c r="BU212" s="69"/>
      <c r="BV212" s="69"/>
      <c r="BW212" s="69"/>
      <c r="BX212" s="69"/>
      <c r="BY212" s="69"/>
      <c r="BZ212" s="69"/>
      <c r="CA212" s="69"/>
      <c r="CB212" s="69"/>
      <c r="CC212" s="69"/>
      <c r="CD212" s="69"/>
      <c r="CE212" s="69"/>
      <c r="CF212" s="69"/>
      <c r="CG212" s="69"/>
      <c r="CH212" s="69"/>
      <c r="CI212" s="69"/>
      <c r="CJ212" s="69"/>
      <c r="CK212" s="69"/>
      <c r="CL212" s="69"/>
      <c r="CM212" s="69"/>
      <c r="CN212" s="69"/>
      <c r="CO212" s="69"/>
      <c r="CP212" s="69"/>
      <c r="CQ212" s="69"/>
      <c r="CR212" s="69"/>
      <c r="CS212" s="69"/>
      <c r="CT212" s="69"/>
      <c r="CU212" s="69"/>
      <c r="CV212" s="69"/>
      <c r="CW212" s="69"/>
      <c r="CX212" s="69"/>
      <c r="CY212" s="69"/>
      <c r="CZ212" s="69"/>
      <c r="DA212" s="69"/>
      <c r="DB212" s="69"/>
      <c r="DC212" s="69"/>
      <c r="DD212" s="69"/>
      <c r="DE212" s="69"/>
      <c r="DF212" s="69"/>
      <c r="DG212" s="69"/>
      <c r="DH212" s="69"/>
      <c r="DI212" s="69"/>
      <c r="DJ212" s="69"/>
      <c r="DK212" s="69"/>
      <c r="DL212" s="69"/>
      <c r="DM212" s="69"/>
      <c r="DN212" s="69"/>
      <c r="DO212" s="69"/>
      <c r="DP212" s="69"/>
      <c r="DQ212" s="69"/>
      <c r="DR212" s="69"/>
      <c r="DS212" s="69"/>
      <c r="DT212" s="69"/>
      <c r="DU212" s="69"/>
    </row>
    <row r="213" ht="15.75" customHeight="1">
      <c r="A213" s="69"/>
      <c r="B213" s="69"/>
      <c r="C213" s="69"/>
      <c r="D213" s="4"/>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69"/>
      <c r="BS213" s="69"/>
      <c r="BT213" s="69"/>
      <c r="BU213" s="69"/>
      <c r="BV213" s="69"/>
      <c r="BW213" s="69"/>
      <c r="BX213" s="69"/>
      <c r="BY213" s="69"/>
      <c r="BZ213" s="69"/>
      <c r="CA213" s="69"/>
      <c r="CB213" s="69"/>
      <c r="CC213" s="69"/>
      <c r="CD213" s="69"/>
      <c r="CE213" s="69"/>
      <c r="CF213" s="69"/>
      <c r="CG213" s="69"/>
      <c r="CH213" s="69"/>
      <c r="CI213" s="69"/>
      <c r="CJ213" s="69"/>
      <c r="CK213" s="69"/>
      <c r="CL213" s="69"/>
      <c r="CM213" s="69"/>
      <c r="CN213" s="69"/>
      <c r="CO213" s="69"/>
      <c r="CP213" s="69"/>
      <c r="CQ213" s="69"/>
      <c r="CR213" s="69"/>
      <c r="CS213" s="69"/>
      <c r="CT213" s="69"/>
      <c r="CU213" s="69"/>
      <c r="CV213" s="69"/>
      <c r="CW213" s="69"/>
      <c r="CX213" s="69"/>
      <c r="CY213" s="69"/>
      <c r="CZ213" s="69"/>
      <c r="DA213" s="69"/>
      <c r="DB213" s="69"/>
      <c r="DC213" s="69"/>
      <c r="DD213" s="69"/>
      <c r="DE213" s="69"/>
      <c r="DF213" s="69"/>
      <c r="DG213" s="69"/>
      <c r="DH213" s="69"/>
      <c r="DI213" s="69"/>
      <c r="DJ213" s="69"/>
      <c r="DK213" s="69"/>
      <c r="DL213" s="69"/>
      <c r="DM213" s="69"/>
      <c r="DN213" s="69"/>
      <c r="DO213" s="69"/>
      <c r="DP213" s="69"/>
      <c r="DQ213" s="69"/>
      <c r="DR213" s="69"/>
      <c r="DS213" s="69"/>
      <c r="DT213" s="69"/>
      <c r="DU213" s="69"/>
    </row>
    <row r="214" ht="15.75" customHeight="1">
      <c r="A214" s="69"/>
      <c r="B214" s="69"/>
      <c r="C214" s="69"/>
      <c r="D214" s="4"/>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69"/>
      <c r="CG214" s="69"/>
      <c r="CH214" s="69"/>
      <c r="CI214" s="69"/>
      <c r="CJ214" s="69"/>
      <c r="CK214" s="69"/>
      <c r="CL214" s="69"/>
      <c r="CM214" s="69"/>
      <c r="CN214" s="69"/>
      <c r="CO214" s="69"/>
      <c r="CP214" s="69"/>
      <c r="CQ214" s="69"/>
      <c r="CR214" s="69"/>
      <c r="CS214" s="69"/>
      <c r="CT214" s="69"/>
      <c r="CU214" s="69"/>
      <c r="CV214" s="69"/>
      <c r="CW214" s="69"/>
      <c r="CX214" s="69"/>
      <c r="CY214" s="69"/>
      <c r="CZ214" s="69"/>
      <c r="DA214" s="69"/>
      <c r="DB214" s="69"/>
      <c r="DC214" s="69"/>
      <c r="DD214" s="69"/>
      <c r="DE214" s="69"/>
      <c r="DF214" s="69"/>
      <c r="DG214" s="69"/>
      <c r="DH214" s="69"/>
      <c r="DI214" s="69"/>
      <c r="DJ214" s="69"/>
      <c r="DK214" s="69"/>
      <c r="DL214" s="69"/>
      <c r="DM214" s="69"/>
      <c r="DN214" s="69"/>
      <c r="DO214" s="69"/>
      <c r="DP214" s="69"/>
      <c r="DQ214" s="69"/>
      <c r="DR214" s="69"/>
      <c r="DS214" s="69"/>
      <c r="DT214" s="69"/>
      <c r="DU214" s="69"/>
    </row>
    <row r="215" ht="15.75" customHeight="1">
      <c r="A215" s="69"/>
      <c r="B215" s="69"/>
      <c r="C215" s="69"/>
      <c r="D215" s="4"/>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69"/>
      <c r="BS215" s="69"/>
      <c r="BT215" s="69"/>
      <c r="BU215" s="69"/>
      <c r="BV215" s="69"/>
      <c r="BW215" s="69"/>
      <c r="BX215" s="69"/>
      <c r="BY215" s="69"/>
      <c r="BZ215" s="69"/>
      <c r="CA215" s="69"/>
      <c r="CB215" s="69"/>
      <c r="CC215" s="69"/>
      <c r="CD215" s="69"/>
      <c r="CE215" s="69"/>
      <c r="CF215" s="69"/>
      <c r="CG215" s="69"/>
      <c r="CH215" s="69"/>
      <c r="CI215" s="69"/>
      <c r="CJ215" s="69"/>
      <c r="CK215" s="69"/>
      <c r="CL215" s="69"/>
      <c r="CM215" s="69"/>
      <c r="CN215" s="69"/>
      <c r="CO215" s="69"/>
      <c r="CP215" s="69"/>
      <c r="CQ215" s="69"/>
      <c r="CR215" s="69"/>
      <c r="CS215" s="69"/>
      <c r="CT215" s="69"/>
      <c r="CU215" s="69"/>
      <c r="CV215" s="69"/>
      <c r="CW215" s="69"/>
      <c r="CX215" s="69"/>
      <c r="CY215" s="69"/>
      <c r="CZ215" s="69"/>
      <c r="DA215" s="69"/>
      <c r="DB215" s="69"/>
      <c r="DC215" s="69"/>
      <c r="DD215" s="69"/>
      <c r="DE215" s="69"/>
      <c r="DF215" s="69"/>
      <c r="DG215" s="69"/>
      <c r="DH215" s="69"/>
      <c r="DI215" s="69"/>
      <c r="DJ215" s="69"/>
      <c r="DK215" s="69"/>
      <c r="DL215" s="69"/>
      <c r="DM215" s="69"/>
      <c r="DN215" s="69"/>
      <c r="DO215" s="69"/>
      <c r="DP215" s="69"/>
      <c r="DQ215" s="69"/>
      <c r="DR215" s="69"/>
      <c r="DS215" s="69"/>
      <c r="DT215" s="69"/>
      <c r="DU215" s="69"/>
    </row>
    <row r="216" ht="15.75" customHeight="1">
      <c r="A216" s="69"/>
      <c r="B216" s="69"/>
      <c r="C216" s="69"/>
      <c r="D216" s="4"/>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69"/>
      <c r="BS216" s="69"/>
      <c r="BT216" s="69"/>
      <c r="BU216" s="69"/>
      <c r="BV216" s="69"/>
      <c r="BW216" s="69"/>
      <c r="BX216" s="69"/>
      <c r="BY216" s="69"/>
      <c r="BZ216" s="69"/>
      <c r="CA216" s="69"/>
      <c r="CB216" s="69"/>
      <c r="CC216" s="69"/>
      <c r="CD216" s="69"/>
      <c r="CE216" s="69"/>
      <c r="CF216" s="69"/>
      <c r="CG216" s="69"/>
      <c r="CH216" s="69"/>
      <c r="CI216" s="69"/>
      <c r="CJ216" s="69"/>
      <c r="CK216" s="69"/>
      <c r="CL216" s="69"/>
      <c r="CM216" s="69"/>
      <c r="CN216" s="69"/>
      <c r="CO216" s="69"/>
      <c r="CP216" s="69"/>
      <c r="CQ216" s="69"/>
      <c r="CR216" s="69"/>
      <c r="CS216" s="69"/>
      <c r="CT216" s="69"/>
      <c r="CU216" s="69"/>
      <c r="CV216" s="69"/>
      <c r="CW216" s="69"/>
      <c r="CX216" s="69"/>
      <c r="CY216" s="69"/>
      <c r="CZ216" s="69"/>
      <c r="DA216" s="69"/>
      <c r="DB216" s="69"/>
      <c r="DC216" s="69"/>
      <c r="DD216" s="69"/>
      <c r="DE216" s="69"/>
      <c r="DF216" s="69"/>
      <c r="DG216" s="69"/>
      <c r="DH216" s="69"/>
      <c r="DI216" s="69"/>
      <c r="DJ216" s="69"/>
      <c r="DK216" s="69"/>
      <c r="DL216" s="69"/>
      <c r="DM216" s="69"/>
      <c r="DN216" s="69"/>
      <c r="DO216" s="69"/>
      <c r="DP216" s="69"/>
      <c r="DQ216" s="69"/>
      <c r="DR216" s="69"/>
      <c r="DS216" s="69"/>
      <c r="DT216" s="69"/>
      <c r="DU216" s="69"/>
    </row>
    <row r="217" ht="15.75" customHeight="1">
      <c r="A217" s="69"/>
      <c r="B217" s="69"/>
      <c r="C217" s="69"/>
      <c r="D217" s="4"/>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69"/>
      <c r="BS217" s="69"/>
      <c r="BT217" s="69"/>
      <c r="BU217" s="69"/>
      <c r="BV217" s="69"/>
      <c r="BW217" s="69"/>
      <c r="BX217" s="69"/>
      <c r="BY217" s="69"/>
      <c r="BZ217" s="69"/>
      <c r="CA217" s="69"/>
      <c r="CB217" s="69"/>
      <c r="CC217" s="69"/>
      <c r="CD217" s="69"/>
      <c r="CE217" s="69"/>
      <c r="CF217" s="69"/>
      <c r="CG217" s="69"/>
      <c r="CH217" s="69"/>
      <c r="CI217" s="69"/>
      <c r="CJ217" s="69"/>
      <c r="CK217" s="69"/>
      <c r="CL217" s="69"/>
      <c r="CM217" s="69"/>
      <c r="CN217" s="69"/>
      <c r="CO217" s="69"/>
      <c r="CP217" s="69"/>
      <c r="CQ217" s="69"/>
      <c r="CR217" s="69"/>
      <c r="CS217" s="69"/>
      <c r="CT217" s="69"/>
      <c r="CU217" s="69"/>
      <c r="CV217" s="69"/>
      <c r="CW217" s="69"/>
      <c r="CX217" s="69"/>
      <c r="CY217" s="69"/>
      <c r="CZ217" s="69"/>
      <c r="DA217" s="69"/>
      <c r="DB217" s="69"/>
      <c r="DC217" s="69"/>
      <c r="DD217" s="69"/>
      <c r="DE217" s="69"/>
      <c r="DF217" s="69"/>
      <c r="DG217" s="69"/>
      <c r="DH217" s="69"/>
      <c r="DI217" s="69"/>
      <c r="DJ217" s="69"/>
      <c r="DK217" s="69"/>
      <c r="DL217" s="69"/>
      <c r="DM217" s="69"/>
      <c r="DN217" s="69"/>
      <c r="DO217" s="69"/>
      <c r="DP217" s="69"/>
      <c r="DQ217" s="69"/>
      <c r="DR217" s="69"/>
      <c r="DS217" s="69"/>
      <c r="DT217" s="69"/>
      <c r="DU217" s="69"/>
    </row>
    <row r="218" ht="15.75" customHeight="1">
      <c r="A218" s="69"/>
      <c r="B218" s="69"/>
      <c r="C218" s="69"/>
      <c r="D218" s="4"/>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c r="BN218" s="69"/>
      <c r="BO218" s="69"/>
      <c r="BP218" s="69"/>
      <c r="BQ218" s="69"/>
      <c r="BR218" s="69"/>
      <c r="BS218" s="69"/>
      <c r="BT218" s="69"/>
      <c r="BU218" s="69"/>
      <c r="BV218" s="69"/>
      <c r="BW218" s="69"/>
      <c r="BX218" s="69"/>
      <c r="BY218" s="69"/>
      <c r="BZ218" s="69"/>
      <c r="CA218" s="69"/>
      <c r="CB218" s="69"/>
      <c r="CC218" s="69"/>
      <c r="CD218" s="69"/>
      <c r="CE218" s="69"/>
      <c r="CF218" s="69"/>
      <c r="CG218" s="69"/>
      <c r="CH218" s="69"/>
      <c r="CI218" s="69"/>
      <c r="CJ218" s="69"/>
      <c r="CK218" s="69"/>
      <c r="CL218" s="69"/>
      <c r="CM218" s="69"/>
      <c r="CN218" s="69"/>
      <c r="CO218" s="69"/>
      <c r="CP218" s="69"/>
      <c r="CQ218" s="69"/>
      <c r="CR218" s="69"/>
      <c r="CS218" s="69"/>
      <c r="CT218" s="69"/>
      <c r="CU218" s="69"/>
      <c r="CV218" s="69"/>
      <c r="CW218" s="69"/>
      <c r="CX218" s="69"/>
      <c r="CY218" s="69"/>
      <c r="CZ218" s="69"/>
      <c r="DA218" s="69"/>
      <c r="DB218" s="69"/>
      <c r="DC218" s="69"/>
      <c r="DD218" s="69"/>
      <c r="DE218" s="69"/>
      <c r="DF218" s="69"/>
      <c r="DG218" s="69"/>
      <c r="DH218" s="69"/>
      <c r="DI218" s="69"/>
      <c r="DJ218" s="69"/>
      <c r="DK218" s="69"/>
      <c r="DL218" s="69"/>
      <c r="DM218" s="69"/>
      <c r="DN218" s="69"/>
      <c r="DO218" s="69"/>
      <c r="DP218" s="69"/>
      <c r="DQ218" s="69"/>
      <c r="DR218" s="69"/>
      <c r="DS218" s="69"/>
      <c r="DT218" s="69"/>
      <c r="DU218" s="69"/>
    </row>
    <row r="219" ht="15.75" customHeight="1">
      <c r="A219" s="69"/>
      <c r="B219" s="69"/>
      <c r="C219" s="69"/>
      <c r="D219" s="4"/>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69"/>
      <c r="BT219" s="69"/>
      <c r="BU219" s="69"/>
      <c r="BV219" s="69"/>
      <c r="BW219" s="69"/>
      <c r="BX219" s="69"/>
      <c r="BY219" s="69"/>
      <c r="BZ219" s="69"/>
      <c r="CA219" s="69"/>
      <c r="CB219" s="69"/>
      <c r="CC219" s="69"/>
      <c r="CD219" s="69"/>
      <c r="CE219" s="69"/>
      <c r="CF219" s="69"/>
      <c r="CG219" s="69"/>
      <c r="CH219" s="69"/>
      <c r="CI219" s="69"/>
      <c r="CJ219" s="69"/>
      <c r="CK219" s="69"/>
      <c r="CL219" s="69"/>
      <c r="CM219" s="69"/>
      <c r="CN219" s="69"/>
      <c r="CO219" s="69"/>
      <c r="CP219" s="69"/>
      <c r="CQ219" s="69"/>
      <c r="CR219" s="69"/>
      <c r="CS219" s="69"/>
      <c r="CT219" s="69"/>
      <c r="CU219" s="69"/>
      <c r="CV219" s="69"/>
      <c r="CW219" s="69"/>
      <c r="CX219" s="69"/>
      <c r="CY219" s="69"/>
      <c r="CZ219" s="69"/>
      <c r="DA219" s="69"/>
      <c r="DB219" s="69"/>
      <c r="DC219" s="69"/>
      <c r="DD219" s="69"/>
      <c r="DE219" s="69"/>
      <c r="DF219" s="69"/>
      <c r="DG219" s="69"/>
      <c r="DH219" s="69"/>
      <c r="DI219" s="69"/>
      <c r="DJ219" s="69"/>
      <c r="DK219" s="69"/>
      <c r="DL219" s="69"/>
      <c r="DM219" s="69"/>
      <c r="DN219" s="69"/>
      <c r="DO219" s="69"/>
      <c r="DP219" s="69"/>
      <c r="DQ219" s="69"/>
      <c r="DR219" s="69"/>
      <c r="DS219" s="69"/>
      <c r="DT219" s="69"/>
      <c r="DU219" s="69"/>
    </row>
    <row r="220" ht="15.75" customHeight="1">
      <c r="A220" s="69"/>
      <c r="B220" s="69"/>
      <c r="C220" s="69"/>
      <c r="D220" s="4"/>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69"/>
      <c r="BS220" s="69"/>
      <c r="BT220" s="69"/>
      <c r="BU220" s="69"/>
      <c r="BV220" s="69"/>
      <c r="BW220" s="69"/>
      <c r="BX220" s="69"/>
      <c r="BY220" s="69"/>
      <c r="BZ220" s="69"/>
      <c r="CA220" s="69"/>
      <c r="CB220" s="69"/>
      <c r="CC220" s="69"/>
      <c r="CD220" s="69"/>
      <c r="CE220" s="69"/>
      <c r="CF220" s="69"/>
      <c r="CG220" s="69"/>
      <c r="CH220" s="69"/>
      <c r="CI220" s="69"/>
      <c r="CJ220" s="69"/>
      <c r="CK220" s="69"/>
      <c r="CL220" s="69"/>
      <c r="CM220" s="69"/>
      <c r="CN220" s="69"/>
      <c r="CO220" s="69"/>
      <c r="CP220" s="69"/>
      <c r="CQ220" s="69"/>
      <c r="CR220" s="69"/>
      <c r="CS220" s="69"/>
      <c r="CT220" s="69"/>
      <c r="CU220" s="69"/>
      <c r="CV220" s="69"/>
      <c r="CW220" s="69"/>
      <c r="CX220" s="69"/>
      <c r="CY220" s="69"/>
      <c r="CZ220" s="69"/>
      <c r="DA220" s="69"/>
      <c r="DB220" s="69"/>
      <c r="DC220" s="69"/>
      <c r="DD220" s="69"/>
      <c r="DE220" s="69"/>
      <c r="DF220" s="69"/>
      <c r="DG220" s="69"/>
      <c r="DH220" s="69"/>
      <c r="DI220" s="69"/>
      <c r="DJ220" s="69"/>
      <c r="DK220" s="69"/>
      <c r="DL220" s="69"/>
      <c r="DM220" s="69"/>
      <c r="DN220" s="69"/>
      <c r="DO220" s="69"/>
      <c r="DP220" s="69"/>
      <c r="DQ220" s="69"/>
      <c r="DR220" s="69"/>
      <c r="DS220" s="69"/>
      <c r="DT220" s="69"/>
      <c r="DU220" s="69"/>
    </row>
    <row r="221" ht="15.75" customHeight="1">
      <c r="A221" s="69"/>
      <c r="B221" s="69"/>
      <c r="C221" s="69"/>
      <c r="D221" s="4"/>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69"/>
      <c r="BS221" s="69"/>
      <c r="BT221" s="69"/>
      <c r="BU221" s="69"/>
      <c r="BV221" s="69"/>
      <c r="BW221" s="69"/>
      <c r="BX221" s="69"/>
      <c r="BY221" s="69"/>
      <c r="BZ221" s="69"/>
      <c r="CA221" s="69"/>
      <c r="CB221" s="69"/>
      <c r="CC221" s="69"/>
      <c r="CD221" s="69"/>
      <c r="CE221" s="69"/>
      <c r="CF221" s="69"/>
      <c r="CG221" s="69"/>
      <c r="CH221" s="69"/>
      <c r="CI221" s="69"/>
      <c r="CJ221" s="69"/>
      <c r="CK221" s="69"/>
      <c r="CL221" s="69"/>
      <c r="CM221" s="69"/>
      <c r="CN221" s="69"/>
      <c r="CO221" s="69"/>
      <c r="CP221" s="69"/>
      <c r="CQ221" s="69"/>
      <c r="CR221" s="69"/>
      <c r="CS221" s="69"/>
      <c r="CT221" s="69"/>
      <c r="CU221" s="69"/>
      <c r="CV221" s="69"/>
      <c r="CW221" s="69"/>
      <c r="CX221" s="69"/>
      <c r="CY221" s="69"/>
      <c r="CZ221" s="69"/>
      <c r="DA221" s="69"/>
      <c r="DB221" s="69"/>
      <c r="DC221" s="69"/>
      <c r="DD221" s="69"/>
      <c r="DE221" s="69"/>
      <c r="DF221" s="69"/>
      <c r="DG221" s="69"/>
      <c r="DH221" s="69"/>
      <c r="DI221" s="69"/>
      <c r="DJ221" s="69"/>
      <c r="DK221" s="69"/>
      <c r="DL221" s="69"/>
      <c r="DM221" s="69"/>
      <c r="DN221" s="69"/>
      <c r="DO221" s="69"/>
      <c r="DP221" s="69"/>
      <c r="DQ221" s="69"/>
      <c r="DR221" s="69"/>
      <c r="DS221" s="69"/>
      <c r="DT221" s="69"/>
      <c r="DU221" s="69"/>
    </row>
    <row r="222" ht="15.75" customHeight="1">
      <c r="A222" s="69"/>
      <c r="B222" s="69"/>
      <c r="C222" s="69"/>
      <c r="D222" s="4"/>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69"/>
      <c r="BS222" s="69"/>
      <c r="BT222" s="69"/>
      <c r="BU222" s="69"/>
      <c r="BV222" s="69"/>
      <c r="BW222" s="69"/>
      <c r="BX222" s="69"/>
      <c r="BY222" s="69"/>
      <c r="BZ222" s="69"/>
      <c r="CA222" s="69"/>
      <c r="CB222" s="69"/>
      <c r="CC222" s="69"/>
      <c r="CD222" s="69"/>
      <c r="CE222" s="69"/>
      <c r="CF222" s="69"/>
      <c r="CG222" s="69"/>
      <c r="CH222" s="69"/>
      <c r="CI222" s="69"/>
      <c r="CJ222" s="69"/>
      <c r="CK222" s="69"/>
      <c r="CL222" s="69"/>
      <c r="CM222" s="69"/>
      <c r="CN222" s="69"/>
      <c r="CO222" s="69"/>
      <c r="CP222" s="69"/>
      <c r="CQ222" s="69"/>
      <c r="CR222" s="69"/>
      <c r="CS222" s="69"/>
      <c r="CT222" s="69"/>
      <c r="CU222" s="69"/>
      <c r="CV222" s="69"/>
      <c r="CW222" s="69"/>
      <c r="CX222" s="69"/>
      <c r="CY222" s="69"/>
      <c r="CZ222" s="69"/>
      <c r="DA222" s="69"/>
      <c r="DB222" s="69"/>
      <c r="DC222" s="69"/>
      <c r="DD222" s="69"/>
      <c r="DE222" s="69"/>
      <c r="DF222" s="69"/>
      <c r="DG222" s="69"/>
      <c r="DH222" s="69"/>
      <c r="DI222" s="69"/>
      <c r="DJ222" s="69"/>
      <c r="DK222" s="69"/>
      <c r="DL222" s="69"/>
      <c r="DM222" s="69"/>
      <c r="DN222" s="69"/>
      <c r="DO222" s="69"/>
      <c r="DP222" s="69"/>
      <c r="DQ222" s="69"/>
      <c r="DR222" s="69"/>
      <c r="DS222" s="69"/>
      <c r="DT222" s="69"/>
      <c r="DU222" s="69"/>
    </row>
    <row r="223" ht="15.75" customHeight="1">
      <c r="A223" s="69"/>
      <c r="B223" s="69"/>
      <c r="C223" s="69"/>
      <c r="D223" s="4"/>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c r="BI223" s="69"/>
      <c r="BJ223" s="69"/>
      <c r="BK223" s="69"/>
      <c r="BL223" s="69"/>
      <c r="BM223" s="69"/>
      <c r="BN223" s="69"/>
      <c r="BO223" s="69"/>
      <c r="BP223" s="69"/>
      <c r="BQ223" s="69"/>
      <c r="BR223" s="69"/>
      <c r="BS223" s="69"/>
      <c r="BT223" s="69"/>
      <c r="BU223" s="69"/>
      <c r="BV223" s="69"/>
      <c r="BW223" s="69"/>
      <c r="BX223" s="69"/>
      <c r="BY223" s="69"/>
      <c r="BZ223" s="69"/>
      <c r="CA223" s="69"/>
      <c r="CB223" s="69"/>
      <c r="CC223" s="69"/>
      <c r="CD223" s="69"/>
      <c r="CE223" s="69"/>
      <c r="CF223" s="69"/>
      <c r="CG223" s="69"/>
      <c r="CH223" s="69"/>
      <c r="CI223" s="69"/>
      <c r="CJ223" s="69"/>
      <c r="CK223" s="69"/>
      <c r="CL223" s="69"/>
      <c r="CM223" s="69"/>
      <c r="CN223" s="69"/>
      <c r="CO223" s="69"/>
      <c r="CP223" s="69"/>
      <c r="CQ223" s="69"/>
      <c r="CR223" s="69"/>
      <c r="CS223" s="69"/>
      <c r="CT223" s="69"/>
      <c r="CU223" s="69"/>
      <c r="CV223" s="69"/>
      <c r="CW223" s="69"/>
      <c r="CX223" s="69"/>
      <c r="CY223" s="69"/>
      <c r="CZ223" s="69"/>
      <c r="DA223" s="69"/>
      <c r="DB223" s="69"/>
      <c r="DC223" s="69"/>
      <c r="DD223" s="69"/>
      <c r="DE223" s="69"/>
      <c r="DF223" s="69"/>
      <c r="DG223" s="69"/>
      <c r="DH223" s="69"/>
      <c r="DI223" s="69"/>
      <c r="DJ223" s="69"/>
      <c r="DK223" s="69"/>
      <c r="DL223" s="69"/>
      <c r="DM223" s="69"/>
      <c r="DN223" s="69"/>
      <c r="DO223" s="69"/>
      <c r="DP223" s="69"/>
      <c r="DQ223" s="69"/>
      <c r="DR223" s="69"/>
      <c r="DS223" s="69"/>
      <c r="DT223" s="69"/>
      <c r="DU223" s="69"/>
    </row>
    <row r="224" ht="15.75" customHeight="1">
      <c r="A224" s="69"/>
      <c r="B224" s="69"/>
      <c r="C224" s="69"/>
      <c r="D224" s="4"/>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69"/>
      <c r="BR224" s="69"/>
      <c r="BS224" s="69"/>
      <c r="BT224" s="69"/>
      <c r="BU224" s="69"/>
      <c r="BV224" s="69"/>
      <c r="BW224" s="69"/>
      <c r="BX224" s="69"/>
      <c r="BY224" s="69"/>
      <c r="BZ224" s="69"/>
      <c r="CA224" s="69"/>
      <c r="CB224" s="69"/>
      <c r="CC224" s="69"/>
      <c r="CD224" s="69"/>
      <c r="CE224" s="69"/>
      <c r="CF224" s="69"/>
      <c r="CG224" s="69"/>
      <c r="CH224" s="69"/>
      <c r="CI224" s="69"/>
      <c r="CJ224" s="69"/>
      <c r="CK224" s="69"/>
      <c r="CL224" s="69"/>
      <c r="CM224" s="69"/>
      <c r="CN224" s="69"/>
      <c r="CO224" s="69"/>
      <c r="CP224" s="69"/>
      <c r="CQ224" s="69"/>
      <c r="CR224" s="69"/>
      <c r="CS224" s="69"/>
      <c r="CT224" s="69"/>
      <c r="CU224" s="69"/>
      <c r="CV224" s="69"/>
      <c r="CW224" s="69"/>
      <c r="CX224" s="69"/>
      <c r="CY224" s="69"/>
      <c r="CZ224" s="69"/>
      <c r="DA224" s="69"/>
      <c r="DB224" s="69"/>
      <c r="DC224" s="69"/>
      <c r="DD224" s="69"/>
      <c r="DE224" s="69"/>
      <c r="DF224" s="69"/>
      <c r="DG224" s="69"/>
      <c r="DH224" s="69"/>
      <c r="DI224" s="69"/>
      <c r="DJ224" s="69"/>
      <c r="DK224" s="69"/>
      <c r="DL224" s="69"/>
      <c r="DM224" s="69"/>
      <c r="DN224" s="69"/>
      <c r="DO224" s="69"/>
      <c r="DP224" s="69"/>
      <c r="DQ224" s="69"/>
      <c r="DR224" s="69"/>
      <c r="DS224" s="69"/>
      <c r="DT224" s="69"/>
      <c r="DU224" s="69"/>
    </row>
    <row r="225" ht="15.75" customHeight="1">
      <c r="A225" s="69"/>
      <c r="B225" s="69"/>
      <c r="C225" s="69"/>
      <c r="D225" s="4"/>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c r="BI225" s="69"/>
      <c r="BJ225" s="69"/>
      <c r="BK225" s="69"/>
      <c r="BL225" s="69"/>
      <c r="BM225" s="69"/>
      <c r="BN225" s="69"/>
      <c r="BO225" s="69"/>
      <c r="BP225" s="69"/>
      <c r="BQ225" s="69"/>
      <c r="BR225" s="69"/>
      <c r="BS225" s="69"/>
      <c r="BT225" s="69"/>
      <c r="BU225" s="69"/>
      <c r="BV225" s="69"/>
      <c r="BW225" s="69"/>
      <c r="BX225" s="69"/>
      <c r="BY225" s="69"/>
      <c r="BZ225" s="69"/>
      <c r="CA225" s="69"/>
      <c r="CB225" s="69"/>
      <c r="CC225" s="69"/>
      <c r="CD225" s="69"/>
      <c r="CE225" s="69"/>
      <c r="CF225" s="69"/>
      <c r="CG225" s="69"/>
      <c r="CH225" s="69"/>
      <c r="CI225" s="69"/>
      <c r="CJ225" s="69"/>
      <c r="CK225" s="69"/>
      <c r="CL225" s="69"/>
      <c r="CM225" s="69"/>
      <c r="CN225" s="69"/>
      <c r="CO225" s="69"/>
      <c r="CP225" s="69"/>
      <c r="CQ225" s="69"/>
      <c r="CR225" s="69"/>
      <c r="CS225" s="69"/>
      <c r="CT225" s="69"/>
      <c r="CU225" s="69"/>
      <c r="CV225" s="69"/>
      <c r="CW225" s="69"/>
      <c r="CX225" s="69"/>
      <c r="CY225" s="69"/>
      <c r="CZ225" s="69"/>
      <c r="DA225" s="69"/>
      <c r="DB225" s="69"/>
      <c r="DC225" s="69"/>
      <c r="DD225" s="69"/>
      <c r="DE225" s="69"/>
      <c r="DF225" s="69"/>
      <c r="DG225" s="69"/>
      <c r="DH225" s="69"/>
      <c r="DI225" s="69"/>
      <c r="DJ225" s="69"/>
      <c r="DK225" s="69"/>
      <c r="DL225" s="69"/>
      <c r="DM225" s="69"/>
      <c r="DN225" s="69"/>
      <c r="DO225" s="69"/>
      <c r="DP225" s="69"/>
      <c r="DQ225" s="69"/>
      <c r="DR225" s="69"/>
      <c r="DS225" s="69"/>
      <c r="DT225" s="69"/>
      <c r="DU225" s="69"/>
    </row>
    <row r="226" ht="15.75" customHeight="1">
      <c r="A226" s="69"/>
      <c r="B226" s="69"/>
      <c r="C226" s="69"/>
      <c r="D226" s="4"/>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c r="BN226" s="69"/>
      <c r="BO226" s="69"/>
      <c r="BP226" s="69"/>
      <c r="BQ226" s="69"/>
      <c r="BR226" s="69"/>
      <c r="BS226" s="69"/>
      <c r="BT226" s="69"/>
      <c r="BU226" s="69"/>
      <c r="BV226" s="69"/>
      <c r="BW226" s="69"/>
      <c r="BX226" s="69"/>
      <c r="BY226" s="69"/>
      <c r="BZ226" s="69"/>
      <c r="CA226" s="69"/>
      <c r="CB226" s="69"/>
      <c r="CC226" s="69"/>
      <c r="CD226" s="69"/>
      <c r="CE226" s="69"/>
      <c r="CF226" s="69"/>
      <c r="CG226" s="69"/>
      <c r="CH226" s="69"/>
      <c r="CI226" s="69"/>
      <c r="CJ226" s="69"/>
      <c r="CK226" s="69"/>
      <c r="CL226" s="69"/>
      <c r="CM226" s="69"/>
      <c r="CN226" s="69"/>
      <c r="CO226" s="69"/>
      <c r="CP226" s="69"/>
      <c r="CQ226" s="69"/>
      <c r="CR226" s="69"/>
      <c r="CS226" s="69"/>
      <c r="CT226" s="69"/>
      <c r="CU226" s="69"/>
      <c r="CV226" s="69"/>
      <c r="CW226" s="69"/>
      <c r="CX226" s="69"/>
      <c r="CY226" s="69"/>
      <c r="CZ226" s="69"/>
      <c r="DA226" s="69"/>
      <c r="DB226" s="69"/>
      <c r="DC226" s="69"/>
      <c r="DD226" s="69"/>
      <c r="DE226" s="69"/>
      <c r="DF226" s="69"/>
      <c r="DG226" s="69"/>
      <c r="DH226" s="69"/>
      <c r="DI226" s="69"/>
      <c r="DJ226" s="69"/>
      <c r="DK226" s="69"/>
      <c r="DL226" s="69"/>
      <c r="DM226" s="69"/>
      <c r="DN226" s="69"/>
      <c r="DO226" s="69"/>
      <c r="DP226" s="69"/>
      <c r="DQ226" s="69"/>
      <c r="DR226" s="69"/>
      <c r="DS226" s="69"/>
      <c r="DT226" s="69"/>
      <c r="DU226" s="69"/>
    </row>
    <row r="227" ht="15.75" customHeight="1">
      <c r="A227" s="69"/>
      <c r="B227" s="69"/>
      <c r="C227" s="69"/>
      <c r="D227" s="4"/>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c r="BI227" s="69"/>
      <c r="BJ227" s="69"/>
      <c r="BK227" s="69"/>
      <c r="BL227" s="69"/>
      <c r="BM227" s="69"/>
      <c r="BN227" s="69"/>
      <c r="BO227" s="69"/>
      <c r="BP227" s="69"/>
      <c r="BQ227" s="69"/>
      <c r="BR227" s="69"/>
      <c r="BS227" s="69"/>
      <c r="BT227" s="69"/>
      <c r="BU227" s="69"/>
      <c r="BV227" s="69"/>
      <c r="BW227" s="69"/>
      <c r="BX227" s="69"/>
      <c r="BY227" s="69"/>
      <c r="BZ227" s="69"/>
      <c r="CA227" s="69"/>
      <c r="CB227" s="69"/>
      <c r="CC227" s="69"/>
      <c r="CD227" s="69"/>
      <c r="CE227" s="69"/>
      <c r="CF227" s="69"/>
      <c r="CG227" s="69"/>
      <c r="CH227" s="69"/>
      <c r="CI227" s="69"/>
      <c r="CJ227" s="69"/>
      <c r="CK227" s="69"/>
      <c r="CL227" s="69"/>
      <c r="CM227" s="69"/>
      <c r="CN227" s="69"/>
      <c r="CO227" s="69"/>
      <c r="CP227" s="69"/>
      <c r="CQ227" s="69"/>
      <c r="CR227" s="69"/>
      <c r="CS227" s="69"/>
      <c r="CT227" s="69"/>
      <c r="CU227" s="69"/>
      <c r="CV227" s="69"/>
      <c r="CW227" s="69"/>
      <c r="CX227" s="69"/>
      <c r="CY227" s="69"/>
      <c r="CZ227" s="69"/>
      <c r="DA227" s="69"/>
      <c r="DB227" s="69"/>
      <c r="DC227" s="69"/>
      <c r="DD227" s="69"/>
      <c r="DE227" s="69"/>
      <c r="DF227" s="69"/>
      <c r="DG227" s="69"/>
      <c r="DH227" s="69"/>
      <c r="DI227" s="69"/>
      <c r="DJ227" s="69"/>
      <c r="DK227" s="69"/>
      <c r="DL227" s="69"/>
      <c r="DM227" s="69"/>
      <c r="DN227" s="69"/>
      <c r="DO227" s="69"/>
      <c r="DP227" s="69"/>
      <c r="DQ227" s="69"/>
      <c r="DR227" s="69"/>
      <c r="DS227" s="69"/>
      <c r="DT227" s="69"/>
      <c r="DU227" s="69"/>
    </row>
    <row r="228" ht="15.75" customHeight="1">
      <c r="A228" s="69"/>
      <c r="B228" s="69"/>
      <c r="C228" s="69"/>
      <c r="D228" s="4"/>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c r="BN228" s="69"/>
      <c r="BO228" s="69"/>
      <c r="BP228" s="69"/>
      <c r="BQ228" s="69"/>
      <c r="BR228" s="69"/>
      <c r="BS228" s="69"/>
      <c r="BT228" s="69"/>
      <c r="BU228" s="69"/>
      <c r="BV228" s="69"/>
      <c r="BW228" s="69"/>
      <c r="BX228" s="69"/>
      <c r="BY228" s="69"/>
      <c r="BZ228" s="69"/>
      <c r="CA228" s="69"/>
      <c r="CB228" s="69"/>
      <c r="CC228" s="69"/>
      <c r="CD228" s="69"/>
      <c r="CE228" s="69"/>
      <c r="CF228" s="69"/>
      <c r="CG228" s="69"/>
      <c r="CH228" s="69"/>
      <c r="CI228" s="69"/>
      <c r="CJ228" s="69"/>
      <c r="CK228" s="69"/>
      <c r="CL228" s="69"/>
      <c r="CM228" s="69"/>
      <c r="CN228" s="69"/>
      <c r="CO228" s="69"/>
      <c r="CP228" s="69"/>
      <c r="CQ228" s="69"/>
      <c r="CR228" s="69"/>
      <c r="CS228" s="69"/>
      <c r="CT228" s="69"/>
      <c r="CU228" s="69"/>
      <c r="CV228" s="69"/>
      <c r="CW228" s="69"/>
      <c r="CX228" s="69"/>
      <c r="CY228" s="69"/>
      <c r="CZ228" s="69"/>
      <c r="DA228" s="69"/>
      <c r="DB228" s="69"/>
      <c r="DC228" s="69"/>
      <c r="DD228" s="69"/>
      <c r="DE228" s="69"/>
      <c r="DF228" s="69"/>
      <c r="DG228" s="69"/>
      <c r="DH228" s="69"/>
      <c r="DI228" s="69"/>
      <c r="DJ228" s="69"/>
      <c r="DK228" s="69"/>
      <c r="DL228" s="69"/>
      <c r="DM228" s="69"/>
      <c r="DN228" s="69"/>
      <c r="DO228" s="69"/>
      <c r="DP228" s="69"/>
      <c r="DQ228" s="69"/>
      <c r="DR228" s="69"/>
      <c r="DS228" s="69"/>
      <c r="DT228" s="69"/>
      <c r="DU228" s="69"/>
    </row>
    <row r="229" ht="15.75" customHeight="1">
      <c r="A229" s="69"/>
      <c r="B229" s="69"/>
      <c r="C229" s="69"/>
      <c r="D229" s="4"/>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c r="BI229" s="69"/>
      <c r="BJ229" s="69"/>
      <c r="BK229" s="69"/>
      <c r="BL229" s="69"/>
      <c r="BM229" s="69"/>
      <c r="BN229" s="69"/>
      <c r="BO229" s="69"/>
      <c r="BP229" s="69"/>
      <c r="BQ229" s="69"/>
      <c r="BR229" s="69"/>
      <c r="BS229" s="69"/>
      <c r="BT229" s="69"/>
      <c r="BU229" s="69"/>
      <c r="BV229" s="69"/>
      <c r="BW229" s="69"/>
      <c r="BX229" s="69"/>
      <c r="BY229" s="69"/>
      <c r="BZ229" s="69"/>
      <c r="CA229" s="69"/>
      <c r="CB229" s="69"/>
      <c r="CC229" s="69"/>
      <c r="CD229" s="69"/>
      <c r="CE229" s="69"/>
      <c r="CF229" s="69"/>
      <c r="CG229" s="69"/>
      <c r="CH229" s="69"/>
      <c r="CI229" s="69"/>
      <c r="CJ229" s="69"/>
      <c r="CK229" s="69"/>
      <c r="CL229" s="69"/>
      <c r="CM229" s="69"/>
      <c r="CN229" s="69"/>
      <c r="CO229" s="69"/>
      <c r="CP229" s="69"/>
      <c r="CQ229" s="69"/>
      <c r="CR229" s="69"/>
      <c r="CS229" s="69"/>
      <c r="CT229" s="69"/>
      <c r="CU229" s="69"/>
      <c r="CV229" s="69"/>
      <c r="CW229" s="69"/>
      <c r="CX229" s="69"/>
      <c r="CY229" s="69"/>
      <c r="CZ229" s="69"/>
      <c r="DA229" s="69"/>
      <c r="DB229" s="69"/>
      <c r="DC229" s="69"/>
      <c r="DD229" s="69"/>
      <c r="DE229" s="69"/>
      <c r="DF229" s="69"/>
      <c r="DG229" s="69"/>
      <c r="DH229" s="69"/>
      <c r="DI229" s="69"/>
      <c r="DJ229" s="69"/>
      <c r="DK229" s="69"/>
      <c r="DL229" s="69"/>
      <c r="DM229" s="69"/>
      <c r="DN229" s="69"/>
      <c r="DO229" s="69"/>
      <c r="DP229" s="69"/>
      <c r="DQ229" s="69"/>
      <c r="DR229" s="69"/>
      <c r="DS229" s="69"/>
      <c r="DT229" s="69"/>
      <c r="DU229" s="69"/>
    </row>
    <row r="230" ht="15.75" customHeight="1">
      <c r="A230" s="69"/>
      <c r="B230" s="69"/>
      <c r="C230" s="69"/>
      <c r="D230" s="4"/>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69"/>
      <c r="BS230" s="69"/>
      <c r="BT230" s="69"/>
      <c r="BU230" s="69"/>
      <c r="BV230" s="69"/>
      <c r="BW230" s="69"/>
      <c r="BX230" s="69"/>
      <c r="BY230" s="69"/>
      <c r="BZ230" s="69"/>
      <c r="CA230" s="69"/>
      <c r="CB230" s="69"/>
      <c r="CC230" s="69"/>
      <c r="CD230" s="69"/>
      <c r="CE230" s="69"/>
      <c r="CF230" s="69"/>
      <c r="CG230" s="69"/>
      <c r="CH230" s="69"/>
      <c r="CI230" s="69"/>
      <c r="CJ230" s="69"/>
      <c r="CK230" s="69"/>
      <c r="CL230" s="69"/>
      <c r="CM230" s="69"/>
      <c r="CN230" s="69"/>
      <c r="CO230" s="69"/>
      <c r="CP230" s="69"/>
      <c r="CQ230" s="69"/>
      <c r="CR230" s="69"/>
      <c r="CS230" s="69"/>
      <c r="CT230" s="69"/>
      <c r="CU230" s="69"/>
      <c r="CV230" s="69"/>
      <c r="CW230" s="69"/>
      <c r="CX230" s="69"/>
      <c r="CY230" s="69"/>
      <c r="CZ230" s="69"/>
      <c r="DA230" s="69"/>
      <c r="DB230" s="69"/>
      <c r="DC230" s="69"/>
      <c r="DD230" s="69"/>
      <c r="DE230" s="69"/>
      <c r="DF230" s="69"/>
      <c r="DG230" s="69"/>
      <c r="DH230" s="69"/>
      <c r="DI230" s="69"/>
      <c r="DJ230" s="69"/>
      <c r="DK230" s="69"/>
      <c r="DL230" s="69"/>
      <c r="DM230" s="69"/>
      <c r="DN230" s="69"/>
      <c r="DO230" s="69"/>
      <c r="DP230" s="69"/>
      <c r="DQ230" s="69"/>
      <c r="DR230" s="69"/>
      <c r="DS230" s="69"/>
      <c r="DT230" s="69"/>
      <c r="DU230" s="69"/>
    </row>
    <row r="231" ht="15.75" customHeight="1">
      <c r="A231" s="69"/>
      <c r="B231" s="69"/>
      <c r="C231" s="69"/>
      <c r="D231" s="4"/>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69"/>
      <c r="BT231" s="69"/>
      <c r="BU231" s="69"/>
      <c r="BV231" s="69"/>
      <c r="BW231" s="69"/>
      <c r="BX231" s="69"/>
      <c r="BY231" s="69"/>
      <c r="BZ231" s="69"/>
      <c r="CA231" s="69"/>
      <c r="CB231" s="69"/>
      <c r="CC231" s="69"/>
      <c r="CD231" s="69"/>
      <c r="CE231" s="69"/>
      <c r="CF231" s="69"/>
      <c r="CG231" s="69"/>
      <c r="CH231" s="69"/>
      <c r="CI231" s="69"/>
      <c r="CJ231" s="69"/>
      <c r="CK231" s="69"/>
      <c r="CL231" s="69"/>
      <c r="CM231" s="69"/>
      <c r="CN231" s="69"/>
      <c r="CO231" s="69"/>
      <c r="CP231" s="69"/>
      <c r="CQ231" s="69"/>
      <c r="CR231" s="69"/>
      <c r="CS231" s="69"/>
      <c r="CT231" s="69"/>
      <c r="CU231" s="69"/>
      <c r="CV231" s="69"/>
      <c r="CW231" s="69"/>
      <c r="CX231" s="69"/>
      <c r="CY231" s="69"/>
      <c r="CZ231" s="69"/>
      <c r="DA231" s="69"/>
      <c r="DB231" s="69"/>
      <c r="DC231" s="69"/>
      <c r="DD231" s="69"/>
      <c r="DE231" s="69"/>
      <c r="DF231" s="69"/>
      <c r="DG231" s="69"/>
      <c r="DH231" s="69"/>
      <c r="DI231" s="69"/>
      <c r="DJ231" s="69"/>
      <c r="DK231" s="69"/>
      <c r="DL231" s="69"/>
      <c r="DM231" s="69"/>
      <c r="DN231" s="69"/>
      <c r="DO231" s="69"/>
      <c r="DP231" s="69"/>
      <c r="DQ231" s="69"/>
      <c r="DR231" s="69"/>
      <c r="DS231" s="69"/>
      <c r="DT231" s="69"/>
      <c r="DU231" s="69"/>
    </row>
    <row r="232" ht="15.75" customHeight="1">
      <c r="A232" s="69"/>
      <c r="B232" s="69"/>
      <c r="C232" s="69"/>
      <c r="D232" s="4"/>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69"/>
      <c r="BT232" s="69"/>
      <c r="BU232" s="69"/>
      <c r="BV232" s="69"/>
      <c r="BW232" s="69"/>
      <c r="BX232" s="69"/>
      <c r="BY232" s="69"/>
      <c r="BZ232" s="69"/>
      <c r="CA232" s="69"/>
      <c r="CB232" s="69"/>
      <c r="CC232" s="69"/>
      <c r="CD232" s="69"/>
      <c r="CE232" s="69"/>
      <c r="CF232" s="69"/>
      <c r="CG232" s="69"/>
      <c r="CH232" s="69"/>
      <c r="CI232" s="69"/>
      <c r="CJ232" s="69"/>
      <c r="CK232" s="69"/>
      <c r="CL232" s="69"/>
      <c r="CM232" s="69"/>
      <c r="CN232" s="69"/>
      <c r="CO232" s="69"/>
      <c r="CP232" s="69"/>
      <c r="CQ232" s="69"/>
      <c r="CR232" s="69"/>
      <c r="CS232" s="69"/>
      <c r="CT232" s="69"/>
      <c r="CU232" s="69"/>
      <c r="CV232" s="69"/>
      <c r="CW232" s="69"/>
      <c r="CX232" s="69"/>
      <c r="CY232" s="69"/>
      <c r="CZ232" s="69"/>
      <c r="DA232" s="69"/>
      <c r="DB232" s="69"/>
      <c r="DC232" s="69"/>
      <c r="DD232" s="69"/>
      <c r="DE232" s="69"/>
      <c r="DF232" s="69"/>
      <c r="DG232" s="69"/>
      <c r="DH232" s="69"/>
      <c r="DI232" s="69"/>
      <c r="DJ232" s="69"/>
      <c r="DK232" s="69"/>
      <c r="DL232" s="69"/>
      <c r="DM232" s="69"/>
      <c r="DN232" s="69"/>
      <c r="DO232" s="69"/>
      <c r="DP232" s="69"/>
      <c r="DQ232" s="69"/>
      <c r="DR232" s="69"/>
      <c r="DS232" s="69"/>
      <c r="DT232" s="69"/>
      <c r="DU232" s="69"/>
    </row>
    <row r="233" ht="15.75" customHeight="1">
      <c r="A233" s="69"/>
      <c r="B233" s="69"/>
      <c r="C233" s="69"/>
      <c r="D233" s="4"/>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69"/>
      <c r="BT233" s="69"/>
      <c r="BU233" s="69"/>
      <c r="BV233" s="69"/>
      <c r="BW233" s="69"/>
      <c r="BX233" s="69"/>
      <c r="BY233" s="69"/>
      <c r="BZ233" s="69"/>
      <c r="CA233" s="69"/>
      <c r="CB233" s="69"/>
      <c r="CC233" s="69"/>
      <c r="CD233" s="69"/>
      <c r="CE233" s="69"/>
      <c r="CF233" s="69"/>
      <c r="CG233" s="69"/>
      <c r="CH233" s="69"/>
      <c r="CI233" s="69"/>
      <c r="CJ233" s="69"/>
      <c r="CK233" s="69"/>
      <c r="CL233" s="69"/>
      <c r="CM233" s="69"/>
      <c r="CN233" s="69"/>
      <c r="CO233" s="69"/>
      <c r="CP233" s="69"/>
      <c r="CQ233" s="69"/>
      <c r="CR233" s="69"/>
      <c r="CS233" s="69"/>
      <c r="CT233" s="69"/>
      <c r="CU233" s="69"/>
      <c r="CV233" s="69"/>
      <c r="CW233" s="69"/>
      <c r="CX233" s="69"/>
      <c r="CY233" s="69"/>
      <c r="CZ233" s="69"/>
      <c r="DA233" s="69"/>
      <c r="DB233" s="69"/>
      <c r="DC233" s="69"/>
      <c r="DD233" s="69"/>
      <c r="DE233" s="69"/>
      <c r="DF233" s="69"/>
      <c r="DG233" s="69"/>
      <c r="DH233" s="69"/>
      <c r="DI233" s="69"/>
      <c r="DJ233" s="69"/>
      <c r="DK233" s="69"/>
      <c r="DL233" s="69"/>
      <c r="DM233" s="69"/>
      <c r="DN233" s="69"/>
      <c r="DO233" s="69"/>
      <c r="DP233" s="69"/>
      <c r="DQ233" s="69"/>
      <c r="DR233" s="69"/>
      <c r="DS233" s="69"/>
      <c r="DT233" s="69"/>
      <c r="DU233" s="69"/>
    </row>
    <row r="234" ht="15.75" customHeight="1">
      <c r="A234" s="69"/>
      <c r="B234" s="69"/>
      <c r="C234" s="69"/>
      <c r="D234" s="4"/>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69"/>
      <c r="BS234" s="69"/>
      <c r="BT234" s="69"/>
      <c r="BU234" s="69"/>
      <c r="BV234" s="69"/>
      <c r="BW234" s="69"/>
      <c r="BX234" s="69"/>
      <c r="BY234" s="69"/>
      <c r="BZ234" s="69"/>
      <c r="CA234" s="69"/>
      <c r="CB234" s="69"/>
      <c r="CC234" s="69"/>
      <c r="CD234" s="69"/>
      <c r="CE234" s="69"/>
      <c r="CF234" s="69"/>
      <c r="CG234" s="69"/>
      <c r="CH234" s="69"/>
      <c r="CI234" s="69"/>
      <c r="CJ234" s="69"/>
      <c r="CK234" s="69"/>
      <c r="CL234" s="69"/>
      <c r="CM234" s="69"/>
      <c r="CN234" s="69"/>
      <c r="CO234" s="69"/>
      <c r="CP234" s="69"/>
      <c r="CQ234" s="69"/>
      <c r="CR234" s="69"/>
      <c r="CS234" s="69"/>
      <c r="CT234" s="69"/>
      <c r="CU234" s="69"/>
      <c r="CV234" s="69"/>
      <c r="CW234" s="69"/>
      <c r="CX234" s="69"/>
      <c r="CY234" s="69"/>
      <c r="CZ234" s="69"/>
      <c r="DA234" s="69"/>
      <c r="DB234" s="69"/>
      <c r="DC234" s="69"/>
      <c r="DD234" s="69"/>
      <c r="DE234" s="69"/>
      <c r="DF234" s="69"/>
      <c r="DG234" s="69"/>
      <c r="DH234" s="69"/>
      <c r="DI234" s="69"/>
      <c r="DJ234" s="69"/>
      <c r="DK234" s="69"/>
      <c r="DL234" s="69"/>
      <c r="DM234" s="69"/>
      <c r="DN234" s="69"/>
      <c r="DO234" s="69"/>
      <c r="DP234" s="69"/>
      <c r="DQ234" s="69"/>
      <c r="DR234" s="69"/>
      <c r="DS234" s="69"/>
      <c r="DT234" s="69"/>
      <c r="DU234" s="69"/>
    </row>
    <row r="235" ht="15.75" customHeight="1">
      <c r="A235" s="69"/>
      <c r="B235" s="69"/>
      <c r="C235" s="69"/>
      <c r="D235" s="4"/>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69"/>
      <c r="BS235" s="69"/>
      <c r="BT235" s="69"/>
      <c r="BU235" s="69"/>
      <c r="BV235" s="69"/>
      <c r="BW235" s="69"/>
      <c r="BX235" s="69"/>
      <c r="BY235" s="69"/>
      <c r="BZ235" s="69"/>
      <c r="CA235" s="69"/>
      <c r="CB235" s="69"/>
      <c r="CC235" s="69"/>
      <c r="CD235" s="69"/>
      <c r="CE235" s="69"/>
      <c r="CF235" s="69"/>
      <c r="CG235" s="69"/>
      <c r="CH235" s="69"/>
      <c r="CI235" s="69"/>
      <c r="CJ235" s="69"/>
      <c r="CK235" s="69"/>
      <c r="CL235" s="69"/>
      <c r="CM235" s="69"/>
      <c r="CN235" s="69"/>
      <c r="CO235" s="69"/>
      <c r="CP235" s="69"/>
      <c r="CQ235" s="69"/>
      <c r="CR235" s="69"/>
      <c r="CS235" s="69"/>
      <c r="CT235" s="69"/>
      <c r="CU235" s="69"/>
      <c r="CV235" s="69"/>
      <c r="CW235" s="69"/>
      <c r="CX235" s="69"/>
      <c r="CY235" s="69"/>
      <c r="CZ235" s="69"/>
      <c r="DA235" s="69"/>
      <c r="DB235" s="69"/>
      <c r="DC235" s="69"/>
      <c r="DD235" s="69"/>
      <c r="DE235" s="69"/>
      <c r="DF235" s="69"/>
      <c r="DG235" s="69"/>
      <c r="DH235" s="69"/>
      <c r="DI235" s="69"/>
      <c r="DJ235" s="69"/>
      <c r="DK235" s="69"/>
      <c r="DL235" s="69"/>
      <c r="DM235" s="69"/>
      <c r="DN235" s="69"/>
      <c r="DO235" s="69"/>
      <c r="DP235" s="69"/>
      <c r="DQ235" s="69"/>
      <c r="DR235" s="69"/>
      <c r="DS235" s="69"/>
      <c r="DT235" s="69"/>
      <c r="DU235" s="69"/>
    </row>
    <row r="236" ht="15.75" customHeight="1">
      <c r="A236" s="69"/>
      <c r="B236" s="69"/>
      <c r="C236" s="69"/>
      <c r="D236" s="4"/>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c r="BN236" s="69"/>
      <c r="BO236" s="69"/>
      <c r="BP236" s="69"/>
      <c r="BQ236" s="69"/>
      <c r="BR236" s="69"/>
      <c r="BS236" s="69"/>
      <c r="BT236" s="69"/>
      <c r="BU236" s="69"/>
      <c r="BV236" s="69"/>
      <c r="BW236" s="69"/>
      <c r="BX236" s="69"/>
      <c r="BY236" s="69"/>
      <c r="BZ236" s="69"/>
      <c r="CA236" s="69"/>
      <c r="CB236" s="69"/>
      <c r="CC236" s="69"/>
      <c r="CD236" s="69"/>
      <c r="CE236" s="69"/>
      <c r="CF236" s="69"/>
      <c r="CG236" s="69"/>
      <c r="CH236" s="69"/>
      <c r="CI236" s="69"/>
      <c r="CJ236" s="69"/>
      <c r="CK236" s="69"/>
      <c r="CL236" s="69"/>
      <c r="CM236" s="69"/>
      <c r="CN236" s="69"/>
      <c r="CO236" s="69"/>
      <c r="CP236" s="69"/>
      <c r="CQ236" s="69"/>
      <c r="CR236" s="69"/>
      <c r="CS236" s="69"/>
      <c r="CT236" s="69"/>
      <c r="CU236" s="69"/>
      <c r="CV236" s="69"/>
      <c r="CW236" s="69"/>
      <c r="CX236" s="69"/>
      <c r="CY236" s="69"/>
      <c r="CZ236" s="69"/>
      <c r="DA236" s="69"/>
      <c r="DB236" s="69"/>
      <c r="DC236" s="69"/>
      <c r="DD236" s="69"/>
      <c r="DE236" s="69"/>
      <c r="DF236" s="69"/>
      <c r="DG236" s="69"/>
      <c r="DH236" s="69"/>
      <c r="DI236" s="69"/>
      <c r="DJ236" s="69"/>
      <c r="DK236" s="69"/>
      <c r="DL236" s="69"/>
      <c r="DM236" s="69"/>
      <c r="DN236" s="69"/>
      <c r="DO236" s="69"/>
      <c r="DP236" s="69"/>
      <c r="DQ236" s="69"/>
      <c r="DR236" s="69"/>
      <c r="DS236" s="69"/>
      <c r="DT236" s="69"/>
      <c r="DU236" s="69"/>
    </row>
    <row r="237" ht="15.75" customHeight="1">
      <c r="A237" s="69"/>
      <c r="B237" s="69"/>
      <c r="C237" s="69"/>
      <c r="D237" s="4"/>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c r="BI237" s="69"/>
      <c r="BJ237" s="69"/>
      <c r="BK237" s="69"/>
      <c r="BL237" s="69"/>
      <c r="BM237" s="69"/>
      <c r="BN237" s="69"/>
      <c r="BO237" s="69"/>
      <c r="BP237" s="69"/>
      <c r="BQ237" s="69"/>
      <c r="BR237" s="69"/>
      <c r="BS237" s="69"/>
      <c r="BT237" s="69"/>
      <c r="BU237" s="69"/>
      <c r="BV237" s="69"/>
      <c r="BW237" s="69"/>
      <c r="BX237" s="69"/>
      <c r="BY237" s="69"/>
      <c r="BZ237" s="69"/>
      <c r="CA237" s="69"/>
      <c r="CB237" s="69"/>
      <c r="CC237" s="69"/>
      <c r="CD237" s="69"/>
      <c r="CE237" s="69"/>
      <c r="CF237" s="69"/>
      <c r="CG237" s="69"/>
      <c r="CH237" s="69"/>
      <c r="CI237" s="69"/>
      <c r="CJ237" s="69"/>
      <c r="CK237" s="69"/>
      <c r="CL237" s="69"/>
      <c r="CM237" s="69"/>
      <c r="CN237" s="69"/>
      <c r="CO237" s="69"/>
      <c r="CP237" s="69"/>
      <c r="CQ237" s="69"/>
      <c r="CR237" s="69"/>
      <c r="CS237" s="69"/>
      <c r="CT237" s="69"/>
      <c r="CU237" s="69"/>
      <c r="CV237" s="69"/>
      <c r="CW237" s="69"/>
      <c r="CX237" s="69"/>
      <c r="CY237" s="69"/>
      <c r="CZ237" s="69"/>
      <c r="DA237" s="69"/>
      <c r="DB237" s="69"/>
      <c r="DC237" s="69"/>
      <c r="DD237" s="69"/>
      <c r="DE237" s="69"/>
      <c r="DF237" s="69"/>
      <c r="DG237" s="69"/>
      <c r="DH237" s="69"/>
      <c r="DI237" s="69"/>
      <c r="DJ237" s="69"/>
      <c r="DK237" s="69"/>
      <c r="DL237" s="69"/>
      <c r="DM237" s="69"/>
      <c r="DN237" s="69"/>
      <c r="DO237" s="69"/>
      <c r="DP237" s="69"/>
      <c r="DQ237" s="69"/>
      <c r="DR237" s="69"/>
      <c r="DS237" s="69"/>
      <c r="DT237" s="69"/>
      <c r="DU237" s="69"/>
    </row>
    <row r="238" ht="15.75" customHeight="1">
      <c r="A238" s="69"/>
      <c r="B238" s="69"/>
      <c r="C238" s="69"/>
      <c r="D238" s="4"/>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69"/>
      <c r="BS238" s="69"/>
      <c r="BT238" s="69"/>
      <c r="BU238" s="69"/>
      <c r="BV238" s="69"/>
      <c r="BW238" s="69"/>
      <c r="BX238" s="69"/>
      <c r="BY238" s="69"/>
      <c r="BZ238" s="69"/>
      <c r="CA238" s="69"/>
      <c r="CB238" s="69"/>
      <c r="CC238" s="69"/>
      <c r="CD238" s="69"/>
      <c r="CE238" s="69"/>
      <c r="CF238" s="69"/>
      <c r="CG238" s="69"/>
      <c r="CH238" s="69"/>
      <c r="CI238" s="69"/>
      <c r="CJ238" s="69"/>
      <c r="CK238" s="69"/>
      <c r="CL238" s="69"/>
      <c r="CM238" s="69"/>
      <c r="CN238" s="69"/>
      <c r="CO238" s="69"/>
      <c r="CP238" s="69"/>
      <c r="CQ238" s="69"/>
      <c r="CR238" s="69"/>
      <c r="CS238" s="69"/>
      <c r="CT238" s="69"/>
      <c r="CU238" s="69"/>
      <c r="CV238" s="69"/>
      <c r="CW238" s="69"/>
      <c r="CX238" s="69"/>
      <c r="CY238" s="69"/>
      <c r="CZ238" s="69"/>
      <c r="DA238" s="69"/>
      <c r="DB238" s="69"/>
      <c r="DC238" s="69"/>
      <c r="DD238" s="69"/>
      <c r="DE238" s="69"/>
      <c r="DF238" s="69"/>
      <c r="DG238" s="69"/>
      <c r="DH238" s="69"/>
      <c r="DI238" s="69"/>
      <c r="DJ238" s="69"/>
      <c r="DK238" s="69"/>
      <c r="DL238" s="69"/>
      <c r="DM238" s="69"/>
      <c r="DN238" s="69"/>
      <c r="DO238" s="69"/>
      <c r="DP238" s="69"/>
      <c r="DQ238" s="69"/>
      <c r="DR238" s="69"/>
      <c r="DS238" s="69"/>
      <c r="DT238" s="69"/>
      <c r="DU238" s="69"/>
    </row>
    <row r="239" ht="15.75" customHeight="1">
      <c r="A239" s="69"/>
      <c r="B239" s="69"/>
      <c r="C239" s="69"/>
      <c r="D239" s="4"/>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c r="BI239" s="69"/>
      <c r="BJ239" s="69"/>
      <c r="BK239" s="69"/>
      <c r="BL239" s="69"/>
      <c r="BM239" s="69"/>
      <c r="BN239" s="69"/>
      <c r="BO239" s="69"/>
      <c r="BP239" s="69"/>
      <c r="BQ239" s="69"/>
      <c r="BR239" s="69"/>
      <c r="BS239" s="69"/>
      <c r="BT239" s="69"/>
      <c r="BU239" s="69"/>
      <c r="BV239" s="69"/>
      <c r="BW239" s="69"/>
      <c r="BX239" s="69"/>
      <c r="BY239" s="69"/>
      <c r="BZ239" s="69"/>
      <c r="CA239" s="69"/>
      <c r="CB239" s="69"/>
      <c r="CC239" s="69"/>
      <c r="CD239" s="69"/>
      <c r="CE239" s="69"/>
      <c r="CF239" s="69"/>
      <c r="CG239" s="69"/>
      <c r="CH239" s="69"/>
      <c r="CI239" s="69"/>
      <c r="CJ239" s="69"/>
      <c r="CK239" s="69"/>
      <c r="CL239" s="69"/>
      <c r="CM239" s="69"/>
      <c r="CN239" s="69"/>
      <c r="CO239" s="69"/>
      <c r="CP239" s="69"/>
      <c r="CQ239" s="69"/>
      <c r="CR239" s="69"/>
      <c r="CS239" s="69"/>
      <c r="CT239" s="69"/>
      <c r="CU239" s="69"/>
      <c r="CV239" s="69"/>
      <c r="CW239" s="69"/>
      <c r="CX239" s="69"/>
      <c r="CY239" s="69"/>
      <c r="CZ239" s="69"/>
      <c r="DA239" s="69"/>
      <c r="DB239" s="69"/>
      <c r="DC239" s="69"/>
      <c r="DD239" s="69"/>
      <c r="DE239" s="69"/>
      <c r="DF239" s="69"/>
      <c r="DG239" s="69"/>
      <c r="DH239" s="69"/>
      <c r="DI239" s="69"/>
      <c r="DJ239" s="69"/>
      <c r="DK239" s="69"/>
      <c r="DL239" s="69"/>
      <c r="DM239" s="69"/>
      <c r="DN239" s="69"/>
      <c r="DO239" s="69"/>
      <c r="DP239" s="69"/>
      <c r="DQ239" s="69"/>
      <c r="DR239" s="69"/>
      <c r="DS239" s="69"/>
      <c r="DT239" s="69"/>
      <c r="DU239" s="69"/>
    </row>
    <row r="240" ht="15.75" customHeight="1">
      <c r="A240" s="69"/>
      <c r="B240" s="69"/>
      <c r="C240" s="69"/>
      <c r="D240" s="4"/>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c r="BN240" s="69"/>
      <c r="BO240" s="69"/>
      <c r="BP240" s="69"/>
      <c r="BQ240" s="69"/>
      <c r="BR240" s="69"/>
      <c r="BS240" s="69"/>
      <c r="BT240" s="69"/>
      <c r="BU240" s="69"/>
      <c r="BV240" s="69"/>
      <c r="BW240" s="69"/>
      <c r="BX240" s="69"/>
      <c r="BY240" s="69"/>
      <c r="BZ240" s="69"/>
      <c r="CA240" s="69"/>
      <c r="CB240" s="69"/>
      <c r="CC240" s="69"/>
      <c r="CD240" s="69"/>
      <c r="CE240" s="69"/>
      <c r="CF240" s="69"/>
      <c r="CG240" s="69"/>
      <c r="CH240" s="69"/>
      <c r="CI240" s="69"/>
      <c r="CJ240" s="69"/>
      <c r="CK240" s="69"/>
      <c r="CL240" s="69"/>
      <c r="CM240" s="69"/>
      <c r="CN240" s="69"/>
      <c r="CO240" s="69"/>
      <c r="CP240" s="69"/>
      <c r="CQ240" s="69"/>
      <c r="CR240" s="69"/>
      <c r="CS240" s="69"/>
      <c r="CT240" s="69"/>
      <c r="CU240" s="69"/>
      <c r="CV240" s="69"/>
      <c r="CW240" s="69"/>
      <c r="CX240" s="69"/>
      <c r="CY240" s="69"/>
      <c r="CZ240" s="69"/>
      <c r="DA240" s="69"/>
      <c r="DB240" s="69"/>
      <c r="DC240" s="69"/>
      <c r="DD240" s="69"/>
      <c r="DE240" s="69"/>
      <c r="DF240" s="69"/>
      <c r="DG240" s="69"/>
      <c r="DH240" s="69"/>
      <c r="DI240" s="69"/>
      <c r="DJ240" s="69"/>
      <c r="DK240" s="69"/>
      <c r="DL240" s="69"/>
      <c r="DM240" s="69"/>
      <c r="DN240" s="69"/>
      <c r="DO240" s="69"/>
      <c r="DP240" s="69"/>
      <c r="DQ240" s="69"/>
      <c r="DR240" s="69"/>
      <c r="DS240" s="69"/>
      <c r="DT240" s="69"/>
      <c r="DU240" s="69"/>
    </row>
    <row r="241" ht="15.75" customHeight="1">
      <c r="A241" s="69"/>
      <c r="B241" s="69"/>
      <c r="C241" s="69"/>
      <c r="D241" s="4"/>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c r="BI241" s="69"/>
      <c r="BJ241" s="69"/>
      <c r="BK241" s="69"/>
      <c r="BL241" s="69"/>
      <c r="BM241" s="69"/>
      <c r="BN241" s="69"/>
      <c r="BO241" s="69"/>
      <c r="BP241" s="69"/>
      <c r="BQ241" s="69"/>
      <c r="BR241" s="69"/>
      <c r="BS241" s="69"/>
      <c r="BT241" s="69"/>
      <c r="BU241" s="69"/>
      <c r="BV241" s="69"/>
      <c r="BW241" s="69"/>
      <c r="BX241" s="69"/>
      <c r="BY241" s="69"/>
      <c r="BZ241" s="69"/>
      <c r="CA241" s="69"/>
      <c r="CB241" s="69"/>
      <c r="CC241" s="69"/>
      <c r="CD241" s="69"/>
      <c r="CE241" s="69"/>
      <c r="CF241" s="69"/>
      <c r="CG241" s="69"/>
      <c r="CH241" s="69"/>
      <c r="CI241" s="69"/>
      <c r="CJ241" s="69"/>
      <c r="CK241" s="69"/>
      <c r="CL241" s="69"/>
      <c r="CM241" s="69"/>
      <c r="CN241" s="69"/>
      <c r="CO241" s="69"/>
      <c r="CP241" s="69"/>
      <c r="CQ241" s="69"/>
      <c r="CR241" s="69"/>
      <c r="CS241" s="69"/>
      <c r="CT241" s="69"/>
      <c r="CU241" s="69"/>
      <c r="CV241" s="69"/>
      <c r="CW241" s="69"/>
      <c r="CX241" s="69"/>
      <c r="CY241" s="69"/>
      <c r="CZ241" s="69"/>
      <c r="DA241" s="69"/>
      <c r="DB241" s="69"/>
      <c r="DC241" s="69"/>
      <c r="DD241" s="69"/>
      <c r="DE241" s="69"/>
      <c r="DF241" s="69"/>
      <c r="DG241" s="69"/>
      <c r="DH241" s="69"/>
      <c r="DI241" s="69"/>
      <c r="DJ241" s="69"/>
      <c r="DK241" s="69"/>
      <c r="DL241" s="69"/>
      <c r="DM241" s="69"/>
      <c r="DN241" s="69"/>
      <c r="DO241" s="69"/>
      <c r="DP241" s="69"/>
      <c r="DQ241" s="69"/>
      <c r="DR241" s="69"/>
      <c r="DS241" s="69"/>
      <c r="DT241" s="69"/>
      <c r="DU241" s="69"/>
    </row>
    <row r="242" ht="15.75" customHeight="1">
      <c r="A242" s="69"/>
      <c r="B242" s="69"/>
      <c r="C242" s="69"/>
      <c r="D242" s="4"/>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69"/>
      <c r="BS242" s="69"/>
      <c r="BT242" s="69"/>
      <c r="BU242" s="69"/>
      <c r="BV242" s="69"/>
      <c r="BW242" s="69"/>
      <c r="BX242" s="69"/>
      <c r="BY242" s="69"/>
      <c r="BZ242" s="69"/>
      <c r="CA242" s="69"/>
      <c r="CB242" s="69"/>
      <c r="CC242" s="69"/>
      <c r="CD242" s="69"/>
      <c r="CE242" s="69"/>
      <c r="CF242" s="69"/>
      <c r="CG242" s="69"/>
      <c r="CH242" s="69"/>
      <c r="CI242" s="69"/>
      <c r="CJ242" s="69"/>
      <c r="CK242" s="69"/>
      <c r="CL242" s="69"/>
      <c r="CM242" s="69"/>
      <c r="CN242" s="69"/>
      <c r="CO242" s="69"/>
      <c r="CP242" s="69"/>
      <c r="CQ242" s="69"/>
      <c r="CR242" s="69"/>
      <c r="CS242" s="69"/>
      <c r="CT242" s="69"/>
      <c r="CU242" s="69"/>
      <c r="CV242" s="69"/>
      <c r="CW242" s="69"/>
      <c r="CX242" s="69"/>
      <c r="CY242" s="69"/>
      <c r="CZ242" s="69"/>
      <c r="DA242" s="69"/>
      <c r="DB242" s="69"/>
      <c r="DC242" s="69"/>
      <c r="DD242" s="69"/>
      <c r="DE242" s="69"/>
      <c r="DF242" s="69"/>
      <c r="DG242" s="69"/>
      <c r="DH242" s="69"/>
      <c r="DI242" s="69"/>
      <c r="DJ242" s="69"/>
      <c r="DK242" s="69"/>
      <c r="DL242" s="69"/>
      <c r="DM242" s="69"/>
      <c r="DN242" s="69"/>
      <c r="DO242" s="69"/>
      <c r="DP242" s="69"/>
      <c r="DQ242" s="69"/>
      <c r="DR242" s="69"/>
      <c r="DS242" s="69"/>
      <c r="DT242" s="69"/>
      <c r="DU242" s="69"/>
    </row>
    <row r="243" ht="15.75" customHeight="1">
      <c r="A243" s="69"/>
      <c r="B243" s="69"/>
      <c r="C243" s="69"/>
      <c r="D243" s="4"/>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c r="BI243" s="69"/>
      <c r="BJ243" s="69"/>
      <c r="BK243" s="69"/>
      <c r="BL243" s="69"/>
      <c r="BM243" s="69"/>
      <c r="BN243" s="69"/>
      <c r="BO243" s="69"/>
      <c r="BP243" s="69"/>
      <c r="BQ243" s="69"/>
      <c r="BR243" s="69"/>
      <c r="BS243" s="69"/>
      <c r="BT243" s="69"/>
      <c r="BU243" s="69"/>
      <c r="BV243" s="69"/>
      <c r="BW243" s="69"/>
      <c r="BX243" s="69"/>
      <c r="BY243" s="69"/>
      <c r="BZ243" s="69"/>
      <c r="CA243" s="69"/>
      <c r="CB243" s="69"/>
      <c r="CC243" s="69"/>
      <c r="CD243" s="69"/>
      <c r="CE243" s="69"/>
      <c r="CF243" s="69"/>
      <c r="CG243" s="69"/>
      <c r="CH243" s="69"/>
      <c r="CI243" s="69"/>
      <c r="CJ243" s="69"/>
      <c r="CK243" s="69"/>
      <c r="CL243" s="69"/>
      <c r="CM243" s="69"/>
      <c r="CN243" s="69"/>
      <c r="CO243" s="69"/>
      <c r="CP243" s="69"/>
      <c r="CQ243" s="69"/>
      <c r="CR243" s="69"/>
      <c r="CS243" s="69"/>
      <c r="CT243" s="69"/>
      <c r="CU243" s="69"/>
      <c r="CV243" s="69"/>
      <c r="CW243" s="69"/>
      <c r="CX243" s="69"/>
      <c r="CY243" s="69"/>
      <c r="CZ243" s="69"/>
      <c r="DA243" s="69"/>
      <c r="DB243" s="69"/>
      <c r="DC243" s="69"/>
      <c r="DD243" s="69"/>
      <c r="DE243" s="69"/>
      <c r="DF243" s="69"/>
      <c r="DG243" s="69"/>
      <c r="DH243" s="69"/>
      <c r="DI243" s="69"/>
      <c r="DJ243" s="69"/>
      <c r="DK243" s="69"/>
      <c r="DL243" s="69"/>
      <c r="DM243" s="69"/>
      <c r="DN243" s="69"/>
      <c r="DO243" s="69"/>
      <c r="DP243" s="69"/>
      <c r="DQ243" s="69"/>
      <c r="DR243" s="69"/>
      <c r="DS243" s="69"/>
      <c r="DT243" s="69"/>
      <c r="DU243" s="69"/>
    </row>
    <row r="244" ht="15.75" customHeight="1">
      <c r="A244" s="69"/>
      <c r="B244" s="69"/>
      <c r="C244" s="69"/>
      <c r="D244" s="4"/>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c r="BN244" s="69"/>
      <c r="BO244" s="69"/>
      <c r="BP244" s="69"/>
      <c r="BQ244" s="69"/>
      <c r="BR244" s="69"/>
      <c r="BS244" s="69"/>
      <c r="BT244" s="69"/>
      <c r="BU244" s="69"/>
      <c r="BV244" s="69"/>
      <c r="BW244" s="69"/>
      <c r="BX244" s="69"/>
      <c r="BY244" s="69"/>
      <c r="BZ244" s="69"/>
      <c r="CA244" s="69"/>
      <c r="CB244" s="69"/>
      <c r="CC244" s="69"/>
      <c r="CD244" s="69"/>
      <c r="CE244" s="69"/>
      <c r="CF244" s="69"/>
      <c r="CG244" s="69"/>
      <c r="CH244" s="69"/>
      <c r="CI244" s="69"/>
      <c r="CJ244" s="69"/>
      <c r="CK244" s="69"/>
      <c r="CL244" s="69"/>
      <c r="CM244" s="69"/>
      <c r="CN244" s="69"/>
      <c r="CO244" s="69"/>
      <c r="CP244" s="69"/>
      <c r="CQ244" s="69"/>
      <c r="CR244" s="69"/>
      <c r="CS244" s="69"/>
      <c r="CT244" s="69"/>
      <c r="CU244" s="69"/>
      <c r="CV244" s="69"/>
      <c r="CW244" s="69"/>
      <c r="CX244" s="69"/>
      <c r="CY244" s="69"/>
      <c r="CZ244" s="69"/>
      <c r="DA244" s="69"/>
      <c r="DB244" s="69"/>
      <c r="DC244" s="69"/>
      <c r="DD244" s="69"/>
      <c r="DE244" s="69"/>
      <c r="DF244" s="69"/>
      <c r="DG244" s="69"/>
      <c r="DH244" s="69"/>
      <c r="DI244" s="69"/>
      <c r="DJ244" s="69"/>
      <c r="DK244" s="69"/>
      <c r="DL244" s="69"/>
      <c r="DM244" s="69"/>
      <c r="DN244" s="69"/>
      <c r="DO244" s="69"/>
      <c r="DP244" s="69"/>
      <c r="DQ244" s="69"/>
      <c r="DR244" s="69"/>
      <c r="DS244" s="69"/>
      <c r="DT244" s="69"/>
      <c r="DU244" s="69"/>
    </row>
    <row r="245" ht="15.75" customHeight="1">
      <c r="A245" s="69"/>
      <c r="B245" s="69"/>
      <c r="C245" s="69"/>
      <c r="D245" s="4"/>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c r="AZ245" s="69"/>
      <c r="BA245" s="69"/>
      <c r="BB245" s="69"/>
      <c r="BC245" s="69"/>
      <c r="BD245" s="69"/>
      <c r="BE245" s="69"/>
      <c r="BF245" s="69"/>
      <c r="BG245" s="69"/>
      <c r="BH245" s="69"/>
      <c r="BI245" s="69"/>
      <c r="BJ245" s="69"/>
      <c r="BK245" s="69"/>
      <c r="BL245" s="69"/>
      <c r="BM245" s="69"/>
      <c r="BN245" s="69"/>
      <c r="BO245" s="69"/>
      <c r="BP245" s="69"/>
      <c r="BQ245" s="69"/>
      <c r="BR245" s="69"/>
      <c r="BS245" s="69"/>
      <c r="BT245" s="69"/>
      <c r="BU245" s="69"/>
      <c r="BV245" s="69"/>
      <c r="BW245" s="69"/>
      <c r="BX245" s="69"/>
      <c r="BY245" s="69"/>
      <c r="BZ245" s="69"/>
      <c r="CA245" s="69"/>
      <c r="CB245" s="69"/>
      <c r="CC245" s="69"/>
      <c r="CD245" s="69"/>
      <c r="CE245" s="69"/>
      <c r="CF245" s="69"/>
      <c r="CG245" s="69"/>
      <c r="CH245" s="69"/>
      <c r="CI245" s="69"/>
      <c r="CJ245" s="69"/>
      <c r="CK245" s="69"/>
      <c r="CL245" s="69"/>
      <c r="CM245" s="69"/>
      <c r="CN245" s="69"/>
      <c r="CO245" s="69"/>
      <c r="CP245" s="69"/>
      <c r="CQ245" s="69"/>
      <c r="CR245" s="69"/>
      <c r="CS245" s="69"/>
      <c r="CT245" s="69"/>
      <c r="CU245" s="69"/>
      <c r="CV245" s="69"/>
      <c r="CW245" s="69"/>
      <c r="CX245" s="69"/>
      <c r="CY245" s="69"/>
      <c r="CZ245" s="69"/>
      <c r="DA245" s="69"/>
      <c r="DB245" s="69"/>
      <c r="DC245" s="69"/>
      <c r="DD245" s="69"/>
      <c r="DE245" s="69"/>
      <c r="DF245" s="69"/>
      <c r="DG245" s="69"/>
      <c r="DH245" s="69"/>
      <c r="DI245" s="69"/>
      <c r="DJ245" s="69"/>
      <c r="DK245" s="69"/>
      <c r="DL245" s="69"/>
      <c r="DM245" s="69"/>
      <c r="DN245" s="69"/>
      <c r="DO245" s="69"/>
      <c r="DP245" s="69"/>
      <c r="DQ245" s="69"/>
      <c r="DR245" s="69"/>
      <c r="DS245" s="69"/>
      <c r="DT245" s="69"/>
      <c r="DU245" s="69"/>
    </row>
    <row r="246" ht="15.75" customHeight="1">
      <c r="A246" s="69"/>
      <c r="B246" s="69"/>
      <c r="C246" s="69"/>
      <c r="D246" s="4"/>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c r="BN246" s="69"/>
      <c r="BO246" s="69"/>
      <c r="BP246" s="69"/>
      <c r="BQ246" s="69"/>
      <c r="BR246" s="69"/>
      <c r="BS246" s="69"/>
      <c r="BT246" s="69"/>
      <c r="BU246" s="69"/>
      <c r="BV246" s="69"/>
      <c r="BW246" s="69"/>
      <c r="BX246" s="69"/>
      <c r="BY246" s="69"/>
      <c r="BZ246" s="69"/>
      <c r="CA246" s="69"/>
      <c r="CB246" s="69"/>
      <c r="CC246" s="69"/>
      <c r="CD246" s="69"/>
      <c r="CE246" s="69"/>
      <c r="CF246" s="69"/>
      <c r="CG246" s="69"/>
      <c r="CH246" s="69"/>
      <c r="CI246" s="69"/>
      <c r="CJ246" s="69"/>
      <c r="CK246" s="69"/>
      <c r="CL246" s="69"/>
      <c r="CM246" s="69"/>
      <c r="CN246" s="69"/>
      <c r="CO246" s="69"/>
      <c r="CP246" s="69"/>
      <c r="CQ246" s="69"/>
      <c r="CR246" s="69"/>
      <c r="CS246" s="69"/>
      <c r="CT246" s="69"/>
      <c r="CU246" s="69"/>
      <c r="CV246" s="69"/>
      <c r="CW246" s="69"/>
      <c r="CX246" s="69"/>
      <c r="CY246" s="69"/>
      <c r="CZ246" s="69"/>
      <c r="DA246" s="69"/>
      <c r="DB246" s="69"/>
      <c r="DC246" s="69"/>
      <c r="DD246" s="69"/>
      <c r="DE246" s="69"/>
      <c r="DF246" s="69"/>
      <c r="DG246" s="69"/>
      <c r="DH246" s="69"/>
      <c r="DI246" s="69"/>
      <c r="DJ246" s="69"/>
      <c r="DK246" s="69"/>
      <c r="DL246" s="69"/>
      <c r="DM246" s="69"/>
      <c r="DN246" s="69"/>
      <c r="DO246" s="69"/>
      <c r="DP246" s="69"/>
      <c r="DQ246" s="69"/>
      <c r="DR246" s="69"/>
      <c r="DS246" s="69"/>
      <c r="DT246" s="69"/>
      <c r="DU246" s="69"/>
    </row>
    <row r="247" ht="15.75" customHeight="1">
      <c r="A247" s="69"/>
      <c r="B247" s="69"/>
      <c r="C247" s="69"/>
      <c r="D247" s="4"/>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69"/>
      <c r="BS247" s="69"/>
      <c r="BT247" s="69"/>
      <c r="BU247" s="69"/>
      <c r="BV247" s="69"/>
      <c r="BW247" s="69"/>
      <c r="BX247" s="69"/>
      <c r="BY247" s="69"/>
      <c r="BZ247" s="69"/>
      <c r="CA247" s="69"/>
      <c r="CB247" s="69"/>
      <c r="CC247" s="69"/>
      <c r="CD247" s="69"/>
      <c r="CE247" s="69"/>
      <c r="CF247" s="69"/>
      <c r="CG247" s="69"/>
      <c r="CH247" s="69"/>
      <c r="CI247" s="69"/>
      <c r="CJ247" s="69"/>
      <c r="CK247" s="69"/>
      <c r="CL247" s="69"/>
      <c r="CM247" s="69"/>
      <c r="CN247" s="69"/>
      <c r="CO247" s="69"/>
      <c r="CP247" s="69"/>
      <c r="CQ247" s="69"/>
      <c r="CR247" s="69"/>
      <c r="CS247" s="69"/>
      <c r="CT247" s="69"/>
      <c r="CU247" s="69"/>
      <c r="CV247" s="69"/>
      <c r="CW247" s="69"/>
      <c r="CX247" s="69"/>
      <c r="CY247" s="69"/>
      <c r="CZ247" s="69"/>
      <c r="DA247" s="69"/>
      <c r="DB247" s="69"/>
      <c r="DC247" s="69"/>
      <c r="DD247" s="69"/>
      <c r="DE247" s="69"/>
      <c r="DF247" s="69"/>
      <c r="DG247" s="69"/>
      <c r="DH247" s="69"/>
      <c r="DI247" s="69"/>
      <c r="DJ247" s="69"/>
      <c r="DK247" s="69"/>
      <c r="DL247" s="69"/>
      <c r="DM247" s="69"/>
      <c r="DN247" s="69"/>
      <c r="DO247" s="69"/>
      <c r="DP247" s="69"/>
      <c r="DQ247" s="69"/>
      <c r="DR247" s="69"/>
      <c r="DS247" s="69"/>
      <c r="DT247" s="69"/>
      <c r="DU247" s="69"/>
    </row>
    <row r="248" ht="15.75" customHeight="1">
      <c r="A248" s="69"/>
      <c r="B248" s="69"/>
      <c r="C248" s="69"/>
      <c r="D248" s="4"/>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c r="BN248" s="69"/>
      <c r="BO248" s="69"/>
      <c r="BP248" s="69"/>
      <c r="BQ248" s="69"/>
      <c r="BR248" s="69"/>
      <c r="BS248" s="69"/>
      <c r="BT248" s="69"/>
      <c r="BU248" s="69"/>
      <c r="BV248" s="69"/>
      <c r="BW248" s="69"/>
      <c r="BX248" s="69"/>
      <c r="BY248" s="69"/>
      <c r="BZ248" s="69"/>
      <c r="CA248" s="69"/>
      <c r="CB248" s="69"/>
      <c r="CC248" s="69"/>
      <c r="CD248" s="69"/>
      <c r="CE248" s="69"/>
      <c r="CF248" s="69"/>
      <c r="CG248" s="69"/>
      <c r="CH248" s="69"/>
      <c r="CI248" s="69"/>
      <c r="CJ248" s="69"/>
      <c r="CK248" s="69"/>
      <c r="CL248" s="69"/>
      <c r="CM248" s="69"/>
      <c r="CN248" s="69"/>
      <c r="CO248" s="69"/>
      <c r="CP248" s="69"/>
      <c r="CQ248" s="69"/>
      <c r="CR248" s="69"/>
      <c r="CS248" s="69"/>
      <c r="CT248" s="69"/>
      <c r="CU248" s="69"/>
      <c r="CV248" s="69"/>
      <c r="CW248" s="69"/>
      <c r="CX248" s="69"/>
      <c r="CY248" s="69"/>
      <c r="CZ248" s="69"/>
      <c r="DA248" s="69"/>
      <c r="DB248" s="69"/>
      <c r="DC248" s="69"/>
      <c r="DD248" s="69"/>
      <c r="DE248" s="69"/>
      <c r="DF248" s="69"/>
      <c r="DG248" s="69"/>
      <c r="DH248" s="69"/>
      <c r="DI248" s="69"/>
      <c r="DJ248" s="69"/>
      <c r="DK248" s="69"/>
      <c r="DL248" s="69"/>
      <c r="DM248" s="69"/>
      <c r="DN248" s="69"/>
      <c r="DO248" s="69"/>
      <c r="DP248" s="69"/>
      <c r="DQ248" s="69"/>
      <c r="DR248" s="69"/>
      <c r="DS248" s="69"/>
      <c r="DT248" s="69"/>
      <c r="DU248" s="69"/>
    </row>
    <row r="249" ht="15.75" customHeight="1">
      <c r="A249" s="69"/>
      <c r="B249" s="69"/>
      <c r="C249" s="69"/>
      <c r="D249" s="4"/>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c r="AZ249" s="69"/>
      <c r="BA249" s="69"/>
      <c r="BB249" s="69"/>
      <c r="BC249" s="69"/>
      <c r="BD249" s="69"/>
      <c r="BE249" s="69"/>
      <c r="BF249" s="69"/>
      <c r="BG249" s="69"/>
      <c r="BH249" s="69"/>
      <c r="BI249" s="69"/>
      <c r="BJ249" s="69"/>
      <c r="BK249" s="69"/>
      <c r="BL249" s="69"/>
      <c r="BM249" s="69"/>
      <c r="BN249" s="69"/>
      <c r="BO249" s="69"/>
      <c r="BP249" s="69"/>
      <c r="BQ249" s="69"/>
      <c r="BR249" s="69"/>
      <c r="BS249" s="69"/>
      <c r="BT249" s="69"/>
      <c r="BU249" s="69"/>
      <c r="BV249" s="69"/>
      <c r="BW249" s="69"/>
      <c r="BX249" s="69"/>
      <c r="BY249" s="69"/>
      <c r="BZ249" s="69"/>
      <c r="CA249" s="69"/>
      <c r="CB249" s="69"/>
      <c r="CC249" s="69"/>
      <c r="CD249" s="69"/>
      <c r="CE249" s="69"/>
      <c r="CF249" s="69"/>
      <c r="CG249" s="69"/>
      <c r="CH249" s="69"/>
      <c r="CI249" s="69"/>
      <c r="CJ249" s="69"/>
      <c r="CK249" s="69"/>
      <c r="CL249" s="69"/>
      <c r="CM249" s="69"/>
      <c r="CN249" s="69"/>
      <c r="CO249" s="69"/>
      <c r="CP249" s="69"/>
      <c r="CQ249" s="69"/>
      <c r="CR249" s="69"/>
      <c r="CS249" s="69"/>
      <c r="CT249" s="69"/>
      <c r="CU249" s="69"/>
      <c r="CV249" s="69"/>
      <c r="CW249" s="69"/>
      <c r="CX249" s="69"/>
      <c r="CY249" s="69"/>
      <c r="CZ249" s="69"/>
      <c r="DA249" s="69"/>
      <c r="DB249" s="69"/>
      <c r="DC249" s="69"/>
      <c r="DD249" s="69"/>
      <c r="DE249" s="69"/>
      <c r="DF249" s="69"/>
      <c r="DG249" s="69"/>
      <c r="DH249" s="69"/>
      <c r="DI249" s="69"/>
      <c r="DJ249" s="69"/>
      <c r="DK249" s="69"/>
      <c r="DL249" s="69"/>
      <c r="DM249" s="69"/>
      <c r="DN249" s="69"/>
      <c r="DO249" s="69"/>
      <c r="DP249" s="69"/>
      <c r="DQ249" s="69"/>
      <c r="DR249" s="69"/>
      <c r="DS249" s="69"/>
      <c r="DT249" s="69"/>
      <c r="DU249" s="69"/>
    </row>
    <row r="250" ht="15.75" customHeight="1">
      <c r="A250" s="69"/>
      <c r="B250" s="69"/>
      <c r="C250" s="69"/>
      <c r="D250" s="4"/>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69"/>
      <c r="BQ250" s="69"/>
      <c r="BR250" s="69"/>
      <c r="BS250" s="69"/>
      <c r="BT250" s="69"/>
      <c r="BU250" s="69"/>
      <c r="BV250" s="69"/>
      <c r="BW250" s="69"/>
      <c r="BX250" s="69"/>
      <c r="BY250" s="69"/>
      <c r="BZ250" s="69"/>
      <c r="CA250" s="69"/>
      <c r="CB250" s="69"/>
      <c r="CC250" s="69"/>
      <c r="CD250" s="69"/>
      <c r="CE250" s="69"/>
      <c r="CF250" s="69"/>
      <c r="CG250" s="69"/>
      <c r="CH250" s="69"/>
      <c r="CI250" s="69"/>
      <c r="CJ250" s="69"/>
      <c r="CK250" s="69"/>
      <c r="CL250" s="69"/>
      <c r="CM250" s="69"/>
      <c r="CN250" s="69"/>
      <c r="CO250" s="69"/>
      <c r="CP250" s="69"/>
      <c r="CQ250" s="69"/>
      <c r="CR250" s="69"/>
      <c r="CS250" s="69"/>
      <c r="CT250" s="69"/>
      <c r="CU250" s="69"/>
      <c r="CV250" s="69"/>
      <c r="CW250" s="69"/>
      <c r="CX250" s="69"/>
      <c r="CY250" s="69"/>
      <c r="CZ250" s="69"/>
      <c r="DA250" s="69"/>
      <c r="DB250" s="69"/>
      <c r="DC250" s="69"/>
      <c r="DD250" s="69"/>
      <c r="DE250" s="69"/>
      <c r="DF250" s="69"/>
      <c r="DG250" s="69"/>
      <c r="DH250" s="69"/>
      <c r="DI250" s="69"/>
      <c r="DJ250" s="69"/>
      <c r="DK250" s="69"/>
      <c r="DL250" s="69"/>
      <c r="DM250" s="69"/>
      <c r="DN250" s="69"/>
      <c r="DO250" s="69"/>
      <c r="DP250" s="69"/>
      <c r="DQ250" s="69"/>
      <c r="DR250" s="69"/>
      <c r="DS250" s="69"/>
      <c r="DT250" s="69"/>
      <c r="DU250" s="69"/>
    </row>
    <row r="251" ht="15.75" customHeight="1">
      <c r="A251" s="69"/>
      <c r="B251" s="69"/>
      <c r="C251" s="69"/>
      <c r="D251" s="4"/>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69"/>
      <c r="BQ251" s="69"/>
      <c r="BR251" s="69"/>
      <c r="BS251" s="69"/>
      <c r="BT251" s="69"/>
      <c r="BU251" s="69"/>
      <c r="BV251" s="69"/>
      <c r="BW251" s="69"/>
      <c r="BX251" s="69"/>
      <c r="BY251" s="69"/>
      <c r="BZ251" s="69"/>
      <c r="CA251" s="69"/>
      <c r="CB251" s="69"/>
      <c r="CC251" s="69"/>
      <c r="CD251" s="69"/>
      <c r="CE251" s="69"/>
      <c r="CF251" s="69"/>
      <c r="CG251" s="69"/>
      <c r="CH251" s="69"/>
      <c r="CI251" s="69"/>
      <c r="CJ251" s="69"/>
      <c r="CK251" s="69"/>
      <c r="CL251" s="69"/>
      <c r="CM251" s="69"/>
      <c r="CN251" s="69"/>
      <c r="CO251" s="69"/>
      <c r="CP251" s="69"/>
      <c r="CQ251" s="69"/>
      <c r="CR251" s="69"/>
      <c r="CS251" s="69"/>
      <c r="CT251" s="69"/>
      <c r="CU251" s="69"/>
      <c r="CV251" s="69"/>
      <c r="CW251" s="69"/>
      <c r="CX251" s="69"/>
      <c r="CY251" s="69"/>
      <c r="CZ251" s="69"/>
      <c r="DA251" s="69"/>
      <c r="DB251" s="69"/>
      <c r="DC251" s="69"/>
      <c r="DD251" s="69"/>
      <c r="DE251" s="69"/>
      <c r="DF251" s="69"/>
      <c r="DG251" s="69"/>
      <c r="DH251" s="69"/>
      <c r="DI251" s="69"/>
      <c r="DJ251" s="69"/>
      <c r="DK251" s="69"/>
      <c r="DL251" s="69"/>
      <c r="DM251" s="69"/>
      <c r="DN251" s="69"/>
      <c r="DO251" s="69"/>
      <c r="DP251" s="69"/>
      <c r="DQ251" s="69"/>
      <c r="DR251" s="69"/>
      <c r="DS251" s="69"/>
      <c r="DT251" s="69"/>
      <c r="DU251" s="69"/>
    </row>
    <row r="252" ht="15.75" customHeight="1">
      <c r="A252" s="69"/>
      <c r="B252" s="69"/>
      <c r="C252" s="69"/>
      <c r="D252" s="4"/>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69"/>
      <c r="BS252" s="69"/>
      <c r="BT252" s="69"/>
      <c r="BU252" s="69"/>
      <c r="BV252" s="69"/>
      <c r="BW252" s="69"/>
      <c r="BX252" s="69"/>
      <c r="BY252" s="69"/>
      <c r="BZ252" s="69"/>
      <c r="CA252" s="69"/>
      <c r="CB252" s="69"/>
      <c r="CC252" s="69"/>
      <c r="CD252" s="69"/>
      <c r="CE252" s="69"/>
      <c r="CF252" s="69"/>
      <c r="CG252" s="69"/>
      <c r="CH252" s="69"/>
      <c r="CI252" s="69"/>
      <c r="CJ252" s="69"/>
      <c r="CK252" s="69"/>
      <c r="CL252" s="69"/>
      <c r="CM252" s="69"/>
      <c r="CN252" s="69"/>
      <c r="CO252" s="69"/>
      <c r="CP252" s="69"/>
      <c r="CQ252" s="69"/>
      <c r="CR252" s="69"/>
      <c r="CS252" s="69"/>
      <c r="CT252" s="69"/>
      <c r="CU252" s="69"/>
      <c r="CV252" s="69"/>
      <c r="CW252" s="69"/>
      <c r="CX252" s="69"/>
      <c r="CY252" s="69"/>
      <c r="CZ252" s="69"/>
      <c r="DA252" s="69"/>
      <c r="DB252" s="69"/>
      <c r="DC252" s="69"/>
      <c r="DD252" s="69"/>
      <c r="DE252" s="69"/>
      <c r="DF252" s="69"/>
      <c r="DG252" s="69"/>
      <c r="DH252" s="69"/>
      <c r="DI252" s="69"/>
      <c r="DJ252" s="69"/>
      <c r="DK252" s="69"/>
      <c r="DL252" s="69"/>
      <c r="DM252" s="69"/>
      <c r="DN252" s="69"/>
      <c r="DO252" s="69"/>
      <c r="DP252" s="69"/>
      <c r="DQ252" s="69"/>
      <c r="DR252" s="69"/>
      <c r="DS252" s="69"/>
      <c r="DT252" s="69"/>
      <c r="DU252" s="69"/>
    </row>
    <row r="253" ht="15.75" customHeight="1">
      <c r="A253" s="69"/>
      <c r="B253" s="69"/>
      <c r="C253" s="69"/>
      <c r="D253" s="4"/>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c r="BA253" s="69"/>
      <c r="BB253" s="69"/>
      <c r="BC253" s="69"/>
      <c r="BD253" s="69"/>
      <c r="BE253" s="69"/>
      <c r="BF253" s="69"/>
      <c r="BG253" s="69"/>
      <c r="BH253" s="69"/>
      <c r="BI253" s="69"/>
      <c r="BJ253" s="69"/>
      <c r="BK253" s="69"/>
      <c r="BL253" s="69"/>
      <c r="BM253" s="69"/>
      <c r="BN253" s="69"/>
      <c r="BO253" s="69"/>
      <c r="BP253" s="69"/>
      <c r="BQ253" s="69"/>
      <c r="BR253" s="69"/>
      <c r="BS253" s="69"/>
      <c r="BT253" s="69"/>
      <c r="BU253" s="69"/>
      <c r="BV253" s="69"/>
      <c r="BW253" s="69"/>
      <c r="BX253" s="69"/>
      <c r="BY253" s="69"/>
      <c r="BZ253" s="69"/>
      <c r="CA253" s="69"/>
      <c r="CB253" s="69"/>
      <c r="CC253" s="69"/>
      <c r="CD253" s="69"/>
      <c r="CE253" s="69"/>
      <c r="CF253" s="69"/>
      <c r="CG253" s="69"/>
      <c r="CH253" s="69"/>
      <c r="CI253" s="69"/>
      <c r="CJ253" s="69"/>
      <c r="CK253" s="69"/>
      <c r="CL253" s="69"/>
      <c r="CM253" s="69"/>
      <c r="CN253" s="69"/>
      <c r="CO253" s="69"/>
      <c r="CP253" s="69"/>
      <c r="CQ253" s="69"/>
      <c r="CR253" s="69"/>
      <c r="CS253" s="69"/>
      <c r="CT253" s="69"/>
      <c r="CU253" s="69"/>
      <c r="CV253" s="69"/>
      <c r="CW253" s="69"/>
      <c r="CX253" s="69"/>
      <c r="CY253" s="69"/>
      <c r="CZ253" s="69"/>
      <c r="DA253" s="69"/>
      <c r="DB253" s="69"/>
      <c r="DC253" s="69"/>
      <c r="DD253" s="69"/>
      <c r="DE253" s="69"/>
      <c r="DF253" s="69"/>
      <c r="DG253" s="69"/>
      <c r="DH253" s="69"/>
      <c r="DI253" s="69"/>
      <c r="DJ253" s="69"/>
      <c r="DK253" s="69"/>
      <c r="DL253" s="69"/>
      <c r="DM253" s="69"/>
      <c r="DN253" s="69"/>
      <c r="DO253" s="69"/>
      <c r="DP253" s="69"/>
      <c r="DQ253" s="69"/>
      <c r="DR253" s="69"/>
      <c r="DS253" s="69"/>
      <c r="DT253" s="69"/>
      <c r="DU253" s="69"/>
    </row>
    <row r="254" ht="15.75" customHeight="1">
      <c r="A254" s="69"/>
      <c r="B254" s="69"/>
      <c r="C254" s="69"/>
      <c r="D254" s="4"/>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c r="BN254" s="69"/>
      <c r="BO254" s="69"/>
      <c r="BP254" s="69"/>
      <c r="BQ254" s="69"/>
      <c r="BR254" s="69"/>
      <c r="BS254" s="69"/>
      <c r="BT254" s="69"/>
      <c r="BU254" s="69"/>
      <c r="BV254" s="69"/>
      <c r="BW254" s="69"/>
      <c r="BX254" s="69"/>
      <c r="BY254" s="69"/>
      <c r="BZ254" s="69"/>
      <c r="CA254" s="69"/>
      <c r="CB254" s="69"/>
      <c r="CC254" s="69"/>
      <c r="CD254" s="69"/>
      <c r="CE254" s="69"/>
      <c r="CF254" s="69"/>
      <c r="CG254" s="69"/>
      <c r="CH254" s="69"/>
      <c r="CI254" s="69"/>
      <c r="CJ254" s="69"/>
      <c r="CK254" s="69"/>
      <c r="CL254" s="69"/>
      <c r="CM254" s="69"/>
      <c r="CN254" s="69"/>
      <c r="CO254" s="69"/>
      <c r="CP254" s="69"/>
      <c r="CQ254" s="69"/>
      <c r="CR254" s="69"/>
      <c r="CS254" s="69"/>
      <c r="CT254" s="69"/>
      <c r="CU254" s="69"/>
      <c r="CV254" s="69"/>
      <c r="CW254" s="69"/>
      <c r="CX254" s="69"/>
      <c r="CY254" s="69"/>
      <c r="CZ254" s="69"/>
      <c r="DA254" s="69"/>
      <c r="DB254" s="69"/>
      <c r="DC254" s="69"/>
      <c r="DD254" s="69"/>
      <c r="DE254" s="69"/>
      <c r="DF254" s="69"/>
      <c r="DG254" s="69"/>
      <c r="DH254" s="69"/>
      <c r="DI254" s="69"/>
      <c r="DJ254" s="69"/>
      <c r="DK254" s="69"/>
      <c r="DL254" s="69"/>
      <c r="DM254" s="69"/>
      <c r="DN254" s="69"/>
      <c r="DO254" s="69"/>
      <c r="DP254" s="69"/>
      <c r="DQ254" s="69"/>
      <c r="DR254" s="69"/>
      <c r="DS254" s="69"/>
      <c r="DT254" s="69"/>
      <c r="DU254" s="69"/>
    </row>
    <row r="255" ht="15.75" customHeight="1">
      <c r="A255" s="69"/>
      <c r="B255" s="69"/>
      <c r="C255" s="69"/>
      <c r="D255" s="4"/>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c r="AZ255" s="69"/>
      <c r="BA255" s="69"/>
      <c r="BB255" s="69"/>
      <c r="BC255" s="69"/>
      <c r="BD255" s="69"/>
      <c r="BE255" s="69"/>
      <c r="BF255" s="69"/>
      <c r="BG255" s="69"/>
      <c r="BH255" s="69"/>
      <c r="BI255" s="69"/>
      <c r="BJ255" s="69"/>
      <c r="BK255" s="69"/>
      <c r="BL255" s="69"/>
      <c r="BM255" s="69"/>
      <c r="BN255" s="69"/>
      <c r="BO255" s="69"/>
      <c r="BP255" s="69"/>
      <c r="BQ255" s="69"/>
      <c r="BR255" s="69"/>
      <c r="BS255" s="69"/>
      <c r="BT255" s="69"/>
      <c r="BU255" s="69"/>
      <c r="BV255" s="69"/>
      <c r="BW255" s="69"/>
      <c r="BX255" s="69"/>
      <c r="BY255" s="69"/>
      <c r="BZ255" s="69"/>
      <c r="CA255" s="69"/>
      <c r="CB255" s="69"/>
      <c r="CC255" s="69"/>
      <c r="CD255" s="69"/>
      <c r="CE255" s="69"/>
      <c r="CF255" s="69"/>
      <c r="CG255" s="69"/>
      <c r="CH255" s="69"/>
      <c r="CI255" s="69"/>
      <c r="CJ255" s="69"/>
      <c r="CK255" s="69"/>
      <c r="CL255" s="69"/>
      <c r="CM255" s="69"/>
      <c r="CN255" s="69"/>
      <c r="CO255" s="69"/>
      <c r="CP255" s="69"/>
      <c r="CQ255" s="69"/>
      <c r="CR255" s="69"/>
      <c r="CS255" s="69"/>
      <c r="CT255" s="69"/>
      <c r="CU255" s="69"/>
      <c r="CV255" s="69"/>
      <c r="CW255" s="69"/>
      <c r="CX255" s="69"/>
      <c r="CY255" s="69"/>
      <c r="CZ255" s="69"/>
      <c r="DA255" s="69"/>
      <c r="DB255" s="69"/>
      <c r="DC255" s="69"/>
      <c r="DD255" s="69"/>
      <c r="DE255" s="69"/>
      <c r="DF255" s="69"/>
      <c r="DG255" s="69"/>
      <c r="DH255" s="69"/>
      <c r="DI255" s="69"/>
      <c r="DJ255" s="69"/>
      <c r="DK255" s="69"/>
      <c r="DL255" s="69"/>
      <c r="DM255" s="69"/>
      <c r="DN255" s="69"/>
      <c r="DO255" s="69"/>
      <c r="DP255" s="69"/>
      <c r="DQ255" s="69"/>
      <c r="DR255" s="69"/>
      <c r="DS255" s="69"/>
      <c r="DT255" s="69"/>
      <c r="DU255" s="69"/>
    </row>
    <row r="256" ht="15.75" customHeight="1">
      <c r="A256" s="69"/>
      <c r="B256" s="69"/>
      <c r="C256" s="69"/>
      <c r="D256" s="4"/>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c r="BN256" s="69"/>
      <c r="BO256" s="69"/>
      <c r="BP256" s="69"/>
      <c r="BQ256" s="69"/>
      <c r="BR256" s="69"/>
      <c r="BS256" s="69"/>
      <c r="BT256" s="69"/>
      <c r="BU256" s="69"/>
      <c r="BV256" s="69"/>
      <c r="BW256" s="69"/>
      <c r="BX256" s="69"/>
      <c r="BY256" s="69"/>
      <c r="BZ256" s="69"/>
      <c r="CA256" s="69"/>
      <c r="CB256" s="69"/>
      <c r="CC256" s="69"/>
      <c r="CD256" s="69"/>
      <c r="CE256" s="69"/>
      <c r="CF256" s="69"/>
      <c r="CG256" s="69"/>
      <c r="CH256" s="69"/>
      <c r="CI256" s="69"/>
      <c r="CJ256" s="69"/>
      <c r="CK256" s="69"/>
      <c r="CL256" s="69"/>
      <c r="CM256" s="69"/>
      <c r="CN256" s="69"/>
      <c r="CO256" s="69"/>
      <c r="CP256" s="69"/>
      <c r="CQ256" s="69"/>
      <c r="CR256" s="69"/>
      <c r="CS256" s="69"/>
      <c r="CT256" s="69"/>
      <c r="CU256" s="69"/>
      <c r="CV256" s="69"/>
      <c r="CW256" s="69"/>
      <c r="CX256" s="69"/>
      <c r="CY256" s="69"/>
      <c r="CZ256" s="69"/>
      <c r="DA256" s="69"/>
      <c r="DB256" s="69"/>
      <c r="DC256" s="69"/>
      <c r="DD256" s="69"/>
      <c r="DE256" s="69"/>
      <c r="DF256" s="69"/>
      <c r="DG256" s="69"/>
      <c r="DH256" s="69"/>
      <c r="DI256" s="69"/>
      <c r="DJ256" s="69"/>
      <c r="DK256" s="69"/>
      <c r="DL256" s="69"/>
      <c r="DM256" s="69"/>
      <c r="DN256" s="69"/>
      <c r="DO256" s="69"/>
      <c r="DP256" s="69"/>
      <c r="DQ256" s="69"/>
      <c r="DR256" s="69"/>
      <c r="DS256" s="69"/>
      <c r="DT256" s="69"/>
      <c r="DU256" s="69"/>
    </row>
    <row r="257" ht="15.75" customHeight="1">
      <c r="A257" s="69"/>
      <c r="B257" s="69"/>
      <c r="C257" s="69"/>
      <c r="D257" s="4"/>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c r="AZ257" s="69"/>
      <c r="BA257" s="69"/>
      <c r="BB257" s="69"/>
      <c r="BC257" s="69"/>
      <c r="BD257" s="69"/>
      <c r="BE257" s="69"/>
      <c r="BF257" s="69"/>
      <c r="BG257" s="69"/>
      <c r="BH257" s="69"/>
      <c r="BI257" s="69"/>
      <c r="BJ257" s="69"/>
      <c r="BK257" s="69"/>
      <c r="BL257" s="69"/>
      <c r="BM257" s="69"/>
      <c r="BN257" s="69"/>
      <c r="BO257" s="69"/>
      <c r="BP257" s="69"/>
      <c r="BQ257" s="69"/>
      <c r="BR257" s="69"/>
      <c r="BS257" s="69"/>
      <c r="BT257" s="69"/>
      <c r="BU257" s="69"/>
      <c r="BV257" s="69"/>
      <c r="BW257" s="69"/>
      <c r="BX257" s="69"/>
      <c r="BY257" s="69"/>
      <c r="BZ257" s="69"/>
      <c r="CA257" s="69"/>
      <c r="CB257" s="69"/>
      <c r="CC257" s="69"/>
      <c r="CD257" s="69"/>
      <c r="CE257" s="69"/>
      <c r="CF257" s="69"/>
      <c r="CG257" s="69"/>
      <c r="CH257" s="69"/>
      <c r="CI257" s="69"/>
      <c r="CJ257" s="69"/>
      <c r="CK257" s="69"/>
      <c r="CL257" s="69"/>
      <c r="CM257" s="69"/>
      <c r="CN257" s="69"/>
      <c r="CO257" s="69"/>
      <c r="CP257" s="69"/>
      <c r="CQ257" s="69"/>
      <c r="CR257" s="69"/>
      <c r="CS257" s="69"/>
      <c r="CT257" s="69"/>
      <c r="CU257" s="69"/>
      <c r="CV257" s="69"/>
      <c r="CW257" s="69"/>
      <c r="CX257" s="69"/>
      <c r="CY257" s="69"/>
      <c r="CZ257" s="69"/>
      <c r="DA257" s="69"/>
      <c r="DB257" s="69"/>
      <c r="DC257" s="69"/>
      <c r="DD257" s="69"/>
      <c r="DE257" s="69"/>
      <c r="DF257" s="69"/>
      <c r="DG257" s="69"/>
      <c r="DH257" s="69"/>
      <c r="DI257" s="69"/>
      <c r="DJ257" s="69"/>
      <c r="DK257" s="69"/>
      <c r="DL257" s="69"/>
      <c r="DM257" s="69"/>
      <c r="DN257" s="69"/>
      <c r="DO257" s="69"/>
      <c r="DP257" s="69"/>
      <c r="DQ257" s="69"/>
      <c r="DR257" s="69"/>
      <c r="DS257" s="69"/>
      <c r="DT257" s="69"/>
      <c r="DU257" s="69"/>
    </row>
    <row r="258" ht="15.75" customHeight="1">
      <c r="A258" s="69"/>
      <c r="B258" s="69"/>
      <c r="C258" s="69"/>
      <c r="D258" s="4"/>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c r="BN258" s="69"/>
      <c r="BO258" s="69"/>
      <c r="BP258" s="69"/>
      <c r="BQ258" s="69"/>
      <c r="BR258" s="69"/>
      <c r="BS258" s="69"/>
      <c r="BT258" s="69"/>
      <c r="BU258" s="69"/>
      <c r="BV258" s="69"/>
      <c r="BW258" s="69"/>
      <c r="BX258" s="69"/>
      <c r="BY258" s="69"/>
      <c r="BZ258" s="69"/>
      <c r="CA258" s="69"/>
      <c r="CB258" s="69"/>
      <c r="CC258" s="69"/>
      <c r="CD258" s="69"/>
      <c r="CE258" s="69"/>
      <c r="CF258" s="69"/>
      <c r="CG258" s="69"/>
      <c r="CH258" s="69"/>
      <c r="CI258" s="69"/>
      <c r="CJ258" s="69"/>
      <c r="CK258" s="69"/>
      <c r="CL258" s="69"/>
      <c r="CM258" s="69"/>
      <c r="CN258" s="69"/>
      <c r="CO258" s="69"/>
      <c r="CP258" s="69"/>
      <c r="CQ258" s="69"/>
      <c r="CR258" s="69"/>
      <c r="CS258" s="69"/>
      <c r="CT258" s="69"/>
      <c r="CU258" s="69"/>
      <c r="CV258" s="69"/>
      <c r="CW258" s="69"/>
      <c r="CX258" s="69"/>
      <c r="CY258" s="69"/>
      <c r="CZ258" s="69"/>
      <c r="DA258" s="69"/>
      <c r="DB258" s="69"/>
      <c r="DC258" s="69"/>
      <c r="DD258" s="69"/>
      <c r="DE258" s="69"/>
      <c r="DF258" s="69"/>
      <c r="DG258" s="69"/>
      <c r="DH258" s="69"/>
      <c r="DI258" s="69"/>
      <c r="DJ258" s="69"/>
      <c r="DK258" s="69"/>
      <c r="DL258" s="69"/>
      <c r="DM258" s="69"/>
      <c r="DN258" s="69"/>
      <c r="DO258" s="69"/>
      <c r="DP258" s="69"/>
      <c r="DQ258" s="69"/>
      <c r="DR258" s="69"/>
      <c r="DS258" s="69"/>
      <c r="DT258" s="69"/>
      <c r="DU258" s="69"/>
    </row>
    <row r="259" ht="15.75" customHeight="1">
      <c r="A259" s="69"/>
      <c r="B259" s="69"/>
      <c r="C259" s="69"/>
      <c r="D259" s="4"/>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c r="AZ259" s="69"/>
      <c r="BA259" s="69"/>
      <c r="BB259" s="69"/>
      <c r="BC259" s="69"/>
      <c r="BD259" s="69"/>
      <c r="BE259" s="69"/>
      <c r="BF259" s="69"/>
      <c r="BG259" s="69"/>
      <c r="BH259" s="69"/>
      <c r="BI259" s="69"/>
      <c r="BJ259" s="69"/>
      <c r="BK259" s="69"/>
      <c r="BL259" s="69"/>
      <c r="BM259" s="69"/>
      <c r="BN259" s="69"/>
      <c r="BO259" s="69"/>
      <c r="BP259" s="69"/>
      <c r="BQ259" s="69"/>
      <c r="BR259" s="69"/>
      <c r="BS259" s="69"/>
      <c r="BT259" s="69"/>
      <c r="BU259" s="69"/>
      <c r="BV259" s="69"/>
      <c r="BW259" s="69"/>
      <c r="BX259" s="69"/>
      <c r="BY259" s="69"/>
      <c r="BZ259" s="69"/>
      <c r="CA259" s="69"/>
      <c r="CB259" s="69"/>
      <c r="CC259" s="69"/>
      <c r="CD259" s="69"/>
      <c r="CE259" s="69"/>
      <c r="CF259" s="69"/>
      <c r="CG259" s="69"/>
      <c r="CH259" s="69"/>
      <c r="CI259" s="69"/>
      <c r="CJ259" s="69"/>
      <c r="CK259" s="69"/>
      <c r="CL259" s="69"/>
      <c r="CM259" s="69"/>
      <c r="CN259" s="69"/>
      <c r="CO259" s="69"/>
      <c r="CP259" s="69"/>
      <c r="CQ259" s="69"/>
      <c r="CR259" s="69"/>
      <c r="CS259" s="69"/>
      <c r="CT259" s="69"/>
      <c r="CU259" s="69"/>
      <c r="CV259" s="69"/>
      <c r="CW259" s="69"/>
      <c r="CX259" s="69"/>
      <c r="CY259" s="69"/>
      <c r="CZ259" s="69"/>
      <c r="DA259" s="69"/>
      <c r="DB259" s="69"/>
      <c r="DC259" s="69"/>
      <c r="DD259" s="69"/>
      <c r="DE259" s="69"/>
      <c r="DF259" s="69"/>
      <c r="DG259" s="69"/>
      <c r="DH259" s="69"/>
      <c r="DI259" s="69"/>
      <c r="DJ259" s="69"/>
      <c r="DK259" s="69"/>
      <c r="DL259" s="69"/>
      <c r="DM259" s="69"/>
      <c r="DN259" s="69"/>
      <c r="DO259" s="69"/>
      <c r="DP259" s="69"/>
      <c r="DQ259" s="69"/>
      <c r="DR259" s="69"/>
      <c r="DS259" s="69"/>
      <c r="DT259" s="69"/>
      <c r="DU259" s="69"/>
    </row>
    <row r="260" ht="15.75" customHeight="1">
      <c r="A260" s="69"/>
      <c r="B260" s="69"/>
      <c r="C260" s="69"/>
      <c r="D260" s="4"/>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c r="BN260" s="69"/>
      <c r="BO260" s="69"/>
      <c r="BP260" s="69"/>
      <c r="BQ260" s="69"/>
      <c r="BR260" s="69"/>
      <c r="BS260" s="69"/>
      <c r="BT260" s="69"/>
      <c r="BU260" s="69"/>
      <c r="BV260" s="69"/>
      <c r="BW260" s="69"/>
      <c r="BX260" s="69"/>
      <c r="BY260" s="69"/>
      <c r="BZ260" s="69"/>
      <c r="CA260" s="69"/>
      <c r="CB260" s="69"/>
      <c r="CC260" s="69"/>
      <c r="CD260" s="69"/>
      <c r="CE260" s="69"/>
      <c r="CF260" s="69"/>
      <c r="CG260" s="69"/>
      <c r="CH260" s="69"/>
      <c r="CI260" s="69"/>
      <c r="CJ260" s="69"/>
      <c r="CK260" s="69"/>
      <c r="CL260" s="69"/>
      <c r="CM260" s="69"/>
      <c r="CN260" s="69"/>
      <c r="CO260" s="69"/>
      <c r="CP260" s="69"/>
      <c r="CQ260" s="69"/>
      <c r="CR260" s="69"/>
      <c r="CS260" s="69"/>
      <c r="CT260" s="69"/>
      <c r="CU260" s="69"/>
      <c r="CV260" s="69"/>
      <c r="CW260" s="69"/>
      <c r="CX260" s="69"/>
      <c r="CY260" s="69"/>
      <c r="CZ260" s="69"/>
      <c r="DA260" s="69"/>
      <c r="DB260" s="69"/>
      <c r="DC260" s="69"/>
      <c r="DD260" s="69"/>
      <c r="DE260" s="69"/>
      <c r="DF260" s="69"/>
      <c r="DG260" s="69"/>
      <c r="DH260" s="69"/>
      <c r="DI260" s="69"/>
      <c r="DJ260" s="69"/>
      <c r="DK260" s="69"/>
      <c r="DL260" s="69"/>
      <c r="DM260" s="69"/>
      <c r="DN260" s="69"/>
      <c r="DO260" s="69"/>
      <c r="DP260" s="69"/>
      <c r="DQ260" s="69"/>
      <c r="DR260" s="69"/>
      <c r="DS260" s="69"/>
      <c r="DT260" s="69"/>
      <c r="DU260" s="69"/>
    </row>
    <row r="261" ht="15.75" customHeight="1">
      <c r="A261" s="69"/>
      <c r="B261" s="69"/>
      <c r="C261" s="69"/>
      <c r="D261" s="4"/>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c r="AZ261" s="69"/>
      <c r="BA261" s="69"/>
      <c r="BB261" s="69"/>
      <c r="BC261" s="69"/>
      <c r="BD261" s="69"/>
      <c r="BE261" s="69"/>
      <c r="BF261" s="69"/>
      <c r="BG261" s="69"/>
      <c r="BH261" s="69"/>
      <c r="BI261" s="69"/>
      <c r="BJ261" s="69"/>
      <c r="BK261" s="69"/>
      <c r="BL261" s="69"/>
      <c r="BM261" s="69"/>
      <c r="BN261" s="69"/>
      <c r="BO261" s="69"/>
      <c r="BP261" s="69"/>
      <c r="BQ261" s="69"/>
      <c r="BR261" s="69"/>
      <c r="BS261" s="69"/>
      <c r="BT261" s="69"/>
      <c r="BU261" s="69"/>
      <c r="BV261" s="69"/>
      <c r="BW261" s="69"/>
      <c r="BX261" s="69"/>
      <c r="BY261" s="69"/>
      <c r="BZ261" s="69"/>
      <c r="CA261" s="69"/>
      <c r="CB261" s="69"/>
      <c r="CC261" s="69"/>
      <c r="CD261" s="69"/>
      <c r="CE261" s="69"/>
      <c r="CF261" s="69"/>
      <c r="CG261" s="69"/>
      <c r="CH261" s="69"/>
      <c r="CI261" s="69"/>
      <c r="CJ261" s="69"/>
      <c r="CK261" s="69"/>
      <c r="CL261" s="69"/>
      <c r="CM261" s="69"/>
      <c r="CN261" s="69"/>
      <c r="CO261" s="69"/>
      <c r="CP261" s="69"/>
      <c r="CQ261" s="69"/>
      <c r="CR261" s="69"/>
      <c r="CS261" s="69"/>
      <c r="CT261" s="69"/>
      <c r="CU261" s="69"/>
      <c r="CV261" s="69"/>
      <c r="CW261" s="69"/>
      <c r="CX261" s="69"/>
      <c r="CY261" s="69"/>
      <c r="CZ261" s="69"/>
      <c r="DA261" s="69"/>
      <c r="DB261" s="69"/>
      <c r="DC261" s="69"/>
      <c r="DD261" s="69"/>
      <c r="DE261" s="69"/>
      <c r="DF261" s="69"/>
      <c r="DG261" s="69"/>
      <c r="DH261" s="69"/>
      <c r="DI261" s="69"/>
      <c r="DJ261" s="69"/>
      <c r="DK261" s="69"/>
      <c r="DL261" s="69"/>
      <c r="DM261" s="69"/>
      <c r="DN261" s="69"/>
      <c r="DO261" s="69"/>
      <c r="DP261" s="69"/>
      <c r="DQ261" s="69"/>
      <c r="DR261" s="69"/>
      <c r="DS261" s="69"/>
      <c r="DT261" s="69"/>
      <c r="DU261" s="69"/>
    </row>
    <row r="262" ht="15.75" customHeight="1">
      <c r="A262" s="69"/>
      <c r="B262" s="69"/>
      <c r="C262" s="69"/>
      <c r="D262" s="4"/>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c r="BN262" s="69"/>
      <c r="BO262" s="69"/>
      <c r="BP262" s="69"/>
      <c r="BQ262" s="69"/>
      <c r="BR262" s="69"/>
      <c r="BS262" s="69"/>
      <c r="BT262" s="69"/>
      <c r="BU262" s="69"/>
      <c r="BV262" s="69"/>
      <c r="BW262" s="69"/>
      <c r="BX262" s="69"/>
      <c r="BY262" s="69"/>
      <c r="BZ262" s="69"/>
      <c r="CA262" s="69"/>
      <c r="CB262" s="69"/>
      <c r="CC262" s="69"/>
      <c r="CD262" s="69"/>
      <c r="CE262" s="69"/>
      <c r="CF262" s="69"/>
      <c r="CG262" s="69"/>
      <c r="CH262" s="69"/>
      <c r="CI262" s="69"/>
      <c r="CJ262" s="69"/>
      <c r="CK262" s="69"/>
      <c r="CL262" s="69"/>
      <c r="CM262" s="69"/>
      <c r="CN262" s="69"/>
      <c r="CO262" s="69"/>
      <c r="CP262" s="69"/>
      <c r="CQ262" s="69"/>
      <c r="CR262" s="69"/>
      <c r="CS262" s="69"/>
      <c r="CT262" s="69"/>
      <c r="CU262" s="69"/>
      <c r="CV262" s="69"/>
      <c r="CW262" s="69"/>
      <c r="CX262" s="69"/>
      <c r="CY262" s="69"/>
      <c r="CZ262" s="69"/>
      <c r="DA262" s="69"/>
      <c r="DB262" s="69"/>
      <c r="DC262" s="69"/>
      <c r="DD262" s="69"/>
      <c r="DE262" s="69"/>
      <c r="DF262" s="69"/>
      <c r="DG262" s="69"/>
      <c r="DH262" s="69"/>
      <c r="DI262" s="69"/>
      <c r="DJ262" s="69"/>
      <c r="DK262" s="69"/>
      <c r="DL262" s="69"/>
      <c r="DM262" s="69"/>
      <c r="DN262" s="69"/>
      <c r="DO262" s="69"/>
      <c r="DP262" s="69"/>
      <c r="DQ262" s="69"/>
      <c r="DR262" s="69"/>
      <c r="DS262" s="69"/>
      <c r="DT262" s="69"/>
      <c r="DU262" s="69"/>
    </row>
    <row r="263" ht="15.75" customHeight="1">
      <c r="A263" s="69"/>
      <c r="B263" s="69"/>
      <c r="C263" s="69"/>
      <c r="D263" s="4"/>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c r="AZ263" s="69"/>
      <c r="BA263" s="69"/>
      <c r="BB263" s="69"/>
      <c r="BC263" s="69"/>
      <c r="BD263" s="69"/>
      <c r="BE263" s="69"/>
      <c r="BF263" s="69"/>
      <c r="BG263" s="69"/>
      <c r="BH263" s="69"/>
      <c r="BI263" s="69"/>
      <c r="BJ263" s="69"/>
      <c r="BK263" s="69"/>
      <c r="BL263" s="69"/>
      <c r="BM263" s="69"/>
      <c r="BN263" s="69"/>
      <c r="BO263" s="69"/>
      <c r="BP263" s="69"/>
      <c r="BQ263" s="69"/>
      <c r="BR263" s="69"/>
      <c r="BS263" s="69"/>
      <c r="BT263" s="69"/>
      <c r="BU263" s="69"/>
      <c r="BV263" s="69"/>
      <c r="BW263" s="69"/>
      <c r="BX263" s="69"/>
      <c r="BY263" s="69"/>
      <c r="BZ263" s="69"/>
      <c r="CA263" s="69"/>
      <c r="CB263" s="69"/>
      <c r="CC263" s="69"/>
      <c r="CD263" s="69"/>
      <c r="CE263" s="69"/>
      <c r="CF263" s="69"/>
      <c r="CG263" s="69"/>
      <c r="CH263" s="69"/>
      <c r="CI263" s="69"/>
      <c r="CJ263" s="69"/>
      <c r="CK263" s="69"/>
      <c r="CL263" s="69"/>
      <c r="CM263" s="69"/>
      <c r="CN263" s="69"/>
      <c r="CO263" s="69"/>
      <c r="CP263" s="69"/>
      <c r="CQ263" s="69"/>
      <c r="CR263" s="69"/>
      <c r="CS263" s="69"/>
      <c r="CT263" s="69"/>
      <c r="CU263" s="69"/>
      <c r="CV263" s="69"/>
      <c r="CW263" s="69"/>
      <c r="CX263" s="69"/>
      <c r="CY263" s="69"/>
      <c r="CZ263" s="69"/>
      <c r="DA263" s="69"/>
      <c r="DB263" s="69"/>
      <c r="DC263" s="69"/>
      <c r="DD263" s="69"/>
      <c r="DE263" s="69"/>
      <c r="DF263" s="69"/>
      <c r="DG263" s="69"/>
      <c r="DH263" s="69"/>
      <c r="DI263" s="69"/>
      <c r="DJ263" s="69"/>
      <c r="DK263" s="69"/>
      <c r="DL263" s="69"/>
      <c r="DM263" s="69"/>
      <c r="DN263" s="69"/>
      <c r="DO263" s="69"/>
      <c r="DP263" s="69"/>
      <c r="DQ263" s="69"/>
      <c r="DR263" s="69"/>
      <c r="DS263" s="69"/>
      <c r="DT263" s="69"/>
      <c r="DU263" s="69"/>
    </row>
    <row r="264" ht="15.75" customHeight="1">
      <c r="A264" s="69"/>
      <c r="B264" s="69"/>
      <c r="C264" s="69"/>
      <c r="D264" s="4"/>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c r="BO264" s="69"/>
      <c r="BP264" s="69"/>
      <c r="BQ264" s="69"/>
      <c r="BR264" s="69"/>
      <c r="BS264" s="69"/>
      <c r="BT264" s="69"/>
      <c r="BU264" s="69"/>
      <c r="BV264" s="69"/>
      <c r="BW264" s="69"/>
      <c r="BX264" s="69"/>
      <c r="BY264" s="69"/>
      <c r="BZ264" s="69"/>
      <c r="CA264" s="69"/>
      <c r="CB264" s="69"/>
      <c r="CC264" s="69"/>
      <c r="CD264" s="69"/>
      <c r="CE264" s="69"/>
      <c r="CF264" s="69"/>
      <c r="CG264" s="69"/>
      <c r="CH264" s="69"/>
      <c r="CI264" s="69"/>
      <c r="CJ264" s="69"/>
      <c r="CK264" s="69"/>
      <c r="CL264" s="69"/>
      <c r="CM264" s="69"/>
      <c r="CN264" s="69"/>
      <c r="CO264" s="69"/>
      <c r="CP264" s="69"/>
      <c r="CQ264" s="69"/>
      <c r="CR264" s="69"/>
      <c r="CS264" s="69"/>
      <c r="CT264" s="69"/>
      <c r="CU264" s="69"/>
      <c r="CV264" s="69"/>
      <c r="CW264" s="69"/>
      <c r="CX264" s="69"/>
      <c r="CY264" s="69"/>
      <c r="CZ264" s="69"/>
      <c r="DA264" s="69"/>
      <c r="DB264" s="69"/>
      <c r="DC264" s="69"/>
      <c r="DD264" s="69"/>
      <c r="DE264" s="69"/>
      <c r="DF264" s="69"/>
      <c r="DG264" s="69"/>
      <c r="DH264" s="69"/>
      <c r="DI264" s="69"/>
      <c r="DJ264" s="69"/>
      <c r="DK264" s="69"/>
      <c r="DL264" s="69"/>
      <c r="DM264" s="69"/>
      <c r="DN264" s="69"/>
      <c r="DO264" s="69"/>
      <c r="DP264" s="69"/>
      <c r="DQ264" s="69"/>
      <c r="DR264" s="69"/>
      <c r="DS264" s="69"/>
      <c r="DT264" s="69"/>
      <c r="DU264" s="69"/>
    </row>
    <row r="265" ht="15.75" customHeight="1">
      <c r="A265" s="69"/>
      <c r="B265" s="69"/>
      <c r="C265" s="69"/>
      <c r="D265" s="4"/>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c r="BO265" s="69"/>
      <c r="BP265" s="69"/>
      <c r="BQ265" s="69"/>
      <c r="BR265" s="69"/>
      <c r="BS265" s="69"/>
      <c r="BT265" s="69"/>
      <c r="BU265" s="69"/>
      <c r="BV265" s="69"/>
      <c r="BW265" s="69"/>
      <c r="BX265" s="69"/>
      <c r="BY265" s="69"/>
      <c r="BZ265" s="69"/>
      <c r="CA265" s="69"/>
      <c r="CB265" s="69"/>
      <c r="CC265" s="69"/>
      <c r="CD265" s="69"/>
      <c r="CE265" s="69"/>
      <c r="CF265" s="69"/>
      <c r="CG265" s="69"/>
      <c r="CH265" s="69"/>
      <c r="CI265" s="69"/>
      <c r="CJ265" s="69"/>
      <c r="CK265" s="69"/>
      <c r="CL265" s="69"/>
      <c r="CM265" s="69"/>
      <c r="CN265" s="69"/>
      <c r="CO265" s="69"/>
      <c r="CP265" s="69"/>
      <c r="CQ265" s="69"/>
      <c r="CR265" s="69"/>
      <c r="CS265" s="69"/>
      <c r="CT265" s="69"/>
      <c r="CU265" s="69"/>
      <c r="CV265" s="69"/>
      <c r="CW265" s="69"/>
      <c r="CX265" s="69"/>
      <c r="CY265" s="69"/>
      <c r="CZ265" s="69"/>
      <c r="DA265" s="69"/>
      <c r="DB265" s="69"/>
      <c r="DC265" s="69"/>
      <c r="DD265" s="69"/>
      <c r="DE265" s="69"/>
      <c r="DF265" s="69"/>
      <c r="DG265" s="69"/>
      <c r="DH265" s="69"/>
      <c r="DI265" s="69"/>
      <c r="DJ265" s="69"/>
      <c r="DK265" s="69"/>
      <c r="DL265" s="69"/>
      <c r="DM265" s="69"/>
      <c r="DN265" s="69"/>
      <c r="DO265" s="69"/>
      <c r="DP265" s="69"/>
      <c r="DQ265" s="69"/>
      <c r="DR265" s="69"/>
      <c r="DS265" s="69"/>
      <c r="DT265" s="69"/>
      <c r="DU265" s="69"/>
    </row>
    <row r="266" ht="15.75" customHeight="1">
      <c r="A266" s="69"/>
      <c r="B266" s="69"/>
      <c r="C266" s="69"/>
      <c r="D266" s="4"/>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c r="BO266" s="69"/>
      <c r="BP266" s="69"/>
      <c r="BQ266" s="69"/>
      <c r="BR266" s="69"/>
      <c r="BS266" s="69"/>
      <c r="BT266" s="69"/>
      <c r="BU266" s="69"/>
      <c r="BV266" s="69"/>
      <c r="BW266" s="69"/>
      <c r="BX266" s="69"/>
      <c r="BY266" s="69"/>
      <c r="BZ266" s="69"/>
      <c r="CA266" s="69"/>
      <c r="CB266" s="69"/>
      <c r="CC266" s="69"/>
      <c r="CD266" s="69"/>
      <c r="CE266" s="69"/>
      <c r="CF266" s="69"/>
      <c r="CG266" s="69"/>
      <c r="CH266" s="69"/>
      <c r="CI266" s="69"/>
      <c r="CJ266" s="69"/>
      <c r="CK266" s="69"/>
      <c r="CL266" s="69"/>
      <c r="CM266" s="69"/>
      <c r="CN266" s="69"/>
      <c r="CO266" s="69"/>
      <c r="CP266" s="69"/>
      <c r="CQ266" s="69"/>
      <c r="CR266" s="69"/>
      <c r="CS266" s="69"/>
      <c r="CT266" s="69"/>
      <c r="CU266" s="69"/>
      <c r="CV266" s="69"/>
      <c r="CW266" s="69"/>
      <c r="CX266" s="69"/>
      <c r="CY266" s="69"/>
      <c r="CZ266" s="69"/>
      <c r="DA266" s="69"/>
      <c r="DB266" s="69"/>
      <c r="DC266" s="69"/>
      <c r="DD266" s="69"/>
      <c r="DE266" s="69"/>
      <c r="DF266" s="69"/>
      <c r="DG266" s="69"/>
      <c r="DH266" s="69"/>
      <c r="DI266" s="69"/>
      <c r="DJ266" s="69"/>
      <c r="DK266" s="69"/>
      <c r="DL266" s="69"/>
      <c r="DM266" s="69"/>
      <c r="DN266" s="69"/>
      <c r="DO266" s="69"/>
      <c r="DP266" s="69"/>
      <c r="DQ266" s="69"/>
      <c r="DR266" s="69"/>
      <c r="DS266" s="69"/>
      <c r="DT266" s="69"/>
      <c r="DU266" s="69"/>
    </row>
    <row r="267" ht="15.75" customHeight="1">
      <c r="A267" s="69"/>
      <c r="B267" s="69"/>
      <c r="C267" s="69"/>
      <c r="D267" s="4"/>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c r="BO267" s="69"/>
      <c r="BP267" s="69"/>
      <c r="BQ267" s="69"/>
      <c r="BR267" s="69"/>
      <c r="BS267" s="69"/>
      <c r="BT267" s="69"/>
      <c r="BU267" s="69"/>
      <c r="BV267" s="69"/>
      <c r="BW267" s="69"/>
      <c r="BX267" s="69"/>
      <c r="BY267" s="69"/>
      <c r="BZ267" s="69"/>
      <c r="CA267" s="69"/>
      <c r="CB267" s="69"/>
      <c r="CC267" s="69"/>
      <c r="CD267" s="69"/>
      <c r="CE267" s="69"/>
      <c r="CF267" s="69"/>
      <c r="CG267" s="69"/>
      <c r="CH267" s="69"/>
      <c r="CI267" s="69"/>
      <c r="CJ267" s="69"/>
      <c r="CK267" s="69"/>
      <c r="CL267" s="69"/>
      <c r="CM267" s="69"/>
      <c r="CN267" s="69"/>
      <c r="CO267" s="69"/>
      <c r="CP267" s="69"/>
      <c r="CQ267" s="69"/>
      <c r="CR267" s="69"/>
      <c r="CS267" s="69"/>
      <c r="CT267" s="69"/>
      <c r="CU267" s="69"/>
      <c r="CV267" s="69"/>
      <c r="CW267" s="69"/>
      <c r="CX267" s="69"/>
      <c r="CY267" s="69"/>
      <c r="CZ267" s="69"/>
      <c r="DA267" s="69"/>
      <c r="DB267" s="69"/>
      <c r="DC267" s="69"/>
      <c r="DD267" s="69"/>
      <c r="DE267" s="69"/>
      <c r="DF267" s="69"/>
      <c r="DG267" s="69"/>
      <c r="DH267" s="69"/>
      <c r="DI267" s="69"/>
      <c r="DJ267" s="69"/>
      <c r="DK267" s="69"/>
      <c r="DL267" s="69"/>
      <c r="DM267" s="69"/>
      <c r="DN267" s="69"/>
      <c r="DO267" s="69"/>
      <c r="DP267" s="69"/>
      <c r="DQ267" s="69"/>
      <c r="DR267" s="69"/>
      <c r="DS267" s="69"/>
      <c r="DT267" s="69"/>
      <c r="DU267" s="69"/>
    </row>
    <row r="268" ht="15.75" customHeight="1">
      <c r="A268" s="69"/>
      <c r="B268" s="69"/>
      <c r="C268" s="69"/>
      <c r="D268" s="4"/>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c r="BO268" s="69"/>
      <c r="BP268" s="69"/>
      <c r="BQ268" s="69"/>
      <c r="BR268" s="69"/>
      <c r="BS268" s="69"/>
      <c r="BT268" s="69"/>
      <c r="BU268" s="69"/>
      <c r="BV268" s="69"/>
      <c r="BW268" s="69"/>
      <c r="BX268" s="69"/>
      <c r="BY268" s="69"/>
      <c r="BZ268" s="69"/>
      <c r="CA268" s="69"/>
      <c r="CB268" s="69"/>
      <c r="CC268" s="69"/>
      <c r="CD268" s="69"/>
      <c r="CE268" s="69"/>
      <c r="CF268" s="69"/>
      <c r="CG268" s="69"/>
      <c r="CH268" s="69"/>
      <c r="CI268" s="69"/>
      <c r="CJ268" s="69"/>
      <c r="CK268" s="69"/>
      <c r="CL268" s="69"/>
      <c r="CM268" s="69"/>
      <c r="CN268" s="69"/>
      <c r="CO268" s="69"/>
      <c r="CP268" s="69"/>
      <c r="CQ268" s="69"/>
      <c r="CR268" s="69"/>
      <c r="CS268" s="69"/>
      <c r="CT268" s="69"/>
      <c r="CU268" s="69"/>
      <c r="CV268" s="69"/>
      <c r="CW268" s="69"/>
      <c r="CX268" s="69"/>
      <c r="CY268" s="69"/>
      <c r="CZ268" s="69"/>
      <c r="DA268" s="69"/>
      <c r="DB268" s="69"/>
      <c r="DC268" s="69"/>
      <c r="DD268" s="69"/>
      <c r="DE268" s="69"/>
      <c r="DF268" s="69"/>
      <c r="DG268" s="69"/>
      <c r="DH268" s="69"/>
      <c r="DI268" s="69"/>
      <c r="DJ268" s="69"/>
      <c r="DK268" s="69"/>
      <c r="DL268" s="69"/>
      <c r="DM268" s="69"/>
      <c r="DN268" s="69"/>
      <c r="DO268" s="69"/>
      <c r="DP268" s="69"/>
      <c r="DQ268" s="69"/>
      <c r="DR268" s="69"/>
      <c r="DS268" s="69"/>
      <c r="DT268" s="69"/>
      <c r="DU268" s="69"/>
    </row>
    <row r="269" ht="15.75" customHeight="1">
      <c r="A269" s="69"/>
      <c r="B269" s="69"/>
      <c r="C269" s="69"/>
      <c r="D269" s="4"/>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c r="AZ269" s="69"/>
      <c r="BA269" s="69"/>
      <c r="BB269" s="69"/>
      <c r="BC269" s="69"/>
      <c r="BD269" s="69"/>
      <c r="BE269" s="69"/>
      <c r="BF269" s="69"/>
      <c r="BG269" s="69"/>
      <c r="BH269" s="69"/>
      <c r="BI269" s="69"/>
      <c r="BJ269" s="69"/>
      <c r="BK269" s="69"/>
      <c r="BL269" s="69"/>
      <c r="BM269" s="69"/>
      <c r="BN269" s="69"/>
      <c r="BO269" s="69"/>
      <c r="BP269" s="69"/>
      <c r="BQ269" s="69"/>
      <c r="BR269" s="69"/>
      <c r="BS269" s="69"/>
      <c r="BT269" s="69"/>
      <c r="BU269" s="69"/>
      <c r="BV269" s="69"/>
      <c r="BW269" s="69"/>
      <c r="BX269" s="69"/>
      <c r="BY269" s="69"/>
      <c r="BZ269" s="69"/>
      <c r="CA269" s="69"/>
      <c r="CB269" s="69"/>
      <c r="CC269" s="69"/>
      <c r="CD269" s="69"/>
      <c r="CE269" s="69"/>
      <c r="CF269" s="69"/>
      <c r="CG269" s="69"/>
      <c r="CH269" s="69"/>
      <c r="CI269" s="69"/>
      <c r="CJ269" s="69"/>
      <c r="CK269" s="69"/>
      <c r="CL269" s="69"/>
      <c r="CM269" s="69"/>
      <c r="CN269" s="69"/>
      <c r="CO269" s="69"/>
      <c r="CP269" s="69"/>
      <c r="CQ269" s="69"/>
      <c r="CR269" s="69"/>
      <c r="CS269" s="69"/>
      <c r="CT269" s="69"/>
      <c r="CU269" s="69"/>
      <c r="CV269" s="69"/>
      <c r="CW269" s="69"/>
      <c r="CX269" s="69"/>
      <c r="CY269" s="69"/>
      <c r="CZ269" s="69"/>
      <c r="DA269" s="69"/>
      <c r="DB269" s="69"/>
      <c r="DC269" s="69"/>
      <c r="DD269" s="69"/>
      <c r="DE269" s="69"/>
      <c r="DF269" s="69"/>
      <c r="DG269" s="69"/>
      <c r="DH269" s="69"/>
      <c r="DI269" s="69"/>
      <c r="DJ269" s="69"/>
      <c r="DK269" s="69"/>
      <c r="DL269" s="69"/>
      <c r="DM269" s="69"/>
      <c r="DN269" s="69"/>
      <c r="DO269" s="69"/>
      <c r="DP269" s="69"/>
      <c r="DQ269" s="69"/>
      <c r="DR269" s="69"/>
      <c r="DS269" s="69"/>
      <c r="DT269" s="69"/>
      <c r="DU269" s="69"/>
    </row>
    <row r="270" ht="15.75" customHeight="1">
      <c r="A270" s="69"/>
      <c r="B270" s="69"/>
      <c r="C270" s="69"/>
      <c r="D270" s="4"/>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c r="BN270" s="69"/>
      <c r="BO270" s="69"/>
      <c r="BP270" s="69"/>
      <c r="BQ270" s="69"/>
      <c r="BR270" s="69"/>
      <c r="BS270" s="69"/>
      <c r="BT270" s="69"/>
      <c r="BU270" s="69"/>
      <c r="BV270" s="69"/>
      <c r="BW270" s="69"/>
      <c r="BX270" s="69"/>
      <c r="BY270" s="69"/>
      <c r="BZ270" s="69"/>
      <c r="CA270" s="69"/>
      <c r="CB270" s="69"/>
      <c r="CC270" s="69"/>
      <c r="CD270" s="69"/>
      <c r="CE270" s="69"/>
      <c r="CF270" s="69"/>
      <c r="CG270" s="69"/>
      <c r="CH270" s="69"/>
      <c r="CI270" s="69"/>
      <c r="CJ270" s="69"/>
      <c r="CK270" s="69"/>
      <c r="CL270" s="69"/>
      <c r="CM270" s="69"/>
      <c r="CN270" s="69"/>
      <c r="CO270" s="69"/>
      <c r="CP270" s="69"/>
      <c r="CQ270" s="69"/>
      <c r="CR270" s="69"/>
      <c r="CS270" s="69"/>
      <c r="CT270" s="69"/>
      <c r="CU270" s="69"/>
      <c r="CV270" s="69"/>
      <c r="CW270" s="69"/>
      <c r="CX270" s="69"/>
      <c r="CY270" s="69"/>
      <c r="CZ270" s="69"/>
      <c r="DA270" s="69"/>
      <c r="DB270" s="69"/>
      <c r="DC270" s="69"/>
      <c r="DD270" s="69"/>
      <c r="DE270" s="69"/>
      <c r="DF270" s="69"/>
      <c r="DG270" s="69"/>
      <c r="DH270" s="69"/>
      <c r="DI270" s="69"/>
      <c r="DJ270" s="69"/>
      <c r="DK270" s="69"/>
      <c r="DL270" s="69"/>
      <c r="DM270" s="69"/>
      <c r="DN270" s="69"/>
      <c r="DO270" s="69"/>
      <c r="DP270" s="69"/>
      <c r="DQ270" s="69"/>
      <c r="DR270" s="69"/>
      <c r="DS270" s="69"/>
      <c r="DT270" s="69"/>
      <c r="DU270" s="69"/>
    </row>
    <row r="271" ht="15.75" customHeight="1">
      <c r="A271" s="69"/>
      <c r="B271" s="69"/>
      <c r="C271" s="69"/>
      <c r="D271" s="4"/>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c r="AZ271" s="69"/>
      <c r="BA271" s="69"/>
      <c r="BB271" s="69"/>
      <c r="BC271" s="69"/>
      <c r="BD271" s="69"/>
      <c r="BE271" s="69"/>
      <c r="BF271" s="69"/>
      <c r="BG271" s="69"/>
      <c r="BH271" s="69"/>
      <c r="BI271" s="69"/>
      <c r="BJ271" s="69"/>
      <c r="BK271" s="69"/>
      <c r="BL271" s="69"/>
      <c r="BM271" s="69"/>
      <c r="BN271" s="69"/>
      <c r="BO271" s="69"/>
      <c r="BP271" s="69"/>
      <c r="BQ271" s="69"/>
      <c r="BR271" s="69"/>
      <c r="BS271" s="69"/>
      <c r="BT271" s="69"/>
      <c r="BU271" s="69"/>
      <c r="BV271" s="69"/>
      <c r="BW271" s="69"/>
      <c r="BX271" s="69"/>
      <c r="BY271" s="69"/>
      <c r="BZ271" s="69"/>
      <c r="CA271" s="69"/>
      <c r="CB271" s="69"/>
      <c r="CC271" s="69"/>
      <c r="CD271" s="69"/>
      <c r="CE271" s="69"/>
      <c r="CF271" s="69"/>
      <c r="CG271" s="69"/>
      <c r="CH271" s="69"/>
      <c r="CI271" s="69"/>
      <c r="CJ271" s="69"/>
      <c r="CK271" s="69"/>
      <c r="CL271" s="69"/>
      <c r="CM271" s="69"/>
      <c r="CN271" s="69"/>
      <c r="CO271" s="69"/>
      <c r="CP271" s="69"/>
      <c r="CQ271" s="69"/>
      <c r="CR271" s="69"/>
      <c r="CS271" s="69"/>
      <c r="CT271" s="69"/>
      <c r="CU271" s="69"/>
      <c r="CV271" s="69"/>
      <c r="CW271" s="69"/>
      <c r="CX271" s="69"/>
      <c r="CY271" s="69"/>
      <c r="CZ271" s="69"/>
      <c r="DA271" s="69"/>
      <c r="DB271" s="69"/>
      <c r="DC271" s="69"/>
      <c r="DD271" s="69"/>
      <c r="DE271" s="69"/>
      <c r="DF271" s="69"/>
      <c r="DG271" s="69"/>
      <c r="DH271" s="69"/>
      <c r="DI271" s="69"/>
      <c r="DJ271" s="69"/>
      <c r="DK271" s="69"/>
      <c r="DL271" s="69"/>
      <c r="DM271" s="69"/>
      <c r="DN271" s="69"/>
      <c r="DO271" s="69"/>
      <c r="DP271" s="69"/>
      <c r="DQ271" s="69"/>
      <c r="DR271" s="69"/>
      <c r="DS271" s="69"/>
      <c r="DT271" s="69"/>
      <c r="DU271" s="69"/>
    </row>
    <row r="272" ht="15.75" customHeight="1">
      <c r="A272" s="69"/>
      <c r="B272" s="69"/>
      <c r="C272" s="69"/>
      <c r="D272" s="4"/>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69"/>
      <c r="BS272" s="69"/>
      <c r="BT272" s="69"/>
      <c r="BU272" s="69"/>
      <c r="BV272" s="69"/>
      <c r="BW272" s="69"/>
      <c r="BX272" s="69"/>
      <c r="BY272" s="69"/>
      <c r="BZ272" s="69"/>
      <c r="CA272" s="69"/>
      <c r="CB272" s="69"/>
      <c r="CC272" s="69"/>
      <c r="CD272" s="69"/>
      <c r="CE272" s="69"/>
      <c r="CF272" s="69"/>
      <c r="CG272" s="69"/>
      <c r="CH272" s="69"/>
      <c r="CI272" s="69"/>
      <c r="CJ272" s="69"/>
      <c r="CK272" s="69"/>
      <c r="CL272" s="69"/>
      <c r="CM272" s="69"/>
      <c r="CN272" s="69"/>
      <c r="CO272" s="69"/>
      <c r="CP272" s="69"/>
      <c r="CQ272" s="69"/>
      <c r="CR272" s="69"/>
      <c r="CS272" s="69"/>
      <c r="CT272" s="69"/>
      <c r="CU272" s="69"/>
      <c r="CV272" s="69"/>
      <c r="CW272" s="69"/>
      <c r="CX272" s="69"/>
      <c r="CY272" s="69"/>
      <c r="CZ272" s="69"/>
      <c r="DA272" s="69"/>
      <c r="DB272" s="69"/>
      <c r="DC272" s="69"/>
      <c r="DD272" s="69"/>
      <c r="DE272" s="69"/>
      <c r="DF272" s="69"/>
      <c r="DG272" s="69"/>
      <c r="DH272" s="69"/>
      <c r="DI272" s="69"/>
      <c r="DJ272" s="69"/>
      <c r="DK272" s="69"/>
      <c r="DL272" s="69"/>
      <c r="DM272" s="69"/>
      <c r="DN272" s="69"/>
      <c r="DO272" s="69"/>
      <c r="DP272" s="69"/>
      <c r="DQ272" s="69"/>
      <c r="DR272" s="69"/>
      <c r="DS272" s="69"/>
      <c r="DT272" s="69"/>
      <c r="DU272" s="69"/>
    </row>
    <row r="273" ht="15.75" customHeight="1">
      <c r="A273" s="69"/>
      <c r="B273" s="69"/>
      <c r="C273" s="69"/>
      <c r="D273" s="4"/>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c r="AW273" s="69"/>
      <c r="AX273" s="69"/>
      <c r="AY273" s="69"/>
      <c r="AZ273" s="69"/>
      <c r="BA273" s="69"/>
      <c r="BB273" s="69"/>
      <c r="BC273" s="69"/>
      <c r="BD273" s="69"/>
      <c r="BE273" s="69"/>
      <c r="BF273" s="69"/>
      <c r="BG273" s="69"/>
      <c r="BH273" s="69"/>
      <c r="BI273" s="69"/>
      <c r="BJ273" s="69"/>
      <c r="BK273" s="69"/>
      <c r="BL273" s="69"/>
      <c r="BM273" s="69"/>
      <c r="BN273" s="69"/>
      <c r="BO273" s="69"/>
      <c r="BP273" s="69"/>
      <c r="BQ273" s="69"/>
      <c r="BR273" s="69"/>
      <c r="BS273" s="69"/>
      <c r="BT273" s="69"/>
      <c r="BU273" s="69"/>
      <c r="BV273" s="69"/>
      <c r="BW273" s="69"/>
      <c r="BX273" s="69"/>
      <c r="BY273" s="69"/>
      <c r="BZ273" s="69"/>
      <c r="CA273" s="69"/>
      <c r="CB273" s="69"/>
      <c r="CC273" s="69"/>
      <c r="CD273" s="69"/>
      <c r="CE273" s="69"/>
      <c r="CF273" s="69"/>
      <c r="CG273" s="69"/>
      <c r="CH273" s="69"/>
      <c r="CI273" s="69"/>
      <c r="CJ273" s="69"/>
      <c r="CK273" s="69"/>
      <c r="CL273" s="69"/>
      <c r="CM273" s="69"/>
      <c r="CN273" s="69"/>
      <c r="CO273" s="69"/>
      <c r="CP273" s="69"/>
      <c r="CQ273" s="69"/>
      <c r="CR273" s="69"/>
      <c r="CS273" s="69"/>
      <c r="CT273" s="69"/>
      <c r="CU273" s="69"/>
      <c r="CV273" s="69"/>
      <c r="CW273" s="69"/>
      <c r="CX273" s="69"/>
      <c r="CY273" s="69"/>
      <c r="CZ273" s="69"/>
      <c r="DA273" s="69"/>
      <c r="DB273" s="69"/>
      <c r="DC273" s="69"/>
      <c r="DD273" s="69"/>
      <c r="DE273" s="69"/>
      <c r="DF273" s="69"/>
      <c r="DG273" s="69"/>
      <c r="DH273" s="69"/>
      <c r="DI273" s="69"/>
      <c r="DJ273" s="69"/>
      <c r="DK273" s="69"/>
      <c r="DL273" s="69"/>
      <c r="DM273" s="69"/>
      <c r="DN273" s="69"/>
      <c r="DO273" s="69"/>
      <c r="DP273" s="69"/>
      <c r="DQ273" s="69"/>
      <c r="DR273" s="69"/>
      <c r="DS273" s="69"/>
      <c r="DT273" s="69"/>
      <c r="DU273" s="69"/>
    </row>
    <row r="274" ht="15.75" customHeight="1">
      <c r="A274" s="69"/>
      <c r="B274" s="69"/>
      <c r="C274" s="69"/>
      <c r="D274" s="4"/>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c r="BN274" s="69"/>
      <c r="BO274" s="69"/>
      <c r="BP274" s="69"/>
      <c r="BQ274" s="69"/>
      <c r="BR274" s="69"/>
      <c r="BS274" s="69"/>
      <c r="BT274" s="69"/>
      <c r="BU274" s="69"/>
      <c r="BV274" s="69"/>
      <c r="BW274" s="69"/>
      <c r="BX274" s="69"/>
      <c r="BY274" s="69"/>
      <c r="BZ274" s="69"/>
      <c r="CA274" s="69"/>
      <c r="CB274" s="69"/>
      <c r="CC274" s="69"/>
      <c r="CD274" s="69"/>
      <c r="CE274" s="69"/>
      <c r="CF274" s="69"/>
      <c r="CG274" s="69"/>
      <c r="CH274" s="69"/>
      <c r="CI274" s="69"/>
      <c r="CJ274" s="69"/>
      <c r="CK274" s="69"/>
      <c r="CL274" s="69"/>
      <c r="CM274" s="69"/>
      <c r="CN274" s="69"/>
      <c r="CO274" s="69"/>
      <c r="CP274" s="69"/>
      <c r="CQ274" s="69"/>
      <c r="CR274" s="69"/>
      <c r="CS274" s="69"/>
      <c r="CT274" s="69"/>
      <c r="CU274" s="69"/>
      <c r="CV274" s="69"/>
      <c r="CW274" s="69"/>
      <c r="CX274" s="69"/>
      <c r="CY274" s="69"/>
      <c r="CZ274" s="69"/>
      <c r="DA274" s="69"/>
      <c r="DB274" s="69"/>
      <c r="DC274" s="69"/>
      <c r="DD274" s="69"/>
      <c r="DE274" s="69"/>
      <c r="DF274" s="69"/>
      <c r="DG274" s="69"/>
      <c r="DH274" s="69"/>
      <c r="DI274" s="69"/>
      <c r="DJ274" s="69"/>
      <c r="DK274" s="69"/>
      <c r="DL274" s="69"/>
      <c r="DM274" s="69"/>
      <c r="DN274" s="69"/>
      <c r="DO274" s="69"/>
      <c r="DP274" s="69"/>
      <c r="DQ274" s="69"/>
      <c r="DR274" s="69"/>
      <c r="DS274" s="69"/>
      <c r="DT274" s="69"/>
      <c r="DU274" s="69"/>
    </row>
    <row r="275" ht="15.75" customHeight="1">
      <c r="A275" s="69"/>
      <c r="B275" s="69"/>
      <c r="C275" s="69"/>
      <c r="D275" s="4"/>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c r="AW275" s="69"/>
      <c r="AX275" s="69"/>
      <c r="AY275" s="69"/>
      <c r="AZ275" s="69"/>
      <c r="BA275" s="69"/>
      <c r="BB275" s="69"/>
      <c r="BC275" s="69"/>
      <c r="BD275" s="69"/>
      <c r="BE275" s="69"/>
      <c r="BF275" s="69"/>
      <c r="BG275" s="69"/>
      <c r="BH275" s="69"/>
      <c r="BI275" s="69"/>
      <c r="BJ275" s="69"/>
      <c r="BK275" s="69"/>
      <c r="BL275" s="69"/>
      <c r="BM275" s="69"/>
      <c r="BN275" s="69"/>
      <c r="BO275" s="69"/>
      <c r="BP275" s="69"/>
      <c r="BQ275" s="69"/>
      <c r="BR275" s="69"/>
      <c r="BS275" s="69"/>
      <c r="BT275" s="69"/>
      <c r="BU275" s="69"/>
      <c r="BV275" s="69"/>
      <c r="BW275" s="69"/>
      <c r="BX275" s="69"/>
      <c r="BY275" s="69"/>
      <c r="BZ275" s="69"/>
      <c r="CA275" s="69"/>
      <c r="CB275" s="69"/>
      <c r="CC275" s="69"/>
      <c r="CD275" s="69"/>
      <c r="CE275" s="69"/>
      <c r="CF275" s="69"/>
      <c r="CG275" s="69"/>
      <c r="CH275" s="69"/>
      <c r="CI275" s="69"/>
      <c r="CJ275" s="69"/>
      <c r="CK275" s="69"/>
      <c r="CL275" s="69"/>
      <c r="CM275" s="69"/>
      <c r="CN275" s="69"/>
      <c r="CO275" s="69"/>
      <c r="CP275" s="69"/>
      <c r="CQ275" s="69"/>
      <c r="CR275" s="69"/>
      <c r="CS275" s="69"/>
      <c r="CT275" s="69"/>
      <c r="CU275" s="69"/>
      <c r="CV275" s="69"/>
      <c r="CW275" s="69"/>
      <c r="CX275" s="69"/>
      <c r="CY275" s="69"/>
      <c r="CZ275" s="69"/>
      <c r="DA275" s="69"/>
      <c r="DB275" s="69"/>
      <c r="DC275" s="69"/>
      <c r="DD275" s="69"/>
      <c r="DE275" s="69"/>
      <c r="DF275" s="69"/>
      <c r="DG275" s="69"/>
      <c r="DH275" s="69"/>
      <c r="DI275" s="69"/>
      <c r="DJ275" s="69"/>
      <c r="DK275" s="69"/>
      <c r="DL275" s="69"/>
      <c r="DM275" s="69"/>
      <c r="DN275" s="69"/>
      <c r="DO275" s="69"/>
      <c r="DP275" s="69"/>
      <c r="DQ275" s="69"/>
      <c r="DR275" s="69"/>
      <c r="DS275" s="69"/>
      <c r="DT275" s="69"/>
      <c r="DU275" s="69"/>
    </row>
    <row r="276" ht="15.75" customHeight="1">
      <c r="A276" s="69"/>
      <c r="B276" s="69"/>
      <c r="C276" s="69"/>
      <c r="D276" s="4"/>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c r="BN276" s="69"/>
      <c r="BO276" s="69"/>
      <c r="BP276" s="69"/>
      <c r="BQ276" s="69"/>
      <c r="BR276" s="69"/>
      <c r="BS276" s="69"/>
      <c r="BT276" s="69"/>
      <c r="BU276" s="69"/>
      <c r="BV276" s="69"/>
      <c r="BW276" s="69"/>
      <c r="BX276" s="69"/>
      <c r="BY276" s="69"/>
      <c r="BZ276" s="69"/>
      <c r="CA276" s="69"/>
      <c r="CB276" s="69"/>
      <c r="CC276" s="69"/>
      <c r="CD276" s="69"/>
      <c r="CE276" s="69"/>
      <c r="CF276" s="69"/>
      <c r="CG276" s="69"/>
      <c r="CH276" s="69"/>
      <c r="CI276" s="69"/>
      <c r="CJ276" s="69"/>
      <c r="CK276" s="69"/>
      <c r="CL276" s="69"/>
      <c r="CM276" s="69"/>
      <c r="CN276" s="69"/>
      <c r="CO276" s="69"/>
      <c r="CP276" s="69"/>
      <c r="CQ276" s="69"/>
      <c r="CR276" s="69"/>
      <c r="CS276" s="69"/>
      <c r="CT276" s="69"/>
      <c r="CU276" s="69"/>
      <c r="CV276" s="69"/>
      <c r="CW276" s="69"/>
      <c r="CX276" s="69"/>
      <c r="CY276" s="69"/>
      <c r="CZ276" s="69"/>
      <c r="DA276" s="69"/>
      <c r="DB276" s="69"/>
      <c r="DC276" s="69"/>
      <c r="DD276" s="69"/>
      <c r="DE276" s="69"/>
      <c r="DF276" s="69"/>
      <c r="DG276" s="69"/>
      <c r="DH276" s="69"/>
      <c r="DI276" s="69"/>
      <c r="DJ276" s="69"/>
      <c r="DK276" s="69"/>
      <c r="DL276" s="69"/>
      <c r="DM276" s="69"/>
      <c r="DN276" s="69"/>
      <c r="DO276" s="69"/>
      <c r="DP276" s="69"/>
      <c r="DQ276" s="69"/>
      <c r="DR276" s="69"/>
      <c r="DS276" s="69"/>
      <c r="DT276" s="69"/>
      <c r="DU276" s="69"/>
    </row>
    <row r="277" ht="15.75" customHeight="1">
      <c r="A277" s="69"/>
      <c r="B277" s="69"/>
      <c r="C277" s="69"/>
      <c r="D277" s="4"/>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c r="AW277" s="69"/>
      <c r="AX277" s="69"/>
      <c r="AY277" s="69"/>
      <c r="AZ277" s="69"/>
      <c r="BA277" s="69"/>
      <c r="BB277" s="69"/>
      <c r="BC277" s="69"/>
      <c r="BD277" s="69"/>
      <c r="BE277" s="69"/>
      <c r="BF277" s="69"/>
      <c r="BG277" s="69"/>
      <c r="BH277" s="69"/>
      <c r="BI277" s="69"/>
      <c r="BJ277" s="69"/>
      <c r="BK277" s="69"/>
      <c r="BL277" s="69"/>
      <c r="BM277" s="69"/>
      <c r="BN277" s="69"/>
      <c r="BO277" s="69"/>
      <c r="BP277" s="69"/>
      <c r="BQ277" s="69"/>
      <c r="BR277" s="69"/>
      <c r="BS277" s="69"/>
      <c r="BT277" s="69"/>
      <c r="BU277" s="69"/>
      <c r="BV277" s="69"/>
      <c r="BW277" s="69"/>
      <c r="BX277" s="69"/>
      <c r="BY277" s="69"/>
      <c r="BZ277" s="69"/>
      <c r="CA277" s="69"/>
      <c r="CB277" s="69"/>
      <c r="CC277" s="69"/>
      <c r="CD277" s="69"/>
      <c r="CE277" s="69"/>
      <c r="CF277" s="69"/>
      <c r="CG277" s="69"/>
      <c r="CH277" s="69"/>
      <c r="CI277" s="69"/>
      <c r="CJ277" s="69"/>
      <c r="CK277" s="69"/>
      <c r="CL277" s="69"/>
      <c r="CM277" s="69"/>
      <c r="CN277" s="69"/>
      <c r="CO277" s="69"/>
      <c r="CP277" s="69"/>
      <c r="CQ277" s="69"/>
      <c r="CR277" s="69"/>
      <c r="CS277" s="69"/>
      <c r="CT277" s="69"/>
      <c r="CU277" s="69"/>
      <c r="CV277" s="69"/>
      <c r="CW277" s="69"/>
      <c r="CX277" s="69"/>
      <c r="CY277" s="69"/>
      <c r="CZ277" s="69"/>
      <c r="DA277" s="69"/>
      <c r="DB277" s="69"/>
      <c r="DC277" s="69"/>
      <c r="DD277" s="69"/>
      <c r="DE277" s="69"/>
      <c r="DF277" s="69"/>
      <c r="DG277" s="69"/>
      <c r="DH277" s="69"/>
      <c r="DI277" s="69"/>
      <c r="DJ277" s="69"/>
      <c r="DK277" s="69"/>
      <c r="DL277" s="69"/>
      <c r="DM277" s="69"/>
      <c r="DN277" s="69"/>
      <c r="DO277" s="69"/>
      <c r="DP277" s="69"/>
      <c r="DQ277" s="69"/>
      <c r="DR277" s="69"/>
      <c r="DS277" s="69"/>
      <c r="DT277" s="69"/>
      <c r="DU277" s="69"/>
    </row>
    <row r="278" ht="15.75" customHeight="1">
      <c r="A278" s="69"/>
      <c r="B278" s="69"/>
      <c r="C278" s="69"/>
      <c r="D278" s="4"/>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c r="BN278" s="69"/>
      <c r="BO278" s="69"/>
      <c r="BP278" s="69"/>
      <c r="BQ278" s="69"/>
      <c r="BR278" s="69"/>
      <c r="BS278" s="69"/>
      <c r="BT278" s="69"/>
      <c r="BU278" s="69"/>
      <c r="BV278" s="69"/>
      <c r="BW278" s="69"/>
      <c r="BX278" s="69"/>
      <c r="BY278" s="69"/>
      <c r="BZ278" s="69"/>
      <c r="CA278" s="69"/>
      <c r="CB278" s="69"/>
      <c r="CC278" s="69"/>
      <c r="CD278" s="69"/>
      <c r="CE278" s="69"/>
      <c r="CF278" s="69"/>
      <c r="CG278" s="69"/>
      <c r="CH278" s="69"/>
      <c r="CI278" s="69"/>
      <c r="CJ278" s="69"/>
      <c r="CK278" s="69"/>
      <c r="CL278" s="69"/>
      <c r="CM278" s="69"/>
      <c r="CN278" s="69"/>
      <c r="CO278" s="69"/>
      <c r="CP278" s="69"/>
      <c r="CQ278" s="69"/>
      <c r="CR278" s="69"/>
      <c r="CS278" s="69"/>
      <c r="CT278" s="69"/>
      <c r="CU278" s="69"/>
      <c r="CV278" s="69"/>
      <c r="CW278" s="69"/>
      <c r="CX278" s="69"/>
      <c r="CY278" s="69"/>
      <c r="CZ278" s="69"/>
      <c r="DA278" s="69"/>
      <c r="DB278" s="69"/>
      <c r="DC278" s="69"/>
      <c r="DD278" s="69"/>
      <c r="DE278" s="69"/>
      <c r="DF278" s="69"/>
      <c r="DG278" s="69"/>
      <c r="DH278" s="69"/>
      <c r="DI278" s="69"/>
      <c r="DJ278" s="69"/>
      <c r="DK278" s="69"/>
      <c r="DL278" s="69"/>
      <c r="DM278" s="69"/>
      <c r="DN278" s="69"/>
      <c r="DO278" s="69"/>
      <c r="DP278" s="69"/>
      <c r="DQ278" s="69"/>
      <c r="DR278" s="69"/>
      <c r="DS278" s="69"/>
      <c r="DT278" s="69"/>
      <c r="DU278" s="69"/>
    </row>
    <row r="279" ht="15.75" customHeight="1">
      <c r="A279" s="69"/>
      <c r="B279" s="69"/>
      <c r="C279" s="69"/>
      <c r="D279" s="4"/>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c r="AW279" s="69"/>
      <c r="AX279" s="69"/>
      <c r="AY279" s="69"/>
      <c r="AZ279" s="69"/>
      <c r="BA279" s="69"/>
      <c r="BB279" s="69"/>
      <c r="BC279" s="69"/>
      <c r="BD279" s="69"/>
      <c r="BE279" s="69"/>
      <c r="BF279" s="69"/>
      <c r="BG279" s="69"/>
      <c r="BH279" s="69"/>
      <c r="BI279" s="69"/>
      <c r="BJ279" s="69"/>
      <c r="BK279" s="69"/>
      <c r="BL279" s="69"/>
      <c r="BM279" s="69"/>
      <c r="BN279" s="69"/>
      <c r="BO279" s="69"/>
      <c r="BP279" s="69"/>
      <c r="BQ279" s="69"/>
      <c r="BR279" s="69"/>
      <c r="BS279" s="69"/>
      <c r="BT279" s="69"/>
      <c r="BU279" s="69"/>
      <c r="BV279" s="69"/>
      <c r="BW279" s="69"/>
      <c r="BX279" s="69"/>
      <c r="BY279" s="69"/>
      <c r="BZ279" s="69"/>
      <c r="CA279" s="69"/>
      <c r="CB279" s="69"/>
      <c r="CC279" s="69"/>
      <c r="CD279" s="69"/>
      <c r="CE279" s="69"/>
      <c r="CF279" s="69"/>
      <c r="CG279" s="69"/>
      <c r="CH279" s="69"/>
      <c r="CI279" s="69"/>
      <c r="CJ279" s="69"/>
      <c r="CK279" s="69"/>
      <c r="CL279" s="69"/>
      <c r="CM279" s="69"/>
      <c r="CN279" s="69"/>
      <c r="CO279" s="69"/>
      <c r="CP279" s="69"/>
      <c r="CQ279" s="69"/>
      <c r="CR279" s="69"/>
      <c r="CS279" s="69"/>
      <c r="CT279" s="69"/>
      <c r="CU279" s="69"/>
      <c r="CV279" s="69"/>
      <c r="CW279" s="69"/>
      <c r="CX279" s="69"/>
      <c r="CY279" s="69"/>
      <c r="CZ279" s="69"/>
      <c r="DA279" s="69"/>
      <c r="DB279" s="69"/>
      <c r="DC279" s="69"/>
      <c r="DD279" s="69"/>
      <c r="DE279" s="69"/>
      <c r="DF279" s="69"/>
      <c r="DG279" s="69"/>
      <c r="DH279" s="69"/>
      <c r="DI279" s="69"/>
      <c r="DJ279" s="69"/>
      <c r="DK279" s="69"/>
      <c r="DL279" s="69"/>
      <c r="DM279" s="69"/>
      <c r="DN279" s="69"/>
      <c r="DO279" s="69"/>
      <c r="DP279" s="69"/>
      <c r="DQ279" s="69"/>
      <c r="DR279" s="69"/>
      <c r="DS279" s="69"/>
      <c r="DT279" s="69"/>
      <c r="DU279" s="69"/>
    </row>
    <row r="280" ht="15.75" customHeight="1">
      <c r="A280" s="69"/>
      <c r="B280" s="69"/>
      <c r="C280" s="69"/>
      <c r="D280" s="4"/>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c r="BN280" s="69"/>
      <c r="BO280" s="69"/>
      <c r="BP280" s="69"/>
      <c r="BQ280" s="69"/>
      <c r="BR280" s="69"/>
      <c r="BS280" s="69"/>
      <c r="BT280" s="69"/>
      <c r="BU280" s="69"/>
      <c r="BV280" s="69"/>
      <c r="BW280" s="69"/>
      <c r="BX280" s="69"/>
      <c r="BY280" s="69"/>
      <c r="BZ280" s="69"/>
      <c r="CA280" s="69"/>
      <c r="CB280" s="69"/>
      <c r="CC280" s="69"/>
      <c r="CD280" s="69"/>
      <c r="CE280" s="69"/>
      <c r="CF280" s="69"/>
      <c r="CG280" s="69"/>
      <c r="CH280" s="69"/>
      <c r="CI280" s="69"/>
      <c r="CJ280" s="69"/>
      <c r="CK280" s="69"/>
      <c r="CL280" s="69"/>
      <c r="CM280" s="69"/>
      <c r="CN280" s="69"/>
      <c r="CO280" s="69"/>
      <c r="CP280" s="69"/>
      <c r="CQ280" s="69"/>
      <c r="CR280" s="69"/>
      <c r="CS280" s="69"/>
      <c r="CT280" s="69"/>
      <c r="CU280" s="69"/>
      <c r="CV280" s="69"/>
      <c r="CW280" s="69"/>
      <c r="CX280" s="69"/>
      <c r="CY280" s="69"/>
      <c r="CZ280" s="69"/>
      <c r="DA280" s="69"/>
      <c r="DB280" s="69"/>
      <c r="DC280" s="69"/>
      <c r="DD280" s="69"/>
      <c r="DE280" s="69"/>
      <c r="DF280" s="69"/>
      <c r="DG280" s="69"/>
      <c r="DH280" s="69"/>
      <c r="DI280" s="69"/>
      <c r="DJ280" s="69"/>
      <c r="DK280" s="69"/>
      <c r="DL280" s="69"/>
      <c r="DM280" s="69"/>
      <c r="DN280" s="69"/>
      <c r="DO280" s="69"/>
      <c r="DP280" s="69"/>
      <c r="DQ280" s="69"/>
      <c r="DR280" s="69"/>
      <c r="DS280" s="69"/>
      <c r="DT280" s="69"/>
      <c r="DU280" s="69"/>
    </row>
    <row r="281" ht="15.75" customHeight="1">
      <c r="A281" s="69"/>
      <c r="B281" s="69"/>
      <c r="C281" s="69"/>
      <c r="D281" s="4"/>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c r="AW281" s="69"/>
      <c r="AX281" s="69"/>
      <c r="AY281" s="69"/>
      <c r="AZ281" s="69"/>
      <c r="BA281" s="69"/>
      <c r="BB281" s="69"/>
      <c r="BC281" s="69"/>
      <c r="BD281" s="69"/>
      <c r="BE281" s="69"/>
      <c r="BF281" s="69"/>
      <c r="BG281" s="69"/>
      <c r="BH281" s="69"/>
      <c r="BI281" s="69"/>
      <c r="BJ281" s="69"/>
      <c r="BK281" s="69"/>
      <c r="BL281" s="69"/>
      <c r="BM281" s="69"/>
      <c r="BN281" s="69"/>
      <c r="BO281" s="69"/>
      <c r="BP281" s="69"/>
      <c r="BQ281" s="69"/>
      <c r="BR281" s="69"/>
      <c r="BS281" s="69"/>
      <c r="BT281" s="69"/>
      <c r="BU281" s="69"/>
      <c r="BV281" s="69"/>
      <c r="BW281" s="69"/>
      <c r="BX281" s="69"/>
      <c r="BY281" s="69"/>
      <c r="BZ281" s="69"/>
      <c r="CA281" s="69"/>
      <c r="CB281" s="69"/>
      <c r="CC281" s="69"/>
      <c r="CD281" s="69"/>
      <c r="CE281" s="69"/>
      <c r="CF281" s="69"/>
      <c r="CG281" s="69"/>
      <c r="CH281" s="69"/>
      <c r="CI281" s="69"/>
      <c r="CJ281" s="69"/>
      <c r="CK281" s="69"/>
      <c r="CL281" s="69"/>
      <c r="CM281" s="69"/>
      <c r="CN281" s="69"/>
      <c r="CO281" s="69"/>
      <c r="CP281" s="69"/>
      <c r="CQ281" s="69"/>
      <c r="CR281" s="69"/>
      <c r="CS281" s="69"/>
      <c r="CT281" s="69"/>
      <c r="CU281" s="69"/>
      <c r="CV281" s="69"/>
      <c r="CW281" s="69"/>
      <c r="CX281" s="69"/>
      <c r="CY281" s="69"/>
      <c r="CZ281" s="69"/>
      <c r="DA281" s="69"/>
      <c r="DB281" s="69"/>
      <c r="DC281" s="69"/>
      <c r="DD281" s="69"/>
      <c r="DE281" s="69"/>
      <c r="DF281" s="69"/>
      <c r="DG281" s="69"/>
      <c r="DH281" s="69"/>
      <c r="DI281" s="69"/>
      <c r="DJ281" s="69"/>
      <c r="DK281" s="69"/>
      <c r="DL281" s="69"/>
      <c r="DM281" s="69"/>
      <c r="DN281" s="69"/>
      <c r="DO281" s="69"/>
      <c r="DP281" s="69"/>
      <c r="DQ281" s="69"/>
      <c r="DR281" s="69"/>
      <c r="DS281" s="69"/>
      <c r="DT281" s="69"/>
      <c r="DU281" s="69"/>
    </row>
    <row r="282" ht="15.75" customHeight="1">
      <c r="A282" s="69"/>
      <c r="B282" s="69"/>
      <c r="C282" s="69"/>
      <c r="D282" s="4"/>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c r="BN282" s="69"/>
      <c r="BO282" s="69"/>
      <c r="BP282" s="69"/>
      <c r="BQ282" s="69"/>
      <c r="BR282" s="69"/>
      <c r="BS282" s="69"/>
      <c r="BT282" s="69"/>
      <c r="BU282" s="69"/>
      <c r="BV282" s="69"/>
      <c r="BW282" s="69"/>
      <c r="BX282" s="69"/>
      <c r="BY282" s="69"/>
      <c r="BZ282" s="69"/>
      <c r="CA282" s="69"/>
      <c r="CB282" s="69"/>
      <c r="CC282" s="69"/>
      <c r="CD282" s="69"/>
      <c r="CE282" s="69"/>
      <c r="CF282" s="69"/>
      <c r="CG282" s="69"/>
      <c r="CH282" s="69"/>
      <c r="CI282" s="69"/>
      <c r="CJ282" s="69"/>
      <c r="CK282" s="69"/>
      <c r="CL282" s="69"/>
      <c r="CM282" s="69"/>
      <c r="CN282" s="69"/>
      <c r="CO282" s="69"/>
      <c r="CP282" s="69"/>
      <c r="CQ282" s="69"/>
      <c r="CR282" s="69"/>
      <c r="CS282" s="69"/>
      <c r="CT282" s="69"/>
      <c r="CU282" s="69"/>
      <c r="CV282" s="69"/>
      <c r="CW282" s="69"/>
      <c r="CX282" s="69"/>
      <c r="CY282" s="69"/>
      <c r="CZ282" s="69"/>
      <c r="DA282" s="69"/>
      <c r="DB282" s="69"/>
      <c r="DC282" s="69"/>
      <c r="DD282" s="69"/>
      <c r="DE282" s="69"/>
      <c r="DF282" s="69"/>
      <c r="DG282" s="69"/>
      <c r="DH282" s="69"/>
      <c r="DI282" s="69"/>
      <c r="DJ282" s="69"/>
      <c r="DK282" s="69"/>
      <c r="DL282" s="69"/>
      <c r="DM282" s="69"/>
      <c r="DN282" s="69"/>
      <c r="DO282" s="69"/>
      <c r="DP282" s="69"/>
      <c r="DQ282" s="69"/>
      <c r="DR282" s="69"/>
      <c r="DS282" s="69"/>
      <c r="DT282" s="69"/>
      <c r="DU282" s="69"/>
    </row>
    <row r="283" ht="15.75" customHeight="1">
      <c r="A283" s="69"/>
      <c r="B283" s="69"/>
      <c r="C283" s="69"/>
      <c r="D283" s="4"/>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c r="AW283" s="69"/>
      <c r="AX283" s="69"/>
      <c r="AY283" s="69"/>
      <c r="AZ283" s="69"/>
      <c r="BA283" s="69"/>
      <c r="BB283" s="69"/>
      <c r="BC283" s="69"/>
      <c r="BD283" s="69"/>
      <c r="BE283" s="69"/>
      <c r="BF283" s="69"/>
      <c r="BG283" s="69"/>
      <c r="BH283" s="69"/>
      <c r="BI283" s="69"/>
      <c r="BJ283" s="69"/>
      <c r="BK283" s="69"/>
      <c r="BL283" s="69"/>
      <c r="BM283" s="69"/>
      <c r="BN283" s="69"/>
      <c r="BO283" s="69"/>
      <c r="BP283" s="69"/>
      <c r="BQ283" s="69"/>
      <c r="BR283" s="69"/>
      <c r="BS283" s="69"/>
      <c r="BT283" s="69"/>
      <c r="BU283" s="69"/>
      <c r="BV283" s="69"/>
      <c r="BW283" s="69"/>
      <c r="BX283" s="69"/>
      <c r="BY283" s="69"/>
      <c r="BZ283" s="69"/>
      <c r="CA283" s="69"/>
      <c r="CB283" s="69"/>
      <c r="CC283" s="69"/>
      <c r="CD283" s="69"/>
      <c r="CE283" s="69"/>
      <c r="CF283" s="69"/>
      <c r="CG283" s="69"/>
      <c r="CH283" s="69"/>
      <c r="CI283" s="69"/>
      <c r="CJ283" s="69"/>
      <c r="CK283" s="69"/>
      <c r="CL283" s="69"/>
      <c r="CM283" s="69"/>
      <c r="CN283" s="69"/>
      <c r="CO283" s="69"/>
      <c r="CP283" s="69"/>
      <c r="CQ283" s="69"/>
      <c r="CR283" s="69"/>
      <c r="CS283" s="69"/>
      <c r="CT283" s="69"/>
      <c r="CU283" s="69"/>
      <c r="CV283" s="69"/>
      <c r="CW283" s="69"/>
      <c r="CX283" s="69"/>
      <c r="CY283" s="69"/>
      <c r="CZ283" s="69"/>
      <c r="DA283" s="69"/>
      <c r="DB283" s="69"/>
      <c r="DC283" s="69"/>
      <c r="DD283" s="69"/>
      <c r="DE283" s="69"/>
      <c r="DF283" s="69"/>
      <c r="DG283" s="69"/>
      <c r="DH283" s="69"/>
      <c r="DI283" s="69"/>
      <c r="DJ283" s="69"/>
      <c r="DK283" s="69"/>
      <c r="DL283" s="69"/>
      <c r="DM283" s="69"/>
      <c r="DN283" s="69"/>
      <c r="DO283" s="69"/>
      <c r="DP283" s="69"/>
      <c r="DQ283" s="69"/>
      <c r="DR283" s="69"/>
      <c r="DS283" s="69"/>
      <c r="DT283" s="69"/>
      <c r="DU283" s="69"/>
    </row>
    <row r="284" ht="15.75" customHeight="1">
      <c r="A284" s="69"/>
      <c r="B284" s="69"/>
      <c r="C284" s="69"/>
      <c r="D284" s="4"/>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c r="BN284" s="69"/>
      <c r="BO284" s="69"/>
      <c r="BP284" s="69"/>
      <c r="BQ284" s="69"/>
      <c r="BR284" s="69"/>
      <c r="BS284" s="69"/>
      <c r="BT284" s="69"/>
      <c r="BU284" s="69"/>
      <c r="BV284" s="69"/>
      <c r="BW284" s="69"/>
      <c r="BX284" s="69"/>
      <c r="BY284" s="69"/>
      <c r="BZ284" s="69"/>
      <c r="CA284" s="69"/>
      <c r="CB284" s="69"/>
      <c r="CC284" s="69"/>
      <c r="CD284" s="69"/>
      <c r="CE284" s="69"/>
      <c r="CF284" s="69"/>
      <c r="CG284" s="69"/>
      <c r="CH284" s="69"/>
      <c r="CI284" s="69"/>
      <c r="CJ284" s="69"/>
      <c r="CK284" s="69"/>
      <c r="CL284" s="69"/>
      <c r="CM284" s="69"/>
      <c r="CN284" s="69"/>
      <c r="CO284" s="69"/>
      <c r="CP284" s="69"/>
      <c r="CQ284" s="69"/>
      <c r="CR284" s="69"/>
      <c r="CS284" s="69"/>
      <c r="CT284" s="69"/>
      <c r="CU284" s="69"/>
      <c r="CV284" s="69"/>
      <c r="CW284" s="69"/>
      <c r="CX284" s="69"/>
      <c r="CY284" s="69"/>
      <c r="CZ284" s="69"/>
      <c r="DA284" s="69"/>
      <c r="DB284" s="69"/>
      <c r="DC284" s="69"/>
      <c r="DD284" s="69"/>
      <c r="DE284" s="69"/>
      <c r="DF284" s="69"/>
      <c r="DG284" s="69"/>
      <c r="DH284" s="69"/>
      <c r="DI284" s="69"/>
      <c r="DJ284" s="69"/>
      <c r="DK284" s="69"/>
      <c r="DL284" s="69"/>
      <c r="DM284" s="69"/>
      <c r="DN284" s="69"/>
      <c r="DO284" s="69"/>
      <c r="DP284" s="69"/>
      <c r="DQ284" s="69"/>
      <c r="DR284" s="69"/>
      <c r="DS284" s="69"/>
      <c r="DT284" s="69"/>
      <c r="DU284" s="69"/>
    </row>
    <row r="285" ht="15.75" customHeight="1">
      <c r="A285" s="69"/>
      <c r="B285" s="69"/>
      <c r="C285" s="69"/>
      <c r="D285" s="4"/>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c r="AW285" s="69"/>
      <c r="AX285" s="69"/>
      <c r="AY285" s="69"/>
      <c r="AZ285" s="69"/>
      <c r="BA285" s="69"/>
      <c r="BB285" s="69"/>
      <c r="BC285" s="69"/>
      <c r="BD285" s="69"/>
      <c r="BE285" s="69"/>
      <c r="BF285" s="69"/>
      <c r="BG285" s="69"/>
      <c r="BH285" s="69"/>
      <c r="BI285" s="69"/>
      <c r="BJ285" s="69"/>
      <c r="BK285" s="69"/>
      <c r="BL285" s="69"/>
      <c r="BM285" s="69"/>
      <c r="BN285" s="69"/>
      <c r="BO285" s="69"/>
      <c r="BP285" s="69"/>
      <c r="BQ285" s="69"/>
      <c r="BR285" s="69"/>
      <c r="BS285" s="69"/>
      <c r="BT285" s="69"/>
      <c r="BU285" s="69"/>
      <c r="BV285" s="69"/>
      <c r="BW285" s="69"/>
      <c r="BX285" s="69"/>
      <c r="BY285" s="69"/>
      <c r="BZ285" s="69"/>
      <c r="CA285" s="69"/>
      <c r="CB285" s="69"/>
      <c r="CC285" s="69"/>
      <c r="CD285" s="69"/>
      <c r="CE285" s="69"/>
      <c r="CF285" s="69"/>
      <c r="CG285" s="69"/>
      <c r="CH285" s="69"/>
      <c r="CI285" s="69"/>
      <c r="CJ285" s="69"/>
      <c r="CK285" s="69"/>
      <c r="CL285" s="69"/>
      <c r="CM285" s="69"/>
      <c r="CN285" s="69"/>
      <c r="CO285" s="69"/>
      <c r="CP285" s="69"/>
      <c r="CQ285" s="69"/>
      <c r="CR285" s="69"/>
      <c r="CS285" s="69"/>
      <c r="CT285" s="69"/>
      <c r="CU285" s="69"/>
      <c r="CV285" s="69"/>
      <c r="CW285" s="69"/>
      <c r="CX285" s="69"/>
      <c r="CY285" s="69"/>
      <c r="CZ285" s="69"/>
      <c r="DA285" s="69"/>
      <c r="DB285" s="69"/>
      <c r="DC285" s="69"/>
      <c r="DD285" s="69"/>
      <c r="DE285" s="69"/>
      <c r="DF285" s="69"/>
      <c r="DG285" s="69"/>
      <c r="DH285" s="69"/>
      <c r="DI285" s="69"/>
      <c r="DJ285" s="69"/>
      <c r="DK285" s="69"/>
      <c r="DL285" s="69"/>
      <c r="DM285" s="69"/>
      <c r="DN285" s="69"/>
      <c r="DO285" s="69"/>
      <c r="DP285" s="69"/>
      <c r="DQ285" s="69"/>
      <c r="DR285" s="69"/>
      <c r="DS285" s="69"/>
      <c r="DT285" s="69"/>
      <c r="DU285" s="69"/>
    </row>
    <row r="286" ht="15.75" customHeight="1">
      <c r="A286" s="69"/>
      <c r="B286" s="69"/>
      <c r="C286" s="69"/>
      <c r="D286" s="4"/>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c r="BN286" s="69"/>
      <c r="BO286" s="69"/>
      <c r="BP286" s="69"/>
      <c r="BQ286" s="69"/>
      <c r="BR286" s="69"/>
      <c r="BS286" s="69"/>
      <c r="BT286" s="69"/>
      <c r="BU286" s="69"/>
      <c r="BV286" s="69"/>
      <c r="BW286" s="69"/>
      <c r="BX286" s="69"/>
      <c r="BY286" s="69"/>
      <c r="BZ286" s="69"/>
      <c r="CA286" s="69"/>
      <c r="CB286" s="69"/>
      <c r="CC286" s="69"/>
      <c r="CD286" s="69"/>
      <c r="CE286" s="69"/>
      <c r="CF286" s="69"/>
      <c r="CG286" s="69"/>
      <c r="CH286" s="69"/>
      <c r="CI286" s="69"/>
      <c r="CJ286" s="69"/>
      <c r="CK286" s="69"/>
      <c r="CL286" s="69"/>
      <c r="CM286" s="69"/>
      <c r="CN286" s="69"/>
      <c r="CO286" s="69"/>
      <c r="CP286" s="69"/>
      <c r="CQ286" s="69"/>
      <c r="CR286" s="69"/>
      <c r="CS286" s="69"/>
      <c r="CT286" s="69"/>
      <c r="CU286" s="69"/>
      <c r="CV286" s="69"/>
      <c r="CW286" s="69"/>
      <c r="CX286" s="69"/>
      <c r="CY286" s="69"/>
      <c r="CZ286" s="69"/>
      <c r="DA286" s="69"/>
      <c r="DB286" s="69"/>
      <c r="DC286" s="69"/>
      <c r="DD286" s="69"/>
      <c r="DE286" s="69"/>
      <c r="DF286" s="69"/>
      <c r="DG286" s="69"/>
      <c r="DH286" s="69"/>
      <c r="DI286" s="69"/>
      <c r="DJ286" s="69"/>
      <c r="DK286" s="69"/>
      <c r="DL286" s="69"/>
      <c r="DM286" s="69"/>
      <c r="DN286" s="69"/>
      <c r="DO286" s="69"/>
      <c r="DP286" s="69"/>
      <c r="DQ286" s="69"/>
      <c r="DR286" s="69"/>
      <c r="DS286" s="69"/>
      <c r="DT286" s="69"/>
      <c r="DU286" s="69"/>
    </row>
    <row r="287" ht="15.75" customHeight="1">
      <c r="A287" s="69"/>
      <c r="B287" s="69"/>
      <c r="C287" s="69"/>
      <c r="D287" s="4"/>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c r="AW287" s="69"/>
      <c r="AX287" s="69"/>
      <c r="AY287" s="69"/>
      <c r="AZ287" s="69"/>
      <c r="BA287" s="69"/>
      <c r="BB287" s="69"/>
      <c r="BC287" s="69"/>
      <c r="BD287" s="69"/>
      <c r="BE287" s="69"/>
      <c r="BF287" s="69"/>
      <c r="BG287" s="69"/>
      <c r="BH287" s="69"/>
      <c r="BI287" s="69"/>
      <c r="BJ287" s="69"/>
      <c r="BK287" s="69"/>
      <c r="BL287" s="69"/>
      <c r="BM287" s="69"/>
      <c r="BN287" s="69"/>
      <c r="BO287" s="69"/>
      <c r="BP287" s="69"/>
      <c r="BQ287" s="69"/>
      <c r="BR287" s="69"/>
      <c r="BS287" s="69"/>
      <c r="BT287" s="69"/>
      <c r="BU287" s="69"/>
      <c r="BV287" s="69"/>
      <c r="BW287" s="69"/>
      <c r="BX287" s="69"/>
      <c r="BY287" s="69"/>
      <c r="BZ287" s="69"/>
      <c r="CA287" s="69"/>
      <c r="CB287" s="69"/>
      <c r="CC287" s="69"/>
      <c r="CD287" s="69"/>
      <c r="CE287" s="69"/>
      <c r="CF287" s="69"/>
      <c r="CG287" s="69"/>
      <c r="CH287" s="69"/>
      <c r="CI287" s="69"/>
      <c r="CJ287" s="69"/>
      <c r="CK287" s="69"/>
      <c r="CL287" s="69"/>
      <c r="CM287" s="69"/>
      <c r="CN287" s="69"/>
      <c r="CO287" s="69"/>
      <c r="CP287" s="69"/>
      <c r="CQ287" s="69"/>
      <c r="CR287" s="69"/>
      <c r="CS287" s="69"/>
      <c r="CT287" s="69"/>
      <c r="CU287" s="69"/>
      <c r="CV287" s="69"/>
      <c r="CW287" s="69"/>
      <c r="CX287" s="69"/>
      <c r="CY287" s="69"/>
      <c r="CZ287" s="69"/>
      <c r="DA287" s="69"/>
      <c r="DB287" s="69"/>
      <c r="DC287" s="69"/>
      <c r="DD287" s="69"/>
      <c r="DE287" s="69"/>
      <c r="DF287" s="69"/>
      <c r="DG287" s="69"/>
      <c r="DH287" s="69"/>
      <c r="DI287" s="69"/>
      <c r="DJ287" s="69"/>
      <c r="DK287" s="69"/>
      <c r="DL287" s="69"/>
      <c r="DM287" s="69"/>
      <c r="DN287" s="69"/>
      <c r="DO287" s="69"/>
      <c r="DP287" s="69"/>
      <c r="DQ287" s="69"/>
      <c r="DR287" s="69"/>
      <c r="DS287" s="69"/>
      <c r="DT287" s="69"/>
      <c r="DU287" s="69"/>
    </row>
    <row r="288" ht="15.75" customHeight="1">
      <c r="A288" s="69"/>
      <c r="B288" s="69"/>
      <c r="C288" s="69"/>
      <c r="D288" s="4"/>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c r="BN288" s="69"/>
      <c r="BO288" s="69"/>
      <c r="BP288" s="69"/>
      <c r="BQ288" s="69"/>
      <c r="BR288" s="69"/>
      <c r="BS288" s="69"/>
      <c r="BT288" s="69"/>
      <c r="BU288" s="69"/>
      <c r="BV288" s="69"/>
      <c r="BW288" s="69"/>
      <c r="BX288" s="69"/>
      <c r="BY288" s="69"/>
      <c r="BZ288" s="69"/>
      <c r="CA288" s="69"/>
      <c r="CB288" s="69"/>
      <c r="CC288" s="69"/>
      <c r="CD288" s="69"/>
      <c r="CE288" s="69"/>
      <c r="CF288" s="69"/>
      <c r="CG288" s="69"/>
      <c r="CH288" s="69"/>
      <c r="CI288" s="69"/>
      <c r="CJ288" s="69"/>
      <c r="CK288" s="69"/>
      <c r="CL288" s="69"/>
      <c r="CM288" s="69"/>
      <c r="CN288" s="69"/>
      <c r="CO288" s="69"/>
      <c r="CP288" s="69"/>
      <c r="CQ288" s="69"/>
      <c r="CR288" s="69"/>
      <c r="CS288" s="69"/>
      <c r="CT288" s="69"/>
      <c r="CU288" s="69"/>
      <c r="CV288" s="69"/>
      <c r="CW288" s="69"/>
      <c r="CX288" s="69"/>
      <c r="CY288" s="69"/>
      <c r="CZ288" s="69"/>
      <c r="DA288" s="69"/>
      <c r="DB288" s="69"/>
      <c r="DC288" s="69"/>
      <c r="DD288" s="69"/>
      <c r="DE288" s="69"/>
      <c r="DF288" s="69"/>
      <c r="DG288" s="69"/>
      <c r="DH288" s="69"/>
      <c r="DI288" s="69"/>
      <c r="DJ288" s="69"/>
      <c r="DK288" s="69"/>
      <c r="DL288" s="69"/>
      <c r="DM288" s="69"/>
      <c r="DN288" s="69"/>
      <c r="DO288" s="69"/>
      <c r="DP288" s="69"/>
      <c r="DQ288" s="69"/>
      <c r="DR288" s="69"/>
      <c r="DS288" s="69"/>
      <c r="DT288" s="69"/>
      <c r="DU288" s="69"/>
    </row>
    <row r="289" ht="15.75" customHeight="1">
      <c r="A289" s="69"/>
      <c r="B289" s="69"/>
      <c r="C289" s="69"/>
      <c r="D289" s="4"/>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c r="AW289" s="69"/>
      <c r="AX289" s="69"/>
      <c r="AY289" s="69"/>
      <c r="AZ289" s="69"/>
      <c r="BA289" s="69"/>
      <c r="BB289" s="69"/>
      <c r="BC289" s="69"/>
      <c r="BD289" s="69"/>
      <c r="BE289" s="69"/>
      <c r="BF289" s="69"/>
      <c r="BG289" s="69"/>
      <c r="BH289" s="69"/>
      <c r="BI289" s="69"/>
      <c r="BJ289" s="69"/>
      <c r="BK289" s="69"/>
      <c r="BL289" s="69"/>
      <c r="BM289" s="69"/>
      <c r="BN289" s="69"/>
      <c r="BO289" s="69"/>
      <c r="BP289" s="69"/>
      <c r="BQ289" s="69"/>
      <c r="BR289" s="69"/>
      <c r="BS289" s="69"/>
      <c r="BT289" s="69"/>
      <c r="BU289" s="69"/>
      <c r="BV289" s="69"/>
      <c r="BW289" s="69"/>
      <c r="BX289" s="69"/>
      <c r="BY289" s="69"/>
      <c r="BZ289" s="69"/>
      <c r="CA289" s="69"/>
      <c r="CB289" s="69"/>
      <c r="CC289" s="69"/>
      <c r="CD289" s="69"/>
      <c r="CE289" s="69"/>
      <c r="CF289" s="69"/>
      <c r="CG289" s="69"/>
      <c r="CH289" s="69"/>
      <c r="CI289" s="69"/>
      <c r="CJ289" s="69"/>
      <c r="CK289" s="69"/>
      <c r="CL289" s="69"/>
      <c r="CM289" s="69"/>
      <c r="CN289" s="69"/>
      <c r="CO289" s="69"/>
      <c r="CP289" s="69"/>
      <c r="CQ289" s="69"/>
      <c r="CR289" s="69"/>
      <c r="CS289" s="69"/>
      <c r="CT289" s="69"/>
      <c r="CU289" s="69"/>
      <c r="CV289" s="69"/>
      <c r="CW289" s="69"/>
      <c r="CX289" s="69"/>
      <c r="CY289" s="69"/>
      <c r="CZ289" s="69"/>
      <c r="DA289" s="69"/>
      <c r="DB289" s="69"/>
      <c r="DC289" s="69"/>
      <c r="DD289" s="69"/>
      <c r="DE289" s="69"/>
      <c r="DF289" s="69"/>
      <c r="DG289" s="69"/>
      <c r="DH289" s="69"/>
      <c r="DI289" s="69"/>
      <c r="DJ289" s="69"/>
      <c r="DK289" s="69"/>
      <c r="DL289" s="69"/>
      <c r="DM289" s="69"/>
      <c r="DN289" s="69"/>
      <c r="DO289" s="69"/>
      <c r="DP289" s="69"/>
      <c r="DQ289" s="69"/>
      <c r="DR289" s="69"/>
      <c r="DS289" s="69"/>
      <c r="DT289" s="69"/>
      <c r="DU289" s="69"/>
    </row>
    <row r="290" ht="15.75" customHeight="1">
      <c r="A290" s="69"/>
      <c r="B290" s="69"/>
      <c r="C290" s="69"/>
      <c r="D290" s="4"/>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c r="AZ290" s="69"/>
      <c r="BA290" s="69"/>
      <c r="BB290" s="69"/>
      <c r="BC290" s="69"/>
      <c r="BD290" s="69"/>
      <c r="BE290" s="69"/>
      <c r="BF290" s="69"/>
      <c r="BG290" s="69"/>
      <c r="BH290" s="69"/>
      <c r="BI290" s="69"/>
      <c r="BJ290" s="69"/>
      <c r="BK290" s="69"/>
      <c r="BL290" s="69"/>
      <c r="BM290" s="69"/>
      <c r="BN290" s="69"/>
      <c r="BO290" s="69"/>
      <c r="BP290" s="69"/>
      <c r="BQ290" s="69"/>
      <c r="BR290" s="69"/>
      <c r="BS290" s="69"/>
      <c r="BT290" s="69"/>
      <c r="BU290" s="69"/>
      <c r="BV290" s="69"/>
      <c r="BW290" s="69"/>
      <c r="BX290" s="69"/>
      <c r="BY290" s="69"/>
      <c r="BZ290" s="69"/>
      <c r="CA290" s="69"/>
      <c r="CB290" s="69"/>
      <c r="CC290" s="69"/>
      <c r="CD290" s="69"/>
      <c r="CE290" s="69"/>
      <c r="CF290" s="69"/>
      <c r="CG290" s="69"/>
      <c r="CH290" s="69"/>
      <c r="CI290" s="69"/>
      <c r="CJ290" s="69"/>
      <c r="CK290" s="69"/>
      <c r="CL290" s="69"/>
      <c r="CM290" s="69"/>
      <c r="CN290" s="69"/>
      <c r="CO290" s="69"/>
      <c r="CP290" s="69"/>
      <c r="CQ290" s="69"/>
      <c r="CR290" s="69"/>
      <c r="CS290" s="69"/>
      <c r="CT290" s="69"/>
      <c r="CU290" s="69"/>
      <c r="CV290" s="69"/>
      <c r="CW290" s="69"/>
      <c r="CX290" s="69"/>
      <c r="CY290" s="69"/>
      <c r="CZ290" s="69"/>
      <c r="DA290" s="69"/>
      <c r="DB290" s="69"/>
      <c r="DC290" s="69"/>
      <c r="DD290" s="69"/>
      <c r="DE290" s="69"/>
      <c r="DF290" s="69"/>
      <c r="DG290" s="69"/>
      <c r="DH290" s="69"/>
      <c r="DI290" s="69"/>
      <c r="DJ290" s="69"/>
      <c r="DK290" s="69"/>
      <c r="DL290" s="69"/>
      <c r="DM290" s="69"/>
      <c r="DN290" s="69"/>
      <c r="DO290" s="69"/>
      <c r="DP290" s="69"/>
      <c r="DQ290" s="69"/>
      <c r="DR290" s="69"/>
      <c r="DS290" s="69"/>
      <c r="DT290" s="69"/>
      <c r="DU290" s="69"/>
    </row>
    <row r="291" ht="15.75" customHeight="1">
      <c r="A291" s="69"/>
      <c r="B291" s="69"/>
      <c r="C291" s="69"/>
      <c r="D291" s="4"/>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c r="AZ291" s="69"/>
      <c r="BA291" s="69"/>
      <c r="BB291" s="69"/>
      <c r="BC291" s="69"/>
      <c r="BD291" s="69"/>
      <c r="BE291" s="69"/>
      <c r="BF291" s="69"/>
      <c r="BG291" s="69"/>
      <c r="BH291" s="69"/>
      <c r="BI291" s="69"/>
      <c r="BJ291" s="69"/>
      <c r="BK291" s="69"/>
      <c r="BL291" s="69"/>
      <c r="BM291" s="69"/>
      <c r="BN291" s="69"/>
      <c r="BO291" s="69"/>
      <c r="BP291" s="69"/>
      <c r="BQ291" s="69"/>
      <c r="BR291" s="69"/>
      <c r="BS291" s="69"/>
      <c r="BT291" s="69"/>
      <c r="BU291" s="69"/>
      <c r="BV291" s="69"/>
      <c r="BW291" s="69"/>
      <c r="BX291" s="69"/>
      <c r="BY291" s="69"/>
      <c r="BZ291" s="69"/>
      <c r="CA291" s="69"/>
      <c r="CB291" s="69"/>
      <c r="CC291" s="69"/>
      <c r="CD291" s="69"/>
      <c r="CE291" s="69"/>
      <c r="CF291" s="69"/>
      <c r="CG291" s="69"/>
      <c r="CH291" s="69"/>
      <c r="CI291" s="69"/>
      <c r="CJ291" s="69"/>
      <c r="CK291" s="69"/>
      <c r="CL291" s="69"/>
      <c r="CM291" s="69"/>
      <c r="CN291" s="69"/>
      <c r="CO291" s="69"/>
      <c r="CP291" s="69"/>
      <c r="CQ291" s="69"/>
      <c r="CR291" s="69"/>
      <c r="CS291" s="69"/>
      <c r="CT291" s="69"/>
      <c r="CU291" s="69"/>
      <c r="CV291" s="69"/>
      <c r="CW291" s="69"/>
      <c r="CX291" s="69"/>
      <c r="CY291" s="69"/>
      <c r="CZ291" s="69"/>
      <c r="DA291" s="69"/>
      <c r="DB291" s="69"/>
      <c r="DC291" s="69"/>
      <c r="DD291" s="69"/>
      <c r="DE291" s="69"/>
      <c r="DF291" s="69"/>
      <c r="DG291" s="69"/>
      <c r="DH291" s="69"/>
      <c r="DI291" s="69"/>
      <c r="DJ291" s="69"/>
      <c r="DK291" s="69"/>
      <c r="DL291" s="69"/>
      <c r="DM291" s="69"/>
      <c r="DN291" s="69"/>
      <c r="DO291" s="69"/>
      <c r="DP291" s="69"/>
      <c r="DQ291" s="69"/>
      <c r="DR291" s="69"/>
      <c r="DS291" s="69"/>
      <c r="DT291" s="69"/>
      <c r="DU291" s="69"/>
    </row>
    <row r="292" ht="15.75" customHeight="1">
      <c r="A292" s="69"/>
      <c r="B292" s="69"/>
      <c r="C292" s="69"/>
      <c r="D292" s="4"/>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c r="AZ292" s="69"/>
      <c r="BA292" s="69"/>
      <c r="BB292" s="69"/>
      <c r="BC292" s="69"/>
      <c r="BD292" s="69"/>
      <c r="BE292" s="69"/>
      <c r="BF292" s="69"/>
      <c r="BG292" s="69"/>
      <c r="BH292" s="69"/>
      <c r="BI292" s="69"/>
      <c r="BJ292" s="69"/>
      <c r="BK292" s="69"/>
      <c r="BL292" s="69"/>
      <c r="BM292" s="69"/>
      <c r="BN292" s="69"/>
      <c r="BO292" s="69"/>
      <c r="BP292" s="69"/>
      <c r="BQ292" s="69"/>
      <c r="BR292" s="69"/>
      <c r="BS292" s="69"/>
      <c r="BT292" s="69"/>
      <c r="BU292" s="69"/>
      <c r="BV292" s="69"/>
      <c r="BW292" s="69"/>
      <c r="BX292" s="69"/>
      <c r="BY292" s="69"/>
      <c r="BZ292" s="69"/>
      <c r="CA292" s="69"/>
      <c r="CB292" s="69"/>
      <c r="CC292" s="69"/>
      <c r="CD292" s="69"/>
      <c r="CE292" s="69"/>
      <c r="CF292" s="69"/>
      <c r="CG292" s="69"/>
      <c r="CH292" s="69"/>
      <c r="CI292" s="69"/>
      <c r="CJ292" s="69"/>
      <c r="CK292" s="69"/>
      <c r="CL292" s="69"/>
      <c r="CM292" s="69"/>
      <c r="CN292" s="69"/>
      <c r="CO292" s="69"/>
      <c r="CP292" s="69"/>
      <c r="CQ292" s="69"/>
      <c r="CR292" s="69"/>
      <c r="CS292" s="69"/>
      <c r="CT292" s="69"/>
      <c r="CU292" s="69"/>
      <c r="CV292" s="69"/>
      <c r="CW292" s="69"/>
      <c r="CX292" s="69"/>
      <c r="CY292" s="69"/>
      <c r="CZ292" s="69"/>
      <c r="DA292" s="69"/>
      <c r="DB292" s="69"/>
      <c r="DC292" s="69"/>
      <c r="DD292" s="69"/>
      <c r="DE292" s="69"/>
      <c r="DF292" s="69"/>
      <c r="DG292" s="69"/>
      <c r="DH292" s="69"/>
      <c r="DI292" s="69"/>
      <c r="DJ292" s="69"/>
      <c r="DK292" s="69"/>
      <c r="DL292" s="69"/>
      <c r="DM292" s="69"/>
      <c r="DN292" s="69"/>
      <c r="DO292" s="69"/>
      <c r="DP292" s="69"/>
      <c r="DQ292" s="69"/>
      <c r="DR292" s="69"/>
      <c r="DS292" s="69"/>
      <c r="DT292" s="69"/>
      <c r="DU292" s="69"/>
    </row>
    <row r="293" ht="15.75" customHeight="1">
      <c r="A293" s="69"/>
      <c r="B293" s="69"/>
      <c r="C293" s="69"/>
      <c r="D293" s="4"/>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c r="AW293" s="69"/>
      <c r="AX293" s="69"/>
      <c r="AY293" s="69"/>
      <c r="AZ293" s="69"/>
      <c r="BA293" s="69"/>
      <c r="BB293" s="69"/>
      <c r="BC293" s="69"/>
      <c r="BD293" s="69"/>
      <c r="BE293" s="69"/>
      <c r="BF293" s="69"/>
      <c r="BG293" s="69"/>
      <c r="BH293" s="69"/>
      <c r="BI293" s="69"/>
      <c r="BJ293" s="69"/>
      <c r="BK293" s="69"/>
      <c r="BL293" s="69"/>
      <c r="BM293" s="69"/>
      <c r="BN293" s="69"/>
      <c r="BO293" s="69"/>
      <c r="BP293" s="69"/>
      <c r="BQ293" s="69"/>
      <c r="BR293" s="69"/>
      <c r="BS293" s="69"/>
      <c r="BT293" s="69"/>
      <c r="BU293" s="69"/>
      <c r="BV293" s="69"/>
      <c r="BW293" s="69"/>
      <c r="BX293" s="69"/>
      <c r="BY293" s="69"/>
      <c r="BZ293" s="69"/>
      <c r="CA293" s="69"/>
      <c r="CB293" s="69"/>
      <c r="CC293" s="69"/>
      <c r="CD293" s="69"/>
      <c r="CE293" s="69"/>
      <c r="CF293" s="69"/>
      <c r="CG293" s="69"/>
      <c r="CH293" s="69"/>
      <c r="CI293" s="69"/>
      <c r="CJ293" s="69"/>
      <c r="CK293" s="69"/>
      <c r="CL293" s="69"/>
      <c r="CM293" s="69"/>
      <c r="CN293" s="69"/>
      <c r="CO293" s="69"/>
      <c r="CP293" s="69"/>
      <c r="CQ293" s="69"/>
      <c r="CR293" s="69"/>
      <c r="CS293" s="69"/>
      <c r="CT293" s="69"/>
      <c r="CU293" s="69"/>
      <c r="CV293" s="69"/>
      <c r="CW293" s="69"/>
      <c r="CX293" s="69"/>
      <c r="CY293" s="69"/>
      <c r="CZ293" s="69"/>
      <c r="DA293" s="69"/>
      <c r="DB293" s="69"/>
      <c r="DC293" s="69"/>
      <c r="DD293" s="69"/>
      <c r="DE293" s="69"/>
      <c r="DF293" s="69"/>
      <c r="DG293" s="69"/>
      <c r="DH293" s="69"/>
      <c r="DI293" s="69"/>
      <c r="DJ293" s="69"/>
      <c r="DK293" s="69"/>
      <c r="DL293" s="69"/>
      <c r="DM293" s="69"/>
      <c r="DN293" s="69"/>
      <c r="DO293" s="69"/>
      <c r="DP293" s="69"/>
      <c r="DQ293" s="69"/>
      <c r="DR293" s="69"/>
      <c r="DS293" s="69"/>
      <c r="DT293" s="69"/>
      <c r="DU293" s="69"/>
    </row>
    <row r="294" ht="15.75" customHeight="1">
      <c r="A294" s="69"/>
      <c r="B294" s="69"/>
      <c r="C294" s="69"/>
      <c r="D294" s="4"/>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c r="BN294" s="69"/>
      <c r="BO294" s="69"/>
      <c r="BP294" s="69"/>
      <c r="BQ294" s="69"/>
      <c r="BR294" s="69"/>
      <c r="BS294" s="69"/>
      <c r="BT294" s="69"/>
      <c r="BU294" s="69"/>
      <c r="BV294" s="69"/>
      <c r="BW294" s="69"/>
      <c r="BX294" s="69"/>
      <c r="BY294" s="69"/>
      <c r="BZ294" s="69"/>
      <c r="CA294" s="69"/>
      <c r="CB294" s="69"/>
      <c r="CC294" s="69"/>
      <c r="CD294" s="69"/>
      <c r="CE294" s="69"/>
      <c r="CF294" s="69"/>
      <c r="CG294" s="69"/>
      <c r="CH294" s="69"/>
      <c r="CI294" s="69"/>
      <c r="CJ294" s="69"/>
      <c r="CK294" s="69"/>
      <c r="CL294" s="69"/>
      <c r="CM294" s="69"/>
      <c r="CN294" s="69"/>
      <c r="CO294" s="69"/>
      <c r="CP294" s="69"/>
      <c r="CQ294" s="69"/>
      <c r="CR294" s="69"/>
      <c r="CS294" s="69"/>
      <c r="CT294" s="69"/>
      <c r="CU294" s="69"/>
      <c r="CV294" s="69"/>
      <c r="CW294" s="69"/>
      <c r="CX294" s="69"/>
      <c r="CY294" s="69"/>
      <c r="CZ294" s="69"/>
      <c r="DA294" s="69"/>
      <c r="DB294" s="69"/>
      <c r="DC294" s="69"/>
      <c r="DD294" s="69"/>
      <c r="DE294" s="69"/>
      <c r="DF294" s="69"/>
      <c r="DG294" s="69"/>
      <c r="DH294" s="69"/>
      <c r="DI294" s="69"/>
      <c r="DJ294" s="69"/>
      <c r="DK294" s="69"/>
      <c r="DL294" s="69"/>
      <c r="DM294" s="69"/>
      <c r="DN294" s="69"/>
      <c r="DO294" s="69"/>
      <c r="DP294" s="69"/>
      <c r="DQ294" s="69"/>
      <c r="DR294" s="69"/>
      <c r="DS294" s="69"/>
      <c r="DT294" s="69"/>
      <c r="DU294" s="69"/>
    </row>
    <row r="295" ht="15.75" customHeight="1">
      <c r="A295" s="69"/>
      <c r="B295" s="69"/>
      <c r="C295" s="69"/>
      <c r="D295" s="4"/>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c r="AW295" s="69"/>
      <c r="AX295" s="69"/>
      <c r="AY295" s="69"/>
      <c r="AZ295" s="69"/>
      <c r="BA295" s="69"/>
      <c r="BB295" s="69"/>
      <c r="BC295" s="69"/>
      <c r="BD295" s="69"/>
      <c r="BE295" s="69"/>
      <c r="BF295" s="69"/>
      <c r="BG295" s="69"/>
      <c r="BH295" s="69"/>
      <c r="BI295" s="69"/>
      <c r="BJ295" s="69"/>
      <c r="BK295" s="69"/>
      <c r="BL295" s="69"/>
      <c r="BM295" s="69"/>
      <c r="BN295" s="69"/>
      <c r="BO295" s="69"/>
      <c r="BP295" s="69"/>
      <c r="BQ295" s="69"/>
      <c r="BR295" s="69"/>
      <c r="BS295" s="69"/>
      <c r="BT295" s="69"/>
      <c r="BU295" s="69"/>
      <c r="BV295" s="69"/>
      <c r="BW295" s="69"/>
      <c r="BX295" s="69"/>
      <c r="BY295" s="69"/>
      <c r="BZ295" s="69"/>
      <c r="CA295" s="69"/>
      <c r="CB295" s="69"/>
      <c r="CC295" s="69"/>
      <c r="CD295" s="69"/>
      <c r="CE295" s="69"/>
      <c r="CF295" s="69"/>
      <c r="CG295" s="69"/>
      <c r="CH295" s="69"/>
      <c r="CI295" s="69"/>
      <c r="CJ295" s="69"/>
      <c r="CK295" s="69"/>
      <c r="CL295" s="69"/>
      <c r="CM295" s="69"/>
      <c r="CN295" s="69"/>
      <c r="CO295" s="69"/>
      <c r="CP295" s="69"/>
      <c r="CQ295" s="69"/>
      <c r="CR295" s="69"/>
      <c r="CS295" s="69"/>
      <c r="CT295" s="69"/>
      <c r="CU295" s="69"/>
      <c r="CV295" s="69"/>
      <c r="CW295" s="69"/>
      <c r="CX295" s="69"/>
      <c r="CY295" s="69"/>
      <c r="CZ295" s="69"/>
      <c r="DA295" s="69"/>
      <c r="DB295" s="69"/>
      <c r="DC295" s="69"/>
      <c r="DD295" s="69"/>
      <c r="DE295" s="69"/>
      <c r="DF295" s="69"/>
      <c r="DG295" s="69"/>
      <c r="DH295" s="69"/>
      <c r="DI295" s="69"/>
      <c r="DJ295" s="69"/>
      <c r="DK295" s="69"/>
      <c r="DL295" s="69"/>
      <c r="DM295" s="69"/>
      <c r="DN295" s="69"/>
      <c r="DO295" s="69"/>
      <c r="DP295" s="69"/>
      <c r="DQ295" s="69"/>
      <c r="DR295" s="69"/>
      <c r="DS295" s="69"/>
      <c r="DT295" s="69"/>
      <c r="DU295" s="69"/>
    </row>
    <row r="296" ht="15.75" customHeight="1">
      <c r="A296" s="69"/>
      <c r="B296" s="69"/>
      <c r="C296" s="69"/>
      <c r="D296" s="4"/>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c r="BN296" s="69"/>
      <c r="BO296" s="69"/>
      <c r="BP296" s="69"/>
      <c r="BQ296" s="69"/>
      <c r="BR296" s="69"/>
      <c r="BS296" s="69"/>
      <c r="BT296" s="69"/>
      <c r="BU296" s="69"/>
      <c r="BV296" s="69"/>
      <c r="BW296" s="69"/>
      <c r="BX296" s="69"/>
      <c r="BY296" s="69"/>
      <c r="BZ296" s="69"/>
      <c r="CA296" s="69"/>
      <c r="CB296" s="69"/>
      <c r="CC296" s="69"/>
      <c r="CD296" s="69"/>
      <c r="CE296" s="69"/>
      <c r="CF296" s="69"/>
      <c r="CG296" s="69"/>
      <c r="CH296" s="69"/>
      <c r="CI296" s="69"/>
      <c r="CJ296" s="69"/>
      <c r="CK296" s="69"/>
      <c r="CL296" s="69"/>
      <c r="CM296" s="69"/>
      <c r="CN296" s="69"/>
      <c r="CO296" s="69"/>
      <c r="CP296" s="69"/>
      <c r="CQ296" s="69"/>
      <c r="CR296" s="69"/>
      <c r="CS296" s="69"/>
      <c r="CT296" s="69"/>
      <c r="CU296" s="69"/>
      <c r="CV296" s="69"/>
      <c r="CW296" s="69"/>
      <c r="CX296" s="69"/>
      <c r="CY296" s="69"/>
      <c r="CZ296" s="69"/>
      <c r="DA296" s="69"/>
      <c r="DB296" s="69"/>
      <c r="DC296" s="69"/>
      <c r="DD296" s="69"/>
      <c r="DE296" s="69"/>
      <c r="DF296" s="69"/>
      <c r="DG296" s="69"/>
      <c r="DH296" s="69"/>
      <c r="DI296" s="69"/>
      <c r="DJ296" s="69"/>
      <c r="DK296" s="69"/>
      <c r="DL296" s="69"/>
      <c r="DM296" s="69"/>
      <c r="DN296" s="69"/>
      <c r="DO296" s="69"/>
      <c r="DP296" s="69"/>
      <c r="DQ296" s="69"/>
      <c r="DR296" s="69"/>
      <c r="DS296" s="69"/>
      <c r="DT296" s="69"/>
      <c r="DU296" s="69"/>
    </row>
    <row r="297" ht="15.75" customHeight="1">
      <c r="A297" s="69"/>
      <c r="B297" s="69"/>
      <c r="C297" s="69"/>
      <c r="D297" s="4"/>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c r="AW297" s="69"/>
      <c r="AX297" s="69"/>
      <c r="AY297" s="69"/>
      <c r="AZ297" s="69"/>
      <c r="BA297" s="69"/>
      <c r="BB297" s="69"/>
      <c r="BC297" s="69"/>
      <c r="BD297" s="69"/>
      <c r="BE297" s="69"/>
      <c r="BF297" s="69"/>
      <c r="BG297" s="69"/>
      <c r="BH297" s="69"/>
      <c r="BI297" s="69"/>
      <c r="BJ297" s="69"/>
      <c r="BK297" s="69"/>
      <c r="BL297" s="69"/>
      <c r="BM297" s="69"/>
      <c r="BN297" s="69"/>
      <c r="BO297" s="69"/>
      <c r="BP297" s="69"/>
      <c r="BQ297" s="69"/>
      <c r="BR297" s="69"/>
      <c r="BS297" s="69"/>
      <c r="BT297" s="69"/>
      <c r="BU297" s="69"/>
      <c r="BV297" s="69"/>
      <c r="BW297" s="69"/>
      <c r="BX297" s="69"/>
      <c r="BY297" s="69"/>
      <c r="BZ297" s="69"/>
      <c r="CA297" s="69"/>
      <c r="CB297" s="69"/>
      <c r="CC297" s="69"/>
      <c r="CD297" s="69"/>
      <c r="CE297" s="69"/>
      <c r="CF297" s="69"/>
      <c r="CG297" s="69"/>
      <c r="CH297" s="69"/>
      <c r="CI297" s="69"/>
      <c r="CJ297" s="69"/>
      <c r="CK297" s="69"/>
      <c r="CL297" s="69"/>
      <c r="CM297" s="69"/>
      <c r="CN297" s="69"/>
      <c r="CO297" s="69"/>
      <c r="CP297" s="69"/>
      <c r="CQ297" s="69"/>
      <c r="CR297" s="69"/>
      <c r="CS297" s="69"/>
      <c r="CT297" s="69"/>
      <c r="CU297" s="69"/>
      <c r="CV297" s="69"/>
      <c r="CW297" s="69"/>
      <c r="CX297" s="69"/>
      <c r="CY297" s="69"/>
      <c r="CZ297" s="69"/>
      <c r="DA297" s="69"/>
      <c r="DB297" s="69"/>
      <c r="DC297" s="69"/>
      <c r="DD297" s="69"/>
      <c r="DE297" s="69"/>
      <c r="DF297" s="69"/>
      <c r="DG297" s="69"/>
      <c r="DH297" s="69"/>
      <c r="DI297" s="69"/>
      <c r="DJ297" s="69"/>
      <c r="DK297" s="69"/>
      <c r="DL297" s="69"/>
      <c r="DM297" s="69"/>
      <c r="DN297" s="69"/>
      <c r="DO297" s="69"/>
      <c r="DP297" s="69"/>
      <c r="DQ297" s="69"/>
      <c r="DR297" s="69"/>
      <c r="DS297" s="69"/>
      <c r="DT297" s="69"/>
      <c r="DU297" s="69"/>
    </row>
    <row r="298" ht="15.75" customHeight="1">
      <c r="A298" s="69"/>
      <c r="B298" s="69"/>
      <c r="C298" s="69"/>
      <c r="D298" s="4"/>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c r="BO298" s="69"/>
      <c r="BP298" s="69"/>
      <c r="BQ298" s="69"/>
      <c r="BR298" s="69"/>
      <c r="BS298" s="69"/>
      <c r="BT298" s="69"/>
      <c r="BU298" s="69"/>
      <c r="BV298" s="69"/>
      <c r="BW298" s="69"/>
      <c r="BX298" s="69"/>
      <c r="BY298" s="69"/>
      <c r="BZ298" s="69"/>
      <c r="CA298" s="69"/>
      <c r="CB298" s="69"/>
      <c r="CC298" s="69"/>
      <c r="CD298" s="69"/>
      <c r="CE298" s="69"/>
      <c r="CF298" s="69"/>
      <c r="CG298" s="69"/>
      <c r="CH298" s="69"/>
      <c r="CI298" s="69"/>
      <c r="CJ298" s="69"/>
      <c r="CK298" s="69"/>
      <c r="CL298" s="69"/>
      <c r="CM298" s="69"/>
      <c r="CN298" s="69"/>
      <c r="CO298" s="69"/>
      <c r="CP298" s="69"/>
      <c r="CQ298" s="69"/>
      <c r="CR298" s="69"/>
      <c r="CS298" s="69"/>
      <c r="CT298" s="69"/>
      <c r="CU298" s="69"/>
      <c r="CV298" s="69"/>
      <c r="CW298" s="69"/>
      <c r="CX298" s="69"/>
      <c r="CY298" s="69"/>
      <c r="CZ298" s="69"/>
      <c r="DA298" s="69"/>
      <c r="DB298" s="69"/>
      <c r="DC298" s="69"/>
      <c r="DD298" s="69"/>
      <c r="DE298" s="69"/>
      <c r="DF298" s="69"/>
      <c r="DG298" s="69"/>
      <c r="DH298" s="69"/>
      <c r="DI298" s="69"/>
      <c r="DJ298" s="69"/>
      <c r="DK298" s="69"/>
      <c r="DL298" s="69"/>
      <c r="DM298" s="69"/>
      <c r="DN298" s="69"/>
      <c r="DO298" s="69"/>
      <c r="DP298" s="69"/>
      <c r="DQ298" s="69"/>
      <c r="DR298" s="69"/>
      <c r="DS298" s="69"/>
      <c r="DT298" s="69"/>
      <c r="DU298" s="69"/>
    </row>
    <row r="299" ht="15.75" customHeight="1">
      <c r="A299" s="69"/>
      <c r="B299" s="69"/>
      <c r="C299" s="69"/>
      <c r="D299" s="4"/>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c r="AW299" s="69"/>
      <c r="AX299" s="69"/>
      <c r="AY299" s="69"/>
      <c r="AZ299" s="69"/>
      <c r="BA299" s="69"/>
      <c r="BB299" s="69"/>
      <c r="BC299" s="69"/>
      <c r="BD299" s="69"/>
      <c r="BE299" s="69"/>
      <c r="BF299" s="69"/>
      <c r="BG299" s="69"/>
      <c r="BH299" s="69"/>
      <c r="BI299" s="69"/>
      <c r="BJ299" s="69"/>
      <c r="BK299" s="69"/>
      <c r="BL299" s="69"/>
      <c r="BM299" s="69"/>
      <c r="BN299" s="69"/>
      <c r="BO299" s="69"/>
      <c r="BP299" s="69"/>
      <c r="BQ299" s="69"/>
      <c r="BR299" s="69"/>
      <c r="BS299" s="69"/>
      <c r="BT299" s="69"/>
      <c r="BU299" s="69"/>
      <c r="BV299" s="69"/>
      <c r="BW299" s="69"/>
      <c r="BX299" s="69"/>
      <c r="BY299" s="69"/>
      <c r="BZ299" s="69"/>
      <c r="CA299" s="69"/>
      <c r="CB299" s="69"/>
      <c r="CC299" s="69"/>
      <c r="CD299" s="69"/>
      <c r="CE299" s="69"/>
      <c r="CF299" s="69"/>
      <c r="CG299" s="69"/>
      <c r="CH299" s="69"/>
      <c r="CI299" s="69"/>
      <c r="CJ299" s="69"/>
      <c r="CK299" s="69"/>
      <c r="CL299" s="69"/>
      <c r="CM299" s="69"/>
      <c r="CN299" s="69"/>
      <c r="CO299" s="69"/>
      <c r="CP299" s="69"/>
      <c r="CQ299" s="69"/>
      <c r="CR299" s="69"/>
      <c r="CS299" s="69"/>
      <c r="CT299" s="69"/>
      <c r="CU299" s="69"/>
      <c r="CV299" s="69"/>
      <c r="CW299" s="69"/>
      <c r="CX299" s="69"/>
      <c r="CY299" s="69"/>
      <c r="CZ299" s="69"/>
      <c r="DA299" s="69"/>
      <c r="DB299" s="69"/>
      <c r="DC299" s="69"/>
      <c r="DD299" s="69"/>
      <c r="DE299" s="69"/>
      <c r="DF299" s="69"/>
      <c r="DG299" s="69"/>
      <c r="DH299" s="69"/>
      <c r="DI299" s="69"/>
      <c r="DJ299" s="69"/>
      <c r="DK299" s="69"/>
      <c r="DL299" s="69"/>
      <c r="DM299" s="69"/>
      <c r="DN299" s="69"/>
      <c r="DO299" s="69"/>
      <c r="DP299" s="69"/>
      <c r="DQ299" s="69"/>
      <c r="DR299" s="69"/>
      <c r="DS299" s="69"/>
      <c r="DT299" s="69"/>
      <c r="DU299" s="69"/>
    </row>
    <row r="300" ht="15.75" customHeight="1">
      <c r="A300" s="69"/>
      <c r="B300" s="69"/>
      <c r="C300" s="69"/>
      <c r="D300" s="4"/>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c r="AZ300" s="69"/>
      <c r="BA300" s="69"/>
      <c r="BB300" s="69"/>
      <c r="BC300" s="69"/>
      <c r="BD300" s="69"/>
      <c r="BE300" s="69"/>
      <c r="BF300" s="69"/>
      <c r="BG300" s="69"/>
      <c r="BH300" s="69"/>
      <c r="BI300" s="69"/>
      <c r="BJ300" s="69"/>
      <c r="BK300" s="69"/>
      <c r="BL300" s="69"/>
      <c r="BM300" s="69"/>
      <c r="BN300" s="69"/>
      <c r="BO300" s="69"/>
      <c r="BP300" s="69"/>
      <c r="BQ300" s="69"/>
      <c r="BR300" s="69"/>
      <c r="BS300" s="69"/>
      <c r="BT300" s="69"/>
      <c r="BU300" s="69"/>
      <c r="BV300" s="69"/>
      <c r="BW300" s="69"/>
      <c r="BX300" s="69"/>
      <c r="BY300" s="69"/>
      <c r="BZ300" s="69"/>
      <c r="CA300" s="69"/>
      <c r="CB300" s="69"/>
      <c r="CC300" s="69"/>
      <c r="CD300" s="69"/>
      <c r="CE300" s="69"/>
      <c r="CF300" s="69"/>
      <c r="CG300" s="69"/>
      <c r="CH300" s="69"/>
      <c r="CI300" s="69"/>
      <c r="CJ300" s="69"/>
      <c r="CK300" s="69"/>
      <c r="CL300" s="69"/>
      <c r="CM300" s="69"/>
      <c r="CN300" s="69"/>
      <c r="CO300" s="69"/>
      <c r="CP300" s="69"/>
      <c r="CQ300" s="69"/>
      <c r="CR300" s="69"/>
      <c r="CS300" s="69"/>
      <c r="CT300" s="69"/>
      <c r="CU300" s="69"/>
      <c r="CV300" s="69"/>
      <c r="CW300" s="69"/>
      <c r="CX300" s="69"/>
      <c r="CY300" s="69"/>
      <c r="CZ300" s="69"/>
      <c r="DA300" s="69"/>
      <c r="DB300" s="69"/>
      <c r="DC300" s="69"/>
      <c r="DD300" s="69"/>
      <c r="DE300" s="69"/>
      <c r="DF300" s="69"/>
      <c r="DG300" s="69"/>
      <c r="DH300" s="69"/>
      <c r="DI300" s="69"/>
      <c r="DJ300" s="69"/>
      <c r="DK300" s="69"/>
      <c r="DL300" s="69"/>
      <c r="DM300" s="69"/>
      <c r="DN300" s="69"/>
      <c r="DO300" s="69"/>
      <c r="DP300" s="69"/>
      <c r="DQ300" s="69"/>
      <c r="DR300" s="69"/>
      <c r="DS300" s="69"/>
      <c r="DT300" s="69"/>
      <c r="DU300" s="69"/>
    </row>
    <row r="301" ht="15.75" customHeight="1">
      <c r="A301" s="69"/>
      <c r="B301" s="69"/>
      <c r="C301" s="69"/>
      <c r="D301" s="4"/>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c r="AW301" s="69"/>
      <c r="AX301" s="69"/>
      <c r="AY301" s="69"/>
      <c r="AZ301" s="69"/>
      <c r="BA301" s="69"/>
      <c r="BB301" s="69"/>
      <c r="BC301" s="69"/>
      <c r="BD301" s="69"/>
      <c r="BE301" s="69"/>
      <c r="BF301" s="69"/>
      <c r="BG301" s="69"/>
      <c r="BH301" s="69"/>
      <c r="BI301" s="69"/>
      <c r="BJ301" s="69"/>
      <c r="BK301" s="69"/>
      <c r="BL301" s="69"/>
      <c r="BM301" s="69"/>
      <c r="BN301" s="69"/>
      <c r="BO301" s="69"/>
      <c r="BP301" s="69"/>
      <c r="BQ301" s="69"/>
      <c r="BR301" s="69"/>
      <c r="BS301" s="69"/>
      <c r="BT301" s="69"/>
      <c r="BU301" s="69"/>
      <c r="BV301" s="69"/>
      <c r="BW301" s="69"/>
      <c r="BX301" s="69"/>
      <c r="BY301" s="69"/>
      <c r="BZ301" s="69"/>
      <c r="CA301" s="69"/>
      <c r="CB301" s="69"/>
      <c r="CC301" s="69"/>
      <c r="CD301" s="69"/>
      <c r="CE301" s="69"/>
      <c r="CF301" s="69"/>
      <c r="CG301" s="69"/>
      <c r="CH301" s="69"/>
      <c r="CI301" s="69"/>
      <c r="CJ301" s="69"/>
      <c r="CK301" s="69"/>
      <c r="CL301" s="69"/>
      <c r="CM301" s="69"/>
      <c r="CN301" s="69"/>
      <c r="CO301" s="69"/>
      <c r="CP301" s="69"/>
      <c r="CQ301" s="69"/>
      <c r="CR301" s="69"/>
      <c r="CS301" s="69"/>
      <c r="CT301" s="69"/>
      <c r="CU301" s="69"/>
      <c r="CV301" s="69"/>
      <c r="CW301" s="69"/>
      <c r="CX301" s="69"/>
      <c r="CY301" s="69"/>
      <c r="CZ301" s="69"/>
      <c r="DA301" s="69"/>
      <c r="DB301" s="69"/>
      <c r="DC301" s="69"/>
      <c r="DD301" s="69"/>
      <c r="DE301" s="69"/>
      <c r="DF301" s="69"/>
      <c r="DG301" s="69"/>
      <c r="DH301" s="69"/>
      <c r="DI301" s="69"/>
      <c r="DJ301" s="69"/>
      <c r="DK301" s="69"/>
      <c r="DL301" s="69"/>
      <c r="DM301" s="69"/>
      <c r="DN301" s="69"/>
      <c r="DO301" s="69"/>
      <c r="DP301" s="69"/>
      <c r="DQ301" s="69"/>
      <c r="DR301" s="69"/>
      <c r="DS301" s="69"/>
      <c r="DT301" s="69"/>
      <c r="DU301" s="69"/>
    </row>
    <row r="302" ht="15.75" customHeight="1">
      <c r="A302" s="69"/>
      <c r="B302" s="69"/>
      <c r="C302" s="69"/>
      <c r="D302" s="4"/>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c r="AZ302" s="69"/>
      <c r="BA302" s="69"/>
      <c r="BB302" s="69"/>
      <c r="BC302" s="69"/>
      <c r="BD302" s="69"/>
      <c r="BE302" s="69"/>
      <c r="BF302" s="69"/>
      <c r="BG302" s="69"/>
      <c r="BH302" s="69"/>
      <c r="BI302" s="69"/>
      <c r="BJ302" s="69"/>
      <c r="BK302" s="69"/>
      <c r="BL302" s="69"/>
      <c r="BM302" s="69"/>
      <c r="BN302" s="69"/>
      <c r="BO302" s="69"/>
      <c r="BP302" s="69"/>
      <c r="BQ302" s="69"/>
      <c r="BR302" s="69"/>
      <c r="BS302" s="69"/>
      <c r="BT302" s="69"/>
      <c r="BU302" s="69"/>
      <c r="BV302" s="69"/>
      <c r="BW302" s="69"/>
      <c r="BX302" s="69"/>
      <c r="BY302" s="69"/>
      <c r="BZ302" s="69"/>
      <c r="CA302" s="69"/>
      <c r="CB302" s="69"/>
      <c r="CC302" s="69"/>
      <c r="CD302" s="69"/>
      <c r="CE302" s="69"/>
      <c r="CF302" s="69"/>
      <c r="CG302" s="69"/>
      <c r="CH302" s="69"/>
      <c r="CI302" s="69"/>
      <c r="CJ302" s="69"/>
      <c r="CK302" s="69"/>
      <c r="CL302" s="69"/>
      <c r="CM302" s="69"/>
      <c r="CN302" s="69"/>
      <c r="CO302" s="69"/>
      <c r="CP302" s="69"/>
      <c r="CQ302" s="69"/>
      <c r="CR302" s="69"/>
      <c r="CS302" s="69"/>
      <c r="CT302" s="69"/>
      <c r="CU302" s="69"/>
      <c r="CV302" s="69"/>
      <c r="CW302" s="69"/>
      <c r="CX302" s="69"/>
      <c r="CY302" s="69"/>
      <c r="CZ302" s="69"/>
      <c r="DA302" s="69"/>
      <c r="DB302" s="69"/>
      <c r="DC302" s="69"/>
      <c r="DD302" s="69"/>
      <c r="DE302" s="69"/>
      <c r="DF302" s="69"/>
      <c r="DG302" s="69"/>
      <c r="DH302" s="69"/>
      <c r="DI302" s="69"/>
      <c r="DJ302" s="69"/>
      <c r="DK302" s="69"/>
      <c r="DL302" s="69"/>
      <c r="DM302" s="69"/>
      <c r="DN302" s="69"/>
      <c r="DO302" s="69"/>
      <c r="DP302" s="69"/>
      <c r="DQ302" s="69"/>
      <c r="DR302" s="69"/>
      <c r="DS302" s="69"/>
      <c r="DT302" s="69"/>
      <c r="DU302" s="69"/>
    </row>
    <row r="303" ht="15.75" customHeight="1">
      <c r="A303" s="69"/>
      <c r="B303" s="69"/>
      <c r="C303" s="69"/>
      <c r="D303" s="4"/>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c r="AW303" s="69"/>
      <c r="AX303" s="69"/>
      <c r="AY303" s="69"/>
      <c r="AZ303" s="69"/>
      <c r="BA303" s="69"/>
      <c r="BB303" s="69"/>
      <c r="BC303" s="69"/>
      <c r="BD303" s="69"/>
      <c r="BE303" s="69"/>
      <c r="BF303" s="69"/>
      <c r="BG303" s="69"/>
      <c r="BH303" s="69"/>
      <c r="BI303" s="69"/>
      <c r="BJ303" s="69"/>
      <c r="BK303" s="69"/>
      <c r="BL303" s="69"/>
      <c r="BM303" s="69"/>
      <c r="BN303" s="69"/>
      <c r="BO303" s="69"/>
      <c r="BP303" s="69"/>
      <c r="BQ303" s="69"/>
      <c r="BR303" s="69"/>
      <c r="BS303" s="69"/>
      <c r="BT303" s="69"/>
      <c r="BU303" s="69"/>
      <c r="BV303" s="69"/>
      <c r="BW303" s="69"/>
      <c r="BX303" s="69"/>
      <c r="BY303" s="69"/>
      <c r="BZ303" s="69"/>
      <c r="CA303" s="69"/>
      <c r="CB303" s="69"/>
      <c r="CC303" s="69"/>
      <c r="CD303" s="69"/>
      <c r="CE303" s="69"/>
      <c r="CF303" s="69"/>
      <c r="CG303" s="69"/>
      <c r="CH303" s="69"/>
      <c r="CI303" s="69"/>
      <c r="CJ303" s="69"/>
      <c r="CK303" s="69"/>
      <c r="CL303" s="69"/>
      <c r="CM303" s="69"/>
      <c r="CN303" s="69"/>
      <c r="CO303" s="69"/>
      <c r="CP303" s="69"/>
      <c r="CQ303" s="69"/>
      <c r="CR303" s="69"/>
      <c r="CS303" s="69"/>
      <c r="CT303" s="69"/>
      <c r="CU303" s="69"/>
      <c r="CV303" s="69"/>
      <c r="CW303" s="69"/>
      <c r="CX303" s="69"/>
      <c r="CY303" s="69"/>
      <c r="CZ303" s="69"/>
      <c r="DA303" s="69"/>
      <c r="DB303" s="69"/>
      <c r="DC303" s="69"/>
      <c r="DD303" s="69"/>
      <c r="DE303" s="69"/>
      <c r="DF303" s="69"/>
      <c r="DG303" s="69"/>
      <c r="DH303" s="69"/>
      <c r="DI303" s="69"/>
      <c r="DJ303" s="69"/>
      <c r="DK303" s="69"/>
      <c r="DL303" s="69"/>
      <c r="DM303" s="69"/>
      <c r="DN303" s="69"/>
      <c r="DO303" s="69"/>
      <c r="DP303" s="69"/>
      <c r="DQ303" s="69"/>
      <c r="DR303" s="69"/>
      <c r="DS303" s="69"/>
      <c r="DT303" s="69"/>
      <c r="DU303" s="69"/>
    </row>
    <row r="304" ht="15.75" customHeight="1">
      <c r="A304" s="69"/>
      <c r="B304" s="69"/>
      <c r="C304" s="69"/>
      <c r="D304" s="4"/>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c r="BN304" s="69"/>
      <c r="BO304" s="69"/>
      <c r="BP304" s="69"/>
      <c r="BQ304" s="69"/>
      <c r="BR304" s="69"/>
      <c r="BS304" s="69"/>
      <c r="BT304" s="69"/>
      <c r="BU304" s="69"/>
      <c r="BV304" s="69"/>
      <c r="BW304" s="69"/>
      <c r="BX304" s="69"/>
      <c r="BY304" s="69"/>
      <c r="BZ304" s="69"/>
      <c r="CA304" s="69"/>
      <c r="CB304" s="69"/>
      <c r="CC304" s="69"/>
      <c r="CD304" s="69"/>
      <c r="CE304" s="69"/>
      <c r="CF304" s="69"/>
      <c r="CG304" s="69"/>
      <c r="CH304" s="69"/>
      <c r="CI304" s="69"/>
      <c r="CJ304" s="69"/>
      <c r="CK304" s="69"/>
      <c r="CL304" s="69"/>
      <c r="CM304" s="69"/>
      <c r="CN304" s="69"/>
      <c r="CO304" s="69"/>
      <c r="CP304" s="69"/>
      <c r="CQ304" s="69"/>
      <c r="CR304" s="69"/>
      <c r="CS304" s="69"/>
      <c r="CT304" s="69"/>
      <c r="CU304" s="69"/>
      <c r="CV304" s="69"/>
      <c r="CW304" s="69"/>
      <c r="CX304" s="69"/>
      <c r="CY304" s="69"/>
      <c r="CZ304" s="69"/>
      <c r="DA304" s="69"/>
      <c r="DB304" s="69"/>
      <c r="DC304" s="69"/>
      <c r="DD304" s="69"/>
      <c r="DE304" s="69"/>
      <c r="DF304" s="69"/>
      <c r="DG304" s="69"/>
      <c r="DH304" s="69"/>
      <c r="DI304" s="69"/>
      <c r="DJ304" s="69"/>
      <c r="DK304" s="69"/>
      <c r="DL304" s="69"/>
      <c r="DM304" s="69"/>
      <c r="DN304" s="69"/>
      <c r="DO304" s="69"/>
      <c r="DP304" s="69"/>
      <c r="DQ304" s="69"/>
      <c r="DR304" s="69"/>
      <c r="DS304" s="69"/>
      <c r="DT304" s="69"/>
      <c r="DU304" s="69"/>
    </row>
    <row r="305" ht="15.75" customHeight="1">
      <c r="A305" s="69"/>
      <c r="B305" s="69"/>
      <c r="C305" s="69"/>
      <c r="D305" s="4"/>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c r="AW305" s="69"/>
      <c r="AX305" s="69"/>
      <c r="AY305" s="69"/>
      <c r="AZ305" s="69"/>
      <c r="BA305" s="69"/>
      <c r="BB305" s="69"/>
      <c r="BC305" s="69"/>
      <c r="BD305" s="69"/>
      <c r="BE305" s="69"/>
      <c r="BF305" s="69"/>
      <c r="BG305" s="69"/>
      <c r="BH305" s="69"/>
      <c r="BI305" s="69"/>
      <c r="BJ305" s="69"/>
      <c r="BK305" s="69"/>
      <c r="BL305" s="69"/>
      <c r="BM305" s="69"/>
      <c r="BN305" s="69"/>
      <c r="BO305" s="69"/>
      <c r="BP305" s="69"/>
      <c r="BQ305" s="69"/>
      <c r="BR305" s="69"/>
      <c r="BS305" s="69"/>
      <c r="BT305" s="69"/>
      <c r="BU305" s="69"/>
      <c r="BV305" s="69"/>
      <c r="BW305" s="69"/>
      <c r="BX305" s="69"/>
      <c r="BY305" s="69"/>
      <c r="BZ305" s="69"/>
      <c r="CA305" s="69"/>
      <c r="CB305" s="69"/>
      <c r="CC305" s="69"/>
      <c r="CD305" s="69"/>
      <c r="CE305" s="69"/>
      <c r="CF305" s="69"/>
      <c r="CG305" s="69"/>
      <c r="CH305" s="69"/>
      <c r="CI305" s="69"/>
      <c r="CJ305" s="69"/>
      <c r="CK305" s="69"/>
      <c r="CL305" s="69"/>
      <c r="CM305" s="69"/>
      <c r="CN305" s="69"/>
      <c r="CO305" s="69"/>
      <c r="CP305" s="69"/>
      <c r="CQ305" s="69"/>
      <c r="CR305" s="69"/>
      <c r="CS305" s="69"/>
      <c r="CT305" s="69"/>
      <c r="CU305" s="69"/>
      <c r="CV305" s="69"/>
      <c r="CW305" s="69"/>
      <c r="CX305" s="69"/>
      <c r="CY305" s="69"/>
      <c r="CZ305" s="69"/>
      <c r="DA305" s="69"/>
      <c r="DB305" s="69"/>
      <c r="DC305" s="69"/>
      <c r="DD305" s="69"/>
      <c r="DE305" s="69"/>
      <c r="DF305" s="69"/>
      <c r="DG305" s="69"/>
      <c r="DH305" s="69"/>
      <c r="DI305" s="69"/>
      <c r="DJ305" s="69"/>
      <c r="DK305" s="69"/>
      <c r="DL305" s="69"/>
      <c r="DM305" s="69"/>
      <c r="DN305" s="69"/>
      <c r="DO305" s="69"/>
      <c r="DP305" s="69"/>
      <c r="DQ305" s="69"/>
      <c r="DR305" s="69"/>
      <c r="DS305" s="69"/>
      <c r="DT305" s="69"/>
      <c r="DU305" s="69"/>
    </row>
    <row r="306" ht="15.75" customHeight="1">
      <c r="A306" s="69"/>
      <c r="B306" s="69"/>
      <c r="C306" s="69"/>
      <c r="D306" s="4"/>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c r="BO306" s="69"/>
      <c r="BP306" s="69"/>
      <c r="BQ306" s="69"/>
      <c r="BR306" s="69"/>
      <c r="BS306" s="69"/>
      <c r="BT306" s="69"/>
      <c r="BU306" s="69"/>
      <c r="BV306" s="69"/>
      <c r="BW306" s="69"/>
      <c r="BX306" s="69"/>
      <c r="BY306" s="69"/>
      <c r="BZ306" s="69"/>
      <c r="CA306" s="69"/>
      <c r="CB306" s="69"/>
      <c r="CC306" s="69"/>
      <c r="CD306" s="69"/>
      <c r="CE306" s="69"/>
      <c r="CF306" s="69"/>
      <c r="CG306" s="69"/>
      <c r="CH306" s="69"/>
      <c r="CI306" s="69"/>
      <c r="CJ306" s="69"/>
      <c r="CK306" s="69"/>
      <c r="CL306" s="69"/>
      <c r="CM306" s="69"/>
      <c r="CN306" s="69"/>
      <c r="CO306" s="69"/>
      <c r="CP306" s="69"/>
      <c r="CQ306" s="69"/>
      <c r="CR306" s="69"/>
      <c r="CS306" s="69"/>
      <c r="CT306" s="69"/>
      <c r="CU306" s="69"/>
      <c r="CV306" s="69"/>
      <c r="CW306" s="69"/>
      <c r="CX306" s="69"/>
      <c r="CY306" s="69"/>
      <c r="CZ306" s="69"/>
      <c r="DA306" s="69"/>
      <c r="DB306" s="69"/>
      <c r="DC306" s="69"/>
      <c r="DD306" s="69"/>
      <c r="DE306" s="69"/>
      <c r="DF306" s="69"/>
      <c r="DG306" s="69"/>
      <c r="DH306" s="69"/>
      <c r="DI306" s="69"/>
      <c r="DJ306" s="69"/>
      <c r="DK306" s="69"/>
      <c r="DL306" s="69"/>
      <c r="DM306" s="69"/>
      <c r="DN306" s="69"/>
      <c r="DO306" s="69"/>
      <c r="DP306" s="69"/>
      <c r="DQ306" s="69"/>
      <c r="DR306" s="69"/>
      <c r="DS306" s="69"/>
      <c r="DT306" s="69"/>
      <c r="DU306" s="69"/>
    </row>
    <row r="307" ht="15.75" customHeight="1">
      <c r="A307" s="69"/>
      <c r="B307" s="69"/>
      <c r="C307" s="69"/>
      <c r="D307" s="4"/>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c r="BO307" s="69"/>
      <c r="BP307" s="69"/>
      <c r="BQ307" s="69"/>
      <c r="BR307" s="69"/>
      <c r="BS307" s="69"/>
      <c r="BT307" s="69"/>
      <c r="BU307" s="69"/>
      <c r="BV307" s="69"/>
      <c r="BW307" s="69"/>
      <c r="BX307" s="69"/>
      <c r="BY307" s="69"/>
      <c r="BZ307" s="69"/>
      <c r="CA307" s="69"/>
      <c r="CB307" s="69"/>
      <c r="CC307" s="69"/>
      <c r="CD307" s="69"/>
      <c r="CE307" s="69"/>
      <c r="CF307" s="69"/>
      <c r="CG307" s="69"/>
      <c r="CH307" s="69"/>
      <c r="CI307" s="69"/>
      <c r="CJ307" s="69"/>
      <c r="CK307" s="69"/>
      <c r="CL307" s="69"/>
      <c r="CM307" s="69"/>
      <c r="CN307" s="69"/>
      <c r="CO307" s="69"/>
      <c r="CP307" s="69"/>
      <c r="CQ307" s="69"/>
      <c r="CR307" s="69"/>
      <c r="CS307" s="69"/>
      <c r="CT307" s="69"/>
      <c r="CU307" s="69"/>
      <c r="CV307" s="69"/>
      <c r="CW307" s="69"/>
      <c r="CX307" s="69"/>
      <c r="CY307" s="69"/>
      <c r="CZ307" s="69"/>
      <c r="DA307" s="69"/>
      <c r="DB307" s="69"/>
      <c r="DC307" s="69"/>
      <c r="DD307" s="69"/>
      <c r="DE307" s="69"/>
      <c r="DF307" s="69"/>
      <c r="DG307" s="69"/>
      <c r="DH307" s="69"/>
      <c r="DI307" s="69"/>
      <c r="DJ307" s="69"/>
      <c r="DK307" s="69"/>
      <c r="DL307" s="69"/>
      <c r="DM307" s="69"/>
      <c r="DN307" s="69"/>
      <c r="DO307" s="69"/>
      <c r="DP307" s="69"/>
      <c r="DQ307" s="69"/>
      <c r="DR307" s="69"/>
      <c r="DS307" s="69"/>
      <c r="DT307" s="69"/>
      <c r="DU307" s="69"/>
    </row>
    <row r="308" ht="15.75" customHeight="1">
      <c r="A308" s="69"/>
      <c r="B308" s="69"/>
      <c r="C308" s="69"/>
      <c r="D308" s="4"/>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c r="BN308" s="69"/>
      <c r="BO308" s="69"/>
      <c r="BP308" s="69"/>
      <c r="BQ308" s="69"/>
      <c r="BR308" s="69"/>
      <c r="BS308" s="69"/>
      <c r="BT308" s="69"/>
      <c r="BU308" s="69"/>
      <c r="BV308" s="69"/>
      <c r="BW308" s="69"/>
      <c r="BX308" s="69"/>
      <c r="BY308" s="69"/>
      <c r="BZ308" s="69"/>
      <c r="CA308" s="69"/>
      <c r="CB308" s="69"/>
      <c r="CC308" s="69"/>
      <c r="CD308" s="69"/>
      <c r="CE308" s="69"/>
      <c r="CF308" s="69"/>
      <c r="CG308" s="69"/>
      <c r="CH308" s="69"/>
      <c r="CI308" s="69"/>
      <c r="CJ308" s="69"/>
      <c r="CK308" s="69"/>
      <c r="CL308" s="69"/>
      <c r="CM308" s="69"/>
      <c r="CN308" s="69"/>
      <c r="CO308" s="69"/>
      <c r="CP308" s="69"/>
      <c r="CQ308" s="69"/>
      <c r="CR308" s="69"/>
      <c r="CS308" s="69"/>
      <c r="CT308" s="69"/>
      <c r="CU308" s="69"/>
      <c r="CV308" s="69"/>
      <c r="CW308" s="69"/>
      <c r="CX308" s="69"/>
      <c r="CY308" s="69"/>
      <c r="CZ308" s="69"/>
      <c r="DA308" s="69"/>
      <c r="DB308" s="69"/>
      <c r="DC308" s="69"/>
      <c r="DD308" s="69"/>
      <c r="DE308" s="69"/>
      <c r="DF308" s="69"/>
      <c r="DG308" s="69"/>
      <c r="DH308" s="69"/>
      <c r="DI308" s="69"/>
      <c r="DJ308" s="69"/>
      <c r="DK308" s="69"/>
      <c r="DL308" s="69"/>
      <c r="DM308" s="69"/>
      <c r="DN308" s="69"/>
      <c r="DO308" s="69"/>
      <c r="DP308" s="69"/>
      <c r="DQ308" s="69"/>
      <c r="DR308" s="69"/>
      <c r="DS308" s="69"/>
      <c r="DT308" s="69"/>
      <c r="DU308" s="69"/>
    </row>
    <row r="309" ht="15.75" customHeight="1">
      <c r="A309" s="69"/>
      <c r="B309" s="69"/>
      <c r="C309" s="69"/>
      <c r="D309" s="4"/>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c r="AW309" s="69"/>
      <c r="AX309" s="69"/>
      <c r="AY309" s="69"/>
      <c r="AZ309" s="69"/>
      <c r="BA309" s="69"/>
      <c r="BB309" s="69"/>
      <c r="BC309" s="69"/>
      <c r="BD309" s="69"/>
      <c r="BE309" s="69"/>
      <c r="BF309" s="69"/>
      <c r="BG309" s="69"/>
      <c r="BH309" s="69"/>
      <c r="BI309" s="69"/>
      <c r="BJ309" s="69"/>
      <c r="BK309" s="69"/>
      <c r="BL309" s="69"/>
      <c r="BM309" s="69"/>
      <c r="BN309" s="69"/>
      <c r="BO309" s="69"/>
      <c r="BP309" s="69"/>
      <c r="BQ309" s="69"/>
      <c r="BR309" s="69"/>
      <c r="BS309" s="69"/>
      <c r="BT309" s="69"/>
      <c r="BU309" s="69"/>
      <c r="BV309" s="69"/>
      <c r="BW309" s="69"/>
      <c r="BX309" s="69"/>
      <c r="BY309" s="69"/>
      <c r="BZ309" s="69"/>
      <c r="CA309" s="69"/>
      <c r="CB309" s="69"/>
      <c r="CC309" s="69"/>
      <c r="CD309" s="69"/>
      <c r="CE309" s="69"/>
      <c r="CF309" s="69"/>
      <c r="CG309" s="69"/>
      <c r="CH309" s="69"/>
      <c r="CI309" s="69"/>
      <c r="CJ309" s="69"/>
      <c r="CK309" s="69"/>
      <c r="CL309" s="69"/>
      <c r="CM309" s="69"/>
      <c r="CN309" s="69"/>
      <c r="CO309" s="69"/>
      <c r="CP309" s="69"/>
      <c r="CQ309" s="69"/>
      <c r="CR309" s="69"/>
      <c r="CS309" s="69"/>
      <c r="CT309" s="69"/>
      <c r="CU309" s="69"/>
      <c r="CV309" s="69"/>
      <c r="CW309" s="69"/>
      <c r="CX309" s="69"/>
      <c r="CY309" s="69"/>
      <c r="CZ309" s="69"/>
      <c r="DA309" s="69"/>
      <c r="DB309" s="69"/>
      <c r="DC309" s="69"/>
      <c r="DD309" s="69"/>
      <c r="DE309" s="69"/>
      <c r="DF309" s="69"/>
      <c r="DG309" s="69"/>
      <c r="DH309" s="69"/>
      <c r="DI309" s="69"/>
      <c r="DJ309" s="69"/>
      <c r="DK309" s="69"/>
      <c r="DL309" s="69"/>
      <c r="DM309" s="69"/>
      <c r="DN309" s="69"/>
      <c r="DO309" s="69"/>
      <c r="DP309" s="69"/>
      <c r="DQ309" s="69"/>
      <c r="DR309" s="69"/>
      <c r="DS309" s="69"/>
      <c r="DT309" s="69"/>
      <c r="DU309" s="69"/>
    </row>
    <row r="310" ht="15.75" customHeight="1">
      <c r="A310" s="69"/>
      <c r="B310" s="69"/>
      <c r="C310" s="69"/>
      <c r="D310" s="4"/>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c r="BN310" s="69"/>
      <c r="BO310" s="69"/>
      <c r="BP310" s="69"/>
      <c r="BQ310" s="69"/>
      <c r="BR310" s="69"/>
      <c r="BS310" s="69"/>
      <c r="BT310" s="69"/>
      <c r="BU310" s="69"/>
      <c r="BV310" s="69"/>
      <c r="BW310" s="69"/>
      <c r="BX310" s="69"/>
      <c r="BY310" s="69"/>
      <c r="BZ310" s="69"/>
      <c r="CA310" s="69"/>
      <c r="CB310" s="69"/>
      <c r="CC310" s="69"/>
      <c r="CD310" s="69"/>
      <c r="CE310" s="69"/>
      <c r="CF310" s="69"/>
      <c r="CG310" s="69"/>
      <c r="CH310" s="69"/>
      <c r="CI310" s="69"/>
      <c r="CJ310" s="69"/>
      <c r="CK310" s="69"/>
      <c r="CL310" s="69"/>
      <c r="CM310" s="69"/>
      <c r="CN310" s="69"/>
      <c r="CO310" s="69"/>
      <c r="CP310" s="69"/>
      <c r="CQ310" s="69"/>
      <c r="CR310" s="69"/>
      <c r="CS310" s="69"/>
      <c r="CT310" s="69"/>
      <c r="CU310" s="69"/>
      <c r="CV310" s="69"/>
      <c r="CW310" s="69"/>
      <c r="CX310" s="69"/>
      <c r="CY310" s="69"/>
      <c r="CZ310" s="69"/>
      <c r="DA310" s="69"/>
      <c r="DB310" s="69"/>
      <c r="DC310" s="69"/>
      <c r="DD310" s="69"/>
      <c r="DE310" s="69"/>
      <c r="DF310" s="69"/>
      <c r="DG310" s="69"/>
      <c r="DH310" s="69"/>
      <c r="DI310" s="69"/>
      <c r="DJ310" s="69"/>
      <c r="DK310" s="69"/>
      <c r="DL310" s="69"/>
      <c r="DM310" s="69"/>
      <c r="DN310" s="69"/>
      <c r="DO310" s="69"/>
      <c r="DP310" s="69"/>
      <c r="DQ310" s="69"/>
      <c r="DR310" s="69"/>
      <c r="DS310" s="69"/>
      <c r="DT310" s="69"/>
      <c r="DU310" s="69"/>
    </row>
    <row r="311" ht="15.75" customHeight="1">
      <c r="A311" s="69"/>
      <c r="B311" s="69"/>
      <c r="C311" s="69"/>
      <c r="D311" s="4"/>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c r="AW311" s="69"/>
      <c r="AX311" s="69"/>
      <c r="AY311" s="69"/>
      <c r="AZ311" s="69"/>
      <c r="BA311" s="69"/>
      <c r="BB311" s="69"/>
      <c r="BC311" s="69"/>
      <c r="BD311" s="69"/>
      <c r="BE311" s="69"/>
      <c r="BF311" s="69"/>
      <c r="BG311" s="69"/>
      <c r="BH311" s="69"/>
      <c r="BI311" s="69"/>
      <c r="BJ311" s="69"/>
      <c r="BK311" s="69"/>
      <c r="BL311" s="69"/>
      <c r="BM311" s="69"/>
      <c r="BN311" s="69"/>
      <c r="BO311" s="69"/>
      <c r="BP311" s="69"/>
      <c r="BQ311" s="69"/>
      <c r="BR311" s="69"/>
      <c r="BS311" s="69"/>
      <c r="BT311" s="69"/>
      <c r="BU311" s="69"/>
      <c r="BV311" s="69"/>
      <c r="BW311" s="69"/>
      <c r="BX311" s="69"/>
      <c r="BY311" s="69"/>
      <c r="BZ311" s="69"/>
      <c r="CA311" s="69"/>
      <c r="CB311" s="69"/>
      <c r="CC311" s="69"/>
      <c r="CD311" s="69"/>
      <c r="CE311" s="69"/>
      <c r="CF311" s="69"/>
      <c r="CG311" s="69"/>
      <c r="CH311" s="69"/>
      <c r="CI311" s="69"/>
      <c r="CJ311" s="69"/>
      <c r="CK311" s="69"/>
      <c r="CL311" s="69"/>
      <c r="CM311" s="69"/>
      <c r="CN311" s="69"/>
      <c r="CO311" s="69"/>
      <c r="CP311" s="69"/>
      <c r="CQ311" s="69"/>
      <c r="CR311" s="69"/>
      <c r="CS311" s="69"/>
      <c r="CT311" s="69"/>
      <c r="CU311" s="69"/>
      <c r="CV311" s="69"/>
      <c r="CW311" s="69"/>
      <c r="CX311" s="69"/>
      <c r="CY311" s="69"/>
      <c r="CZ311" s="69"/>
      <c r="DA311" s="69"/>
      <c r="DB311" s="69"/>
      <c r="DC311" s="69"/>
      <c r="DD311" s="69"/>
      <c r="DE311" s="69"/>
      <c r="DF311" s="69"/>
      <c r="DG311" s="69"/>
      <c r="DH311" s="69"/>
      <c r="DI311" s="69"/>
      <c r="DJ311" s="69"/>
      <c r="DK311" s="69"/>
      <c r="DL311" s="69"/>
      <c r="DM311" s="69"/>
      <c r="DN311" s="69"/>
      <c r="DO311" s="69"/>
      <c r="DP311" s="69"/>
      <c r="DQ311" s="69"/>
      <c r="DR311" s="69"/>
      <c r="DS311" s="69"/>
      <c r="DT311" s="69"/>
      <c r="DU311" s="69"/>
    </row>
    <row r="312" ht="15.75" customHeight="1">
      <c r="A312" s="69"/>
      <c r="B312" s="69"/>
      <c r="C312" s="69"/>
      <c r="D312" s="4"/>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c r="AZ312" s="69"/>
      <c r="BA312" s="69"/>
      <c r="BB312" s="69"/>
      <c r="BC312" s="69"/>
      <c r="BD312" s="69"/>
      <c r="BE312" s="69"/>
      <c r="BF312" s="69"/>
      <c r="BG312" s="69"/>
      <c r="BH312" s="69"/>
      <c r="BI312" s="69"/>
      <c r="BJ312" s="69"/>
      <c r="BK312" s="69"/>
      <c r="BL312" s="69"/>
      <c r="BM312" s="69"/>
      <c r="BN312" s="69"/>
      <c r="BO312" s="69"/>
      <c r="BP312" s="69"/>
      <c r="BQ312" s="69"/>
      <c r="BR312" s="69"/>
      <c r="BS312" s="69"/>
      <c r="BT312" s="69"/>
      <c r="BU312" s="69"/>
      <c r="BV312" s="69"/>
      <c r="BW312" s="69"/>
      <c r="BX312" s="69"/>
      <c r="BY312" s="69"/>
      <c r="BZ312" s="69"/>
      <c r="CA312" s="69"/>
      <c r="CB312" s="69"/>
      <c r="CC312" s="69"/>
      <c r="CD312" s="69"/>
      <c r="CE312" s="69"/>
      <c r="CF312" s="69"/>
      <c r="CG312" s="69"/>
      <c r="CH312" s="69"/>
      <c r="CI312" s="69"/>
      <c r="CJ312" s="69"/>
      <c r="CK312" s="69"/>
      <c r="CL312" s="69"/>
      <c r="CM312" s="69"/>
      <c r="CN312" s="69"/>
      <c r="CO312" s="69"/>
      <c r="CP312" s="69"/>
      <c r="CQ312" s="69"/>
      <c r="CR312" s="69"/>
      <c r="CS312" s="69"/>
      <c r="CT312" s="69"/>
      <c r="CU312" s="69"/>
      <c r="CV312" s="69"/>
      <c r="CW312" s="69"/>
      <c r="CX312" s="69"/>
      <c r="CY312" s="69"/>
      <c r="CZ312" s="69"/>
      <c r="DA312" s="69"/>
      <c r="DB312" s="69"/>
      <c r="DC312" s="69"/>
      <c r="DD312" s="69"/>
      <c r="DE312" s="69"/>
      <c r="DF312" s="69"/>
      <c r="DG312" s="69"/>
      <c r="DH312" s="69"/>
      <c r="DI312" s="69"/>
      <c r="DJ312" s="69"/>
      <c r="DK312" s="69"/>
      <c r="DL312" s="69"/>
      <c r="DM312" s="69"/>
      <c r="DN312" s="69"/>
      <c r="DO312" s="69"/>
      <c r="DP312" s="69"/>
      <c r="DQ312" s="69"/>
      <c r="DR312" s="69"/>
      <c r="DS312" s="69"/>
      <c r="DT312" s="69"/>
      <c r="DU312" s="69"/>
    </row>
    <row r="313" ht="15.75" customHeight="1">
      <c r="A313" s="69"/>
      <c r="B313" s="69"/>
      <c r="C313" s="69"/>
      <c r="D313" s="4"/>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c r="AZ313" s="69"/>
      <c r="BA313" s="69"/>
      <c r="BB313" s="69"/>
      <c r="BC313" s="69"/>
      <c r="BD313" s="69"/>
      <c r="BE313" s="69"/>
      <c r="BF313" s="69"/>
      <c r="BG313" s="69"/>
      <c r="BH313" s="69"/>
      <c r="BI313" s="69"/>
      <c r="BJ313" s="69"/>
      <c r="BK313" s="69"/>
      <c r="BL313" s="69"/>
      <c r="BM313" s="69"/>
      <c r="BN313" s="69"/>
      <c r="BO313" s="69"/>
      <c r="BP313" s="69"/>
      <c r="BQ313" s="69"/>
      <c r="BR313" s="69"/>
      <c r="BS313" s="69"/>
      <c r="BT313" s="69"/>
      <c r="BU313" s="69"/>
      <c r="BV313" s="69"/>
      <c r="BW313" s="69"/>
      <c r="BX313" s="69"/>
      <c r="BY313" s="69"/>
      <c r="BZ313" s="69"/>
      <c r="CA313" s="69"/>
      <c r="CB313" s="69"/>
      <c r="CC313" s="69"/>
      <c r="CD313" s="69"/>
      <c r="CE313" s="69"/>
      <c r="CF313" s="69"/>
      <c r="CG313" s="69"/>
      <c r="CH313" s="69"/>
      <c r="CI313" s="69"/>
      <c r="CJ313" s="69"/>
      <c r="CK313" s="69"/>
      <c r="CL313" s="69"/>
      <c r="CM313" s="69"/>
      <c r="CN313" s="69"/>
      <c r="CO313" s="69"/>
      <c r="CP313" s="69"/>
      <c r="CQ313" s="69"/>
      <c r="CR313" s="69"/>
      <c r="CS313" s="69"/>
      <c r="CT313" s="69"/>
      <c r="CU313" s="69"/>
      <c r="CV313" s="69"/>
      <c r="CW313" s="69"/>
      <c r="CX313" s="69"/>
      <c r="CY313" s="69"/>
      <c r="CZ313" s="69"/>
      <c r="DA313" s="69"/>
      <c r="DB313" s="69"/>
      <c r="DC313" s="69"/>
      <c r="DD313" s="69"/>
      <c r="DE313" s="69"/>
      <c r="DF313" s="69"/>
      <c r="DG313" s="69"/>
      <c r="DH313" s="69"/>
      <c r="DI313" s="69"/>
      <c r="DJ313" s="69"/>
      <c r="DK313" s="69"/>
      <c r="DL313" s="69"/>
      <c r="DM313" s="69"/>
      <c r="DN313" s="69"/>
      <c r="DO313" s="69"/>
      <c r="DP313" s="69"/>
      <c r="DQ313" s="69"/>
      <c r="DR313" s="69"/>
      <c r="DS313" s="69"/>
      <c r="DT313" s="69"/>
      <c r="DU313" s="69"/>
    </row>
    <row r="314" ht="15.75" customHeight="1">
      <c r="A314" s="69"/>
      <c r="B314" s="69"/>
      <c r="C314" s="69"/>
      <c r="D314" s="4"/>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c r="BN314" s="69"/>
      <c r="BO314" s="69"/>
      <c r="BP314" s="69"/>
      <c r="BQ314" s="69"/>
      <c r="BR314" s="69"/>
      <c r="BS314" s="69"/>
      <c r="BT314" s="69"/>
      <c r="BU314" s="69"/>
      <c r="BV314" s="69"/>
      <c r="BW314" s="69"/>
      <c r="BX314" s="69"/>
      <c r="BY314" s="69"/>
      <c r="BZ314" s="69"/>
      <c r="CA314" s="69"/>
      <c r="CB314" s="69"/>
      <c r="CC314" s="69"/>
      <c r="CD314" s="69"/>
      <c r="CE314" s="69"/>
      <c r="CF314" s="69"/>
      <c r="CG314" s="69"/>
      <c r="CH314" s="69"/>
      <c r="CI314" s="69"/>
      <c r="CJ314" s="69"/>
      <c r="CK314" s="69"/>
      <c r="CL314" s="69"/>
      <c r="CM314" s="69"/>
      <c r="CN314" s="69"/>
      <c r="CO314" s="69"/>
      <c r="CP314" s="69"/>
      <c r="CQ314" s="69"/>
      <c r="CR314" s="69"/>
      <c r="CS314" s="69"/>
      <c r="CT314" s="69"/>
      <c r="CU314" s="69"/>
      <c r="CV314" s="69"/>
      <c r="CW314" s="69"/>
      <c r="CX314" s="69"/>
      <c r="CY314" s="69"/>
      <c r="CZ314" s="69"/>
      <c r="DA314" s="69"/>
      <c r="DB314" s="69"/>
      <c r="DC314" s="69"/>
      <c r="DD314" s="69"/>
      <c r="DE314" s="69"/>
      <c r="DF314" s="69"/>
      <c r="DG314" s="69"/>
      <c r="DH314" s="69"/>
      <c r="DI314" s="69"/>
      <c r="DJ314" s="69"/>
      <c r="DK314" s="69"/>
      <c r="DL314" s="69"/>
      <c r="DM314" s="69"/>
      <c r="DN314" s="69"/>
      <c r="DO314" s="69"/>
      <c r="DP314" s="69"/>
      <c r="DQ314" s="69"/>
      <c r="DR314" s="69"/>
      <c r="DS314" s="69"/>
      <c r="DT314" s="69"/>
      <c r="DU314" s="69"/>
    </row>
    <row r="315" ht="15.75" customHeight="1">
      <c r="A315" s="69"/>
      <c r="B315" s="69"/>
      <c r="C315" s="69"/>
      <c r="D315" s="4"/>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c r="AW315" s="69"/>
      <c r="AX315" s="69"/>
      <c r="AY315" s="69"/>
      <c r="AZ315" s="69"/>
      <c r="BA315" s="69"/>
      <c r="BB315" s="69"/>
      <c r="BC315" s="69"/>
      <c r="BD315" s="69"/>
      <c r="BE315" s="69"/>
      <c r="BF315" s="69"/>
      <c r="BG315" s="69"/>
      <c r="BH315" s="69"/>
      <c r="BI315" s="69"/>
      <c r="BJ315" s="69"/>
      <c r="BK315" s="69"/>
      <c r="BL315" s="69"/>
      <c r="BM315" s="69"/>
      <c r="BN315" s="69"/>
      <c r="BO315" s="69"/>
      <c r="BP315" s="69"/>
      <c r="BQ315" s="69"/>
      <c r="BR315" s="69"/>
      <c r="BS315" s="69"/>
      <c r="BT315" s="69"/>
      <c r="BU315" s="69"/>
      <c r="BV315" s="69"/>
      <c r="BW315" s="69"/>
      <c r="BX315" s="69"/>
      <c r="BY315" s="69"/>
      <c r="BZ315" s="69"/>
      <c r="CA315" s="69"/>
      <c r="CB315" s="69"/>
      <c r="CC315" s="69"/>
      <c r="CD315" s="69"/>
      <c r="CE315" s="69"/>
      <c r="CF315" s="69"/>
      <c r="CG315" s="69"/>
      <c r="CH315" s="69"/>
      <c r="CI315" s="69"/>
      <c r="CJ315" s="69"/>
      <c r="CK315" s="69"/>
      <c r="CL315" s="69"/>
      <c r="CM315" s="69"/>
      <c r="CN315" s="69"/>
      <c r="CO315" s="69"/>
      <c r="CP315" s="69"/>
      <c r="CQ315" s="69"/>
      <c r="CR315" s="69"/>
      <c r="CS315" s="69"/>
      <c r="CT315" s="69"/>
      <c r="CU315" s="69"/>
      <c r="CV315" s="69"/>
      <c r="CW315" s="69"/>
      <c r="CX315" s="69"/>
      <c r="CY315" s="69"/>
      <c r="CZ315" s="69"/>
      <c r="DA315" s="69"/>
      <c r="DB315" s="69"/>
      <c r="DC315" s="69"/>
      <c r="DD315" s="69"/>
      <c r="DE315" s="69"/>
      <c r="DF315" s="69"/>
      <c r="DG315" s="69"/>
      <c r="DH315" s="69"/>
      <c r="DI315" s="69"/>
      <c r="DJ315" s="69"/>
      <c r="DK315" s="69"/>
      <c r="DL315" s="69"/>
      <c r="DM315" s="69"/>
      <c r="DN315" s="69"/>
      <c r="DO315" s="69"/>
      <c r="DP315" s="69"/>
      <c r="DQ315" s="69"/>
      <c r="DR315" s="69"/>
      <c r="DS315" s="69"/>
      <c r="DT315" s="69"/>
      <c r="DU315" s="69"/>
    </row>
    <row r="316" ht="15.75" customHeight="1">
      <c r="A316" s="69"/>
      <c r="B316" s="69"/>
      <c r="C316" s="69"/>
      <c r="D316" s="4"/>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c r="BN316" s="69"/>
      <c r="BO316" s="69"/>
      <c r="BP316" s="69"/>
      <c r="BQ316" s="69"/>
      <c r="BR316" s="69"/>
      <c r="BS316" s="69"/>
      <c r="BT316" s="69"/>
      <c r="BU316" s="69"/>
      <c r="BV316" s="69"/>
      <c r="BW316" s="69"/>
      <c r="BX316" s="69"/>
      <c r="BY316" s="69"/>
      <c r="BZ316" s="69"/>
      <c r="CA316" s="69"/>
      <c r="CB316" s="69"/>
      <c r="CC316" s="69"/>
      <c r="CD316" s="69"/>
      <c r="CE316" s="69"/>
      <c r="CF316" s="69"/>
      <c r="CG316" s="69"/>
      <c r="CH316" s="69"/>
      <c r="CI316" s="69"/>
      <c r="CJ316" s="69"/>
      <c r="CK316" s="69"/>
      <c r="CL316" s="69"/>
      <c r="CM316" s="69"/>
      <c r="CN316" s="69"/>
      <c r="CO316" s="69"/>
      <c r="CP316" s="69"/>
      <c r="CQ316" s="69"/>
      <c r="CR316" s="69"/>
      <c r="CS316" s="69"/>
      <c r="CT316" s="69"/>
      <c r="CU316" s="69"/>
      <c r="CV316" s="69"/>
      <c r="CW316" s="69"/>
      <c r="CX316" s="69"/>
      <c r="CY316" s="69"/>
      <c r="CZ316" s="69"/>
      <c r="DA316" s="69"/>
      <c r="DB316" s="69"/>
      <c r="DC316" s="69"/>
      <c r="DD316" s="69"/>
      <c r="DE316" s="69"/>
      <c r="DF316" s="69"/>
      <c r="DG316" s="69"/>
      <c r="DH316" s="69"/>
      <c r="DI316" s="69"/>
      <c r="DJ316" s="69"/>
      <c r="DK316" s="69"/>
      <c r="DL316" s="69"/>
      <c r="DM316" s="69"/>
      <c r="DN316" s="69"/>
      <c r="DO316" s="69"/>
      <c r="DP316" s="69"/>
      <c r="DQ316" s="69"/>
      <c r="DR316" s="69"/>
      <c r="DS316" s="69"/>
      <c r="DT316" s="69"/>
      <c r="DU316" s="69"/>
    </row>
    <row r="317" ht="15.75" customHeight="1">
      <c r="A317" s="69"/>
      <c r="B317" s="69"/>
      <c r="C317" s="69"/>
      <c r="D317" s="4"/>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c r="BO317" s="69"/>
      <c r="BP317" s="69"/>
      <c r="BQ317" s="69"/>
      <c r="BR317" s="69"/>
      <c r="BS317" s="69"/>
      <c r="BT317" s="69"/>
      <c r="BU317" s="69"/>
      <c r="BV317" s="69"/>
      <c r="BW317" s="69"/>
      <c r="BX317" s="69"/>
      <c r="BY317" s="69"/>
      <c r="BZ317" s="69"/>
      <c r="CA317" s="69"/>
      <c r="CB317" s="69"/>
      <c r="CC317" s="69"/>
      <c r="CD317" s="69"/>
      <c r="CE317" s="69"/>
      <c r="CF317" s="69"/>
      <c r="CG317" s="69"/>
      <c r="CH317" s="69"/>
      <c r="CI317" s="69"/>
      <c r="CJ317" s="69"/>
      <c r="CK317" s="69"/>
      <c r="CL317" s="69"/>
      <c r="CM317" s="69"/>
      <c r="CN317" s="69"/>
      <c r="CO317" s="69"/>
      <c r="CP317" s="69"/>
      <c r="CQ317" s="69"/>
      <c r="CR317" s="69"/>
      <c r="CS317" s="69"/>
      <c r="CT317" s="69"/>
      <c r="CU317" s="69"/>
      <c r="CV317" s="69"/>
      <c r="CW317" s="69"/>
      <c r="CX317" s="69"/>
      <c r="CY317" s="69"/>
      <c r="CZ317" s="69"/>
      <c r="DA317" s="69"/>
      <c r="DB317" s="69"/>
      <c r="DC317" s="69"/>
      <c r="DD317" s="69"/>
      <c r="DE317" s="69"/>
      <c r="DF317" s="69"/>
      <c r="DG317" s="69"/>
      <c r="DH317" s="69"/>
      <c r="DI317" s="69"/>
      <c r="DJ317" s="69"/>
      <c r="DK317" s="69"/>
      <c r="DL317" s="69"/>
      <c r="DM317" s="69"/>
      <c r="DN317" s="69"/>
      <c r="DO317" s="69"/>
      <c r="DP317" s="69"/>
      <c r="DQ317" s="69"/>
      <c r="DR317" s="69"/>
      <c r="DS317" s="69"/>
      <c r="DT317" s="69"/>
      <c r="DU317" s="69"/>
    </row>
    <row r="318" ht="15.75" customHeight="1">
      <c r="A318" s="69"/>
      <c r="B318" s="69"/>
      <c r="C318" s="69"/>
      <c r="D318" s="4"/>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c r="BN318" s="69"/>
      <c r="BO318" s="69"/>
      <c r="BP318" s="69"/>
      <c r="BQ318" s="69"/>
      <c r="BR318" s="69"/>
      <c r="BS318" s="69"/>
      <c r="BT318" s="69"/>
      <c r="BU318" s="69"/>
      <c r="BV318" s="69"/>
      <c r="BW318" s="69"/>
      <c r="BX318" s="69"/>
      <c r="BY318" s="69"/>
      <c r="BZ318" s="69"/>
      <c r="CA318" s="69"/>
      <c r="CB318" s="69"/>
      <c r="CC318" s="69"/>
      <c r="CD318" s="69"/>
      <c r="CE318" s="69"/>
      <c r="CF318" s="69"/>
      <c r="CG318" s="69"/>
      <c r="CH318" s="69"/>
      <c r="CI318" s="69"/>
      <c r="CJ318" s="69"/>
      <c r="CK318" s="69"/>
      <c r="CL318" s="69"/>
      <c r="CM318" s="69"/>
      <c r="CN318" s="69"/>
      <c r="CO318" s="69"/>
      <c r="CP318" s="69"/>
      <c r="CQ318" s="69"/>
      <c r="CR318" s="69"/>
      <c r="CS318" s="69"/>
      <c r="CT318" s="69"/>
      <c r="CU318" s="69"/>
      <c r="CV318" s="69"/>
      <c r="CW318" s="69"/>
      <c r="CX318" s="69"/>
      <c r="CY318" s="69"/>
      <c r="CZ318" s="69"/>
      <c r="DA318" s="69"/>
      <c r="DB318" s="69"/>
      <c r="DC318" s="69"/>
      <c r="DD318" s="69"/>
      <c r="DE318" s="69"/>
      <c r="DF318" s="69"/>
      <c r="DG318" s="69"/>
      <c r="DH318" s="69"/>
      <c r="DI318" s="69"/>
      <c r="DJ318" s="69"/>
      <c r="DK318" s="69"/>
      <c r="DL318" s="69"/>
      <c r="DM318" s="69"/>
      <c r="DN318" s="69"/>
      <c r="DO318" s="69"/>
      <c r="DP318" s="69"/>
      <c r="DQ318" s="69"/>
      <c r="DR318" s="69"/>
      <c r="DS318" s="69"/>
      <c r="DT318" s="69"/>
      <c r="DU318" s="69"/>
    </row>
    <row r="319" ht="15.75" customHeight="1">
      <c r="A319" s="69"/>
      <c r="B319" s="69"/>
      <c r="C319" s="69"/>
      <c r="D319" s="4"/>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c r="AW319" s="69"/>
      <c r="AX319" s="69"/>
      <c r="AY319" s="69"/>
      <c r="AZ319" s="69"/>
      <c r="BA319" s="69"/>
      <c r="BB319" s="69"/>
      <c r="BC319" s="69"/>
      <c r="BD319" s="69"/>
      <c r="BE319" s="69"/>
      <c r="BF319" s="69"/>
      <c r="BG319" s="69"/>
      <c r="BH319" s="69"/>
      <c r="BI319" s="69"/>
      <c r="BJ319" s="69"/>
      <c r="BK319" s="69"/>
      <c r="BL319" s="69"/>
      <c r="BM319" s="69"/>
      <c r="BN319" s="69"/>
      <c r="BO319" s="69"/>
      <c r="BP319" s="69"/>
      <c r="BQ319" s="69"/>
      <c r="BR319" s="69"/>
      <c r="BS319" s="69"/>
      <c r="BT319" s="69"/>
      <c r="BU319" s="69"/>
      <c r="BV319" s="69"/>
      <c r="BW319" s="69"/>
      <c r="BX319" s="69"/>
      <c r="BY319" s="69"/>
      <c r="BZ319" s="69"/>
      <c r="CA319" s="69"/>
      <c r="CB319" s="69"/>
      <c r="CC319" s="69"/>
      <c r="CD319" s="69"/>
      <c r="CE319" s="69"/>
      <c r="CF319" s="69"/>
      <c r="CG319" s="69"/>
      <c r="CH319" s="69"/>
      <c r="CI319" s="69"/>
      <c r="CJ319" s="69"/>
      <c r="CK319" s="69"/>
      <c r="CL319" s="69"/>
      <c r="CM319" s="69"/>
      <c r="CN319" s="69"/>
      <c r="CO319" s="69"/>
      <c r="CP319" s="69"/>
      <c r="CQ319" s="69"/>
      <c r="CR319" s="69"/>
      <c r="CS319" s="69"/>
      <c r="CT319" s="69"/>
      <c r="CU319" s="69"/>
      <c r="CV319" s="69"/>
      <c r="CW319" s="69"/>
      <c r="CX319" s="69"/>
      <c r="CY319" s="69"/>
      <c r="CZ319" s="69"/>
      <c r="DA319" s="69"/>
      <c r="DB319" s="69"/>
      <c r="DC319" s="69"/>
      <c r="DD319" s="69"/>
      <c r="DE319" s="69"/>
      <c r="DF319" s="69"/>
      <c r="DG319" s="69"/>
      <c r="DH319" s="69"/>
      <c r="DI319" s="69"/>
      <c r="DJ319" s="69"/>
      <c r="DK319" s="69"/>
      <c r="DL319" s="69"/>
      <c r="DM319" s="69"/>
      <c r="DN319" s="69"/>
      <c r="DO319" s="69"/>
      <c r="DP319" s="69"/>
      <c r="DQ319" s="69"/>
      <c r="DR319" s="69"/>
      <c r="DS319" s="69"/>
      <c r="DT319" s="69"/>
      <c r="DU319" s="69"/>
    </row>
    <row r="320" ht="15.75" customHeight="1">
      <c r="A320" s="69"/>
      <c r="B320" s="69"/>
      <c r="C320" s="69"/>
      <c r="D320" s="4"/>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c r="AZ320" s="69"/>
      <c r="BA320" s="69"/>
      <c r="BB320" s="69"/>
      <c r="BC320" s="69"/>
      <c r="BD320" s="69"/>
      <c r="BE320" s="69"/>
      <c r="BF320" s="69"/>
      <c r="BG320" s="69"/>
      <c r="BH320" s="69"/>
      <c r="BI320" s="69"/>
      <c r="BJ320" s="69"/>
      <c r="BK320" s="69"/>
      <c r="BL320" s="69"/>
      <c r="BM320" s="69"/>
      <c r="BN320" s="69"/>
      <c r="BO320" s="69"/>
      <c r="BP320" s="69"/>
      <c r="BQ320" s="69"/>
      <c r="BR320" s="69"/>
      <c r="BS320" s="69"/>
      <c r="BT320" s="69"/>
      <c r="BU320" s="69"/>
      <c r="BV320" s="69"/>
      <c r="BW320" s="69"/>
      <c r="BX320" s="69"/>
      <c r="BY320" s="69"/>
      <c r="BZ320" s="69"/>
      <c r="CA320" s="69"/>
      <c r="CB320" s="69"/>
      <c r="CC320" s="69"/>
      <c r="CD320" s="69"/>
      <c r="CE320" s="69"/>
      <c r="CF320" s="69"/>
      <c r="CG320" s="69"/>
      <c r="CH320" s="69"/>
      <c r="CI320" s="69"/>
      <c r="CJ320" s="69"/>
      <c r="CK320" s="69"/>
      <c r="CL320" s="69"/>
      <c r="CM320" s="69"/>
      <c r="CN320" s="69"/>
      <c r="CO320" s="69"/>
      <c r="CP320" s="69"/>
      <c r="CQ320" s="69"/>
      <c r="CR320" s="69"/>
      <c r="CS320" s="69"/>
      <c r="CT320" s="69"/>
      <c r="CU320" s="69"/>
      <c r="CV320" s="69"/>
      <c r="CW320" s="69"/>
      <c r="CX320" s="69"/>
      <c r="CY320" s="69"/>
      <c r="CZ320" s="69"/>
      <c r="DA320" s="69"/>
      <c r="DB320" s="69"/>
      <c r="DC320" s="69"/>
      <c r="DD320" s="69"/>
      <c r="DE320" s="69"/>
      <c r="DF320" s="69"/>
      <c r="DG320" s="69"/>
      <c r="DH320" s="69"/>
      <c r="DI320" s="69"/>
      <c r="DJ320" s="69"/>
      <c r="DK320" s="69"/>
      <c r="DL320" s="69"/>
      <c r="DM320" s="69"/>
      <c r="DN320" s="69"/>
      <c r="DO320" s="69"/>
      <c r="DP320" s="69"/>
      <c r="DQ320" s="69"/>
      <c r="DR320" s="69"/>
      <c r="DS320" s="69"/>
      <c r="DT320" s="69"/>
      <c r="DU320" s="69"/>
    </row>
    <row r="321" ht="15.75" customHeight="1">
      <c r="A321" s="69"/>
      <c r="B321" s="69"/>
      <c r="C321" s="69"/>
      <c r="D321" s="4"/>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c r="AW321" s="69"/>
      <c r="AX321" s="69"/>
      <c r="AY321" s="69"/>
      <c r="AZ321" s="69"/>
      <c r="BA321" s="69"/>
      <c r="BB321" s="69"/>
      <c r="BC321" s="69"/>
      <c r="BD321" s="69"/>
      <c r="BE321" s="69"/>
      <c r="BF321" s="69"/>
      <c r="BG321" s="69"/>
      <c r="BH321" s="69"/>
      <c r="BI321" s="69"/>
      <c r="BJ321" s="69"/>
      <c r="BK321" s="69"/>
      <c r="BL321" s="69"/>
      <c r="BM321" s="69"/>
      <c r="BN321" s="69"/>
      <c r="BO321" s="69"/>
      <c r="BP321" s="69"/>
      <c r="BQ321" s="69"/>
      <c r="BR321" s="69"/>
      <c r="BS321" s="69"/>
      <c r="BT321" s="69"/>
      <c r="BU321" s="69"/>
      <c r="BV321" s="69"/>
      <c r="BW321" s="69"/>
      <c r="BX321" s="69"/>
      <c r="BY321" s="69"/>
      <c r="BZ321" s="69"/>
      <c r="CA321" s="69"/>
      <c r="CB321" s="69"/>
      <c r="CC321" s="69"/>
      <c r="CD321" s="69"/>
      <c r="CE321" s="69"/>
      <c r="CF321" s="69"/>
      <c r="CG321" s="69"/>
      <c r="CH321" s="69"/>
      <c r="CI321" s="69"/>
      <c r="CJ321" s="69"/>
      <c r="CK321" s="69"/>
      <c r="CL321" s="69"/>
      <c r="CM321" s="69"/>
      <c r="CN321" s="69"/>
      <c r="CO321" s="69"/>
      <c r="CP321" s="69"/>
      <c r="CQ321" s="69"/>
      <c r="CR321" s="69"/>
      <c r="CS321" s="69"/>
      <c r="CT321" s="69"/>
      <c r="CU321" s="69"/>
      <c r="CV321" s="69"/>
      <c r="CW321" s="69"/>
      <c r="CX321" s="69"/>
      <c r="CY321" s="69"/>
      <c r="CZ321" s="69"/>
      <c r="DA321" s="69"/>
      <c r="DB321" s="69"/>
      <c r="DC321" s="69"/>
      <c r="DD321" s="69"/>
      <c r="DE321" s="69"/>
      <c r="DF321" s="69"/>
      <c r="DG321" s="69"/>
      <c r="DH321" s="69"/>
      <c r="DI321" s="69"/>
      <c r="DJ321" s="69"/>
      <c r="DK321" s="69"/>
      <c r="DL321" s="69"/>
      <c r="DM321" s="69"/>
      <c r="DN321" s="69"/>
      <c r="DO321" s="69"/>
      <c r="DP321" s="69"/>
      <c r="DQ321" s="69"/>
      <c r="DR321" s="69"/>
      <c r="DS321" s="69"/>
      <c r="DT321" s="69"/>
      <c r="DU321" s="69"/>
    </row>
    <row r="322" ht="15.75" customHeight="1">
      <c r="A322" s="69"/>
      <c r="B322" s="69"/>
      <c r="C322" s="69"/>
      <c r="D322" s="4"/>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69"/>
      <c r="BA322" s="69"/>
      <c r="BB322" s="69"/>
      <c r="BC322" s="69"/>
      <c r="BD322" s="69"/>
      <c r="BE322" s="69"/>
      <c r="BF322" s="69"/>
      <c r="BG322" s="69"/>
      <c r="BH322" s="69"/>
      <c r="BI322" s="69"/>
      <c r="BJ322" s="69"/>
      <c r="BK322" s="69"/>
      <c r="BL322" s="69"/>
      <c r="BM322" s="69"/>
      <c r="BN322" s="69"/>
      <c r="BO322" s="69"/>
      <c r="BP322" s="69"/>
      <c r="BQ322" s="69"/>
      <c r="BR322" s="69"/>
      <c r="BS322" s="69"/>
      <c r="BT322" s="69"/>
      <c r="BU322" s="69"/>
      <c r="BV322" s="69"/>
      <c r="BW322" s="69"/>
      <c r="BX322" s="69"/>
      <c r="BY322" s="69"/>
      <c r="BZ322" s="69"/>
      <c r="CA322" s="69"/>
      <c r="CB322" s="69"/>
      <c r="CC322" s="69"/>
      <c r="CD322" s="69"/>
      <c r="CE322" s="69"/>
      <c r="CF322" s="69"/>
      <c r="CG322" s="69"/>
      <c r="CH322" s="69"/>
      <c r="CI322" s="69"/>
      <c r="CJ322" s="69"/>
      <c r="CK322" s="69"/>
      <c r="CL322" s="69"/>
      <c r="CM322" s="69"/>
      <c r="CN322" s="69"/>
      <c r="CO322" s="69"/>
      <c r="CP322" s="69"/>
      <c r="CQ322" s="69"/>
      <c r="CR322" s="69"/>
      <c r="CS322" s="69"/>
      <c r="CT322" s="69"/>
      <c r="CU322" s="69"/>
      <c r="CV322" s="69"/>
      <c r="CW322" s="69"/>
      <c r="CX322" s="69"/>
      <c r="CY322" s="69"/>
      <c r="CZ322" s="69"/>
      <c r="DA322" s="69"/>
      <c r="DB322" s="69"/>
      <c r="DC322" s="69"/>
      <c r="DD322" s="69"/>
      <c r="DE322" s="69"/>
      <c r="DF322" s="69"/>
      <c r="DG322" s="69"/>
      <c r="DH322" s="69"/>
      <c r="DI322" s="69"/>
      <c r="DJ322" s="69"/>
      <c r="DK322" s="69"/>
      <c r="DL322" s="69"/>
      <c r="DM322" s="69"/>
      <c r="DN322" s="69"/>
      <c r="DO322" s="69"/>
      <c r="DP322" s="69"/>
      <c r="DQ322" s="69"/>
      <c r="DR322" s="69"/>
      <c r="DS322" s="69"/>
      <c r="DT322" s="69"/>
      <c r="DU322" s="69"/>
    </row>
    <row r="323" ht="15.75" customHeight="1">
      <c r="A323" s="69"/>
      <c r="B323" s="69"/>
      <c r="C323" s="69"/>
      <c r="D323" s="4"/>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c r="AW323" s="69"/>
      <c r="AX323" s="69"/>
      <c r="AY323" s="69"/>
      <c r="AZ323" s="69"/>
      <c r="BA323" s="69"/>
      <c r="BB323" s="69"/>
      <c r="BC323" s="69"/>
      <c r="BD323" s="69"/>
      <c r="BE323" s="69"/>
      <c r="BF323" s="69"/>
      <c r="BG323" s="69"/>
      <c r="BH323" s="69"/>
      <c r="BI323" s="69"/>
      <c r="BJ323" s="69"/>
      <c r="BK323" s="69"/>
      <c r="BL323" s="69"/>
      <c r="BM323" s="69"/>
      <c r="BN323" s="69"/>
      <c r="BO323" s="69"/>
      <c r="BP323" s="69"/>
      <c r="BQ323" s="69"/>
      <c r="BR323" s="69"/>
      <c r="BS323" s="69"/>
      <c r="BT323" s="69"/>
      <c r="BU323" s="69"/>
      <c r="BV323" s="69"/>
      <c r="BW323" s="69"/>
      <c r="BX323" s="69"/>
      <c r="BY323" s="69"/>
      <c r="BZ323" s="69"/>
      <c r="CA323" s="69"/>
      <c r="CB323" s="69"/>
      <c r="CC323" s="69"/>
      <c r="CD323" s="69"/>
      <c r="CE323" s="69"/>
      <c r="CF323" s="69"/>
      <c r="CG323" s="69"/>
      <c r="CH323" s="69"/>
      <c r="CI323" s="69"/>
      <c r="CJ323" s="69"/>
      <c r="CK323" s="69"/>
      <c r="CL323" s="69"/>
      <c r="CM323" s="69"/>
      <c r="CN323" s="69"/>
      <c r="CO323" s="69"/>
      <c r="CP323" s="69"/>
      <c r="CQ323" s="69"/>
      <c r="CR323" s="69"/>
      <c r="CS323" s="69"/>
      <c r="CT323" s="69"/>
      <c r="CU323" s="69"/>
      <c r="CV323" s="69"/>
      <c r="CW323" s="69"/>
      <c r="CX323" s="69"/>
      <c r="CY323" s="69"/>
      <c r="CZ323" s="69"/>
      <c r="DA323" s="69"/>
      <c r="DB323" s="69"/>
      <c r="DC323" s="69"/>
      <c r="DD323" s="69"/>
      <c r="DE323" s="69"/>
      <c r="DF323" s="69"/>
      <c r="DG323" s="69"/>
      <c r="DH323" s="69"/>
      <c r="DI323" s="69"/>
      <c r="DJ323" s="69"/>
      <c r="DK323" s="69"/>
      <c r="DL323" s="69"/>
      <c r="DM323" s="69"/>
      <c r="DN323" s="69"/>
      <c r="DO323" s="69"/>
      <c r="DP323" s="69"/>
      <c r="DQ323" s="69"/>
      <c r="DR323" s="69"/>
      <c r="DS323" s="69"/>
      <c r="DT323" s="69"/>
      <c r="DU323" s="69"/>
    </row>
    <row r="324" ht="15.75" customHeight="1">
      <c r="A324" s="69"/>
      <c r="B324" s="69"/>
      <c r="C324" s="69"/>
      <c r="D324" s="4"/>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c r="BN324" s="69"/>
      <c r="BO324" s="69"/>
      <c r="BP324" s="69"/>
      <c r="BQ324" s="69"/>
      <c r="BR324" s="69"/>
      <c r="BS324" s="69"/>
      <c r="BT324" s="69"/>
      <c r="BU324" s="69"/>
      <c r="BV324" s="69"/>
      <c r="BW324" s="69"/>
      <c r="BX324" s="69"/>
      <c r="BY324" s="69"/>
      <c r="BZ324" s="69"/>
      <c r="CA324" s="69"/>
      <c r="CB324" s="69"/>
      <c r="CC324" s="69"/>
      <c r="CD324" s="69"/>
      <c r="CE324" s="69"/>
      <c r="CF324" s="69"/>
      <c r="CG324" s="69"/>
      <c r="CH324" s="69"/>
      <c r="CI324" s="69"/>
      <c r="CJ324" s="69"/>
      <c r="CK324" s="69"/>
      <c r="CL324" s="69"/>
      <c r="CM324" s="69"/>
      <c r="CN324" s="69"/>
      <c r="CO324" s="69"/>
      <c r="CP324" s="69"/>
      <c r="CQ324" s="69"/>
      <c r="CR324" s="69"/>
      <c r="CS324" s="69"/>
      <c r="CT324" s="69"/>
      <c r="CU324" s="69"/>
      <c r="CV324" s="69"/>
      <c r="CW324" s="69"/>
      <c r="CX324" s="69"/>
      <c r="CY324" s="69"/>
      <c r="CZ324" s="69"/>
      <c r="DA324" s="69"/>
      <c r="DB324" s="69"/>
      <c r="DC324" s="69"/>
      <c r="DD324" s="69"/>
      <c r="DE324" s="69"/>
      <c r="DF324" s="69"/>
      <c r="DG324" s="69"/>
      <c r="DH324" s="69"/>
      <c r="DI324" s="69"/>
      <c r="DJ324" s="69"/>
      <c r="DK324" s="69"/>
      <c r="DL324" s="69"/>
      <c r="DM324" s="69"/>
      <c r="DN324" s="69"/>
      <c r="DO324" s="69"/>
      <c r="DP324" s="69"/>
      <c r="DQ324" s="69"/>
      <c r="DR324" s="69"/>
      <c r="DS324" s="69"/>
      <c r="DT324" s="69"/>
      <c r="DU324" s="69"/>
    </row>
    <row r="325" ht="15.75" customHeight="1">
      <c r="A325" s="69"/>
      <c r="B325" s="69"/>
      <c r="C325" s="69"/>
      <c r="D325" s="4"/>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c r="AW325" s="69"/>
      <c r="AX325" s="69"/>
      <c r="AY325" s="69"/>
      <c r="AZ325" s="69"/>
      <c r="BA325" s="69"/>
      <c r="BB325" s="69"/>
      <c r="BC325" s="69"/>
      <c r="BD325" s="69"/>
      <c r="BE325" s="69"/>
      <c r="BF325" s="69"/>
      <c r="BG325" s="69"/>
      <c r="BH325" s="69"/>
      <c r="BI325" s="69"/>
      <c r="BJ325" s="69"/>
      <c r="BK325" s="69"/>
      <c r="BL325" s="69"/>
      <c r="BM325" s="69"/>
      <c r="BN325" s="69"/>
      <c r="BO325" s="69"/>
      <c r="BP325" s="69"/>
      <c r="BQ325" s="69"/>
      <c r="BR325" s="69"/>
      <c r="BS325" s="69"/>
      <c r="BT325" s="69"/>
      <c r="BU325" s="69"/>
      <c r="BV325" s="69"/>
      <c r="BW325" s="69"/>
      <c r="BX325" s="69"/>
      <c r="BY325" s="69"/>
      <c r="BZ325" s="69"/>
      <c r="CA325" s="69"/>
      <c r="CB325" s="69"/>
      <c r="CC325" s="69"/>
      <c r="CD325" s="69"/>
      <c r="CE325" s="69"/>
      <c r="CF325" s="69"/>
      <c r="CG325" s="69"/>
      <c r="CH325" s="69"/>
      <c r="CI325" s="69"/>
      <c r="CJ325" s="69"/>
      <c r="CK325" s="69"/>
      <c r="CL325" s="69"/>
      <c r="CM325" s="69"/>
      <c r="CN325" s="69"/>
      <c r="CO325" s="69"/>
      <c r="CP325" s="69"/>
      <c r="CQ325" s="69"/>
      <c r="CR325" s="69"/>
      <c r="CS325" s="69"/>
      <c r="CT325" s="69"/>
      <c r="CU325" s="69"/>
      <c r="CV325" s="69"/>
      <c r="CW325" s="69"/>
      <c r="CX325" s="69"/>
      <c r="CY325" s="69"/>
      <c r="CZ325" s="69"/>
      <c r="DA325" s="69"/>
      <c r="DB325" s="69"/>
      <c r="DC325" s="69"/>
      <c r="DD325" s="69"/>
      <c r="DE325" s="69"/>
      <c r="DF325" s="69"/>
      <c r="DG325" s="69"/>
      <c r="DH325" s="69"/>
      <c r="DI325" s="69"/>
      <c r="DJ325" s="69"/>
      <c r="DK325" s="69"/>
      <c r="DL325" s="69"/>
      <c r="DM325" s="69"/>
      <c r="DN325" s="69"/>
      <c r="DO325" s="69"/>
      <c r="DP325" s="69"/>
      <c r="DQ325" s="69"/>
      <c r="DR325" s="69"/>
      <c r="DS325" s="69"/>
      <c r="DT325" s="69"/>
      <c r="DU325" s="69"/>
    </row>
    <row r="326" ht="15.75" customHeight="1">
      <c r="A326" s="69"/>
      <c r="B326" s="69"/>
      <c r="C326" s="69"/>
      <c r="D326" s="4"/>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c r="BN326" s="69"/>
      <c r="BO326" s="69"/>
      <c r="BP326" s="69"/>
      <c r="BQ326" s="69"/>
      <c r="BR326" s="69"/>
      <c r="BS326" s="69"/>
      <c r="BT326" s="69"/>
      <c r="BU326" s="69"/>
      <c r="BV326" s="69"/>
      <c r="BW326" s="69"/>
      <c r="BX326" s="69"/>
      <c r="BY326" s="69"/>
      <c r="BZ326" s="69"/>
      <c r="CA326" s="69"/>
      <c r="CB326" s="69"/>
      <c r="CC326" s="69"/>
      <c r="CD326" s="69"/>
      <c r="CE326" s="69"/>
      <c r="CF326" s="69"/>
      <c r="CG326" s="69"/>
      <c r="CH326" s="69"/>
      <c r="CI326" s="69"/>
      <c r="CJ326" s="69"/>
      <c r="CK326" s="69"/>
      <c r="CL326" s="69"/>
      <c r="CM326" s="69"/>
      <c r="CN326" s="69"/>
      <c r="CO326" s="69"/>
      <c r="CP326" s="69"/>
      <c r="CQ326" s="69"/>
      <c r="CR326" s="69"/>
      <c r="CS326" s="69"/>
      <c r="CT326" s="69"/>
      <c r="CU326" s="69"/>
      <c r="CV326" s="69"/>
      <c r="CW326" s="69"/>
      <c r="CX326" s="69"/>
      <c r="CY326" s="69"/>
      <c r="CZ326" s="69"/>
      <c r="DA326" s="69"/>
      <c r="DB326" s="69"/>
      <c r="DC326" s="69"/>
      <c r="DD326" s="69"/>
      <c r="DE326" s="69"/>
      <c r="DF326" s="69"/>
      <c r="DG326" s="69"/>
      <c r="DH326" s="69"/>
      <c r="DI326" s="69"/>
      <c r="DJ326" s="69"/>
      <c r="DK326" s="69"/>
      <c r="DL326" s="69"/>
      <c r="DM326" s="69"/>
      <c r="DN326" s="69"/>
      <c r="DO326" s="69"/>
      <c r="DP326" s="69"/>
      <c r="DQ326" s="69"/>
      <c r="DR326" s="69"/>
      <c r="DS326" s="69"/>
      <c r="DT326" s="69"/>
      <c r="DU326" s="69"/>
    </row>
    <row r="327" ht="15.75" customHeight="1">
      <c r="A327" s="69"/>
      <c r="B327" s="69"/>
      <c r="C327" s="69"/>
      <c r="D327" s="4"/>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c r="AW327" s="69"/>
      <c r="AX327" s="69"/>
      <c r="AY327" s="69"/>
      <c r="AZ327" s="69"/>
      <c r="BA327" s="69"/>
      <c r="BB327" s="69"/>
      <c r="BC327" s="69"/>
      <c r="BD327" s="69"/>
      <c r="BE327" s="69"/>
      <c r="BF327" s="69"/>
      <c r="BG327" s="69"/>
      <c r="BH327" s="69"/>
      <c r="BI327" s="69"/>
      <c r="BJ327" s="69"/>
      <c r="BK327" s="69"/>
      <c r="BL327" s="69"/>
      <c r="BM327" s="69"/>
      <c r="BN327" s="69"/>
      <c r="BO327" s="69"/>
      <c r="BP327" s="69"/>
      <c r="BQ327" s="69"/>
      <c r="BR327" s="69"/>
      <c r="BS327" s="69"/>
      <c r="BT327" s="69"/>
      <c r="BU327" s="69"/>
      <c r="BV327" s="69"/>
      <c r="BW327" s="69"/>
      <c r="BX327" s="69"/>
      <c r="BY327" s="69"/>
      <c r="BZ327" s="69"/>
      <c r="CA327" s="69"/>
      <c r="CB327" s="69"/>
      <c r="CC327" s="69"/>
      <c r="CD327" s="69"/>
      <c r="CE327" s="69"/>
      <c r="CF327" s="69"/>
      <c r="CG327" s="69"/>
      <c r="CH327" s="69"/>
      <c r="CI327" s="69"/>
      <c r="CJ327" s="69"/>
      <c r="CK327" s="69"/>
      <c r="CL327" s="69"/>
      <c r="CM327" s="69"/>
      <c r="CN327" s="69"/>
      <c r="CO327" s="69"/>
      <c r="CP327" s="69"/>
      <c r="CQ327" s="69"/>
      <c r="CR327" s="69"/>
      <c r="CS327" s="69"/>
      <c r="CT327" s="69"/>
      <c r="CU327" s="69"/>
      <c r="CV327" s="69"/>
      <c r="CW327" s="69"/>
      <c r="CX327" s="69"/>
      <c r="CY327" s="69"/>
      <c r="CZ327" s="69"/>
      <c r="DA327" s="69"/>
      <c r="DB327" s="69"/>
      <c r="DC327" s="69"/>
      <c r="DD327" s="69"/>
      <c r="DE327" s="69"/>
      <c r="DF327" s="69"/>
      <c r="DG327" s="69"/>
      <c r="DH327" s="69"/>
      <c r="DI327" s="69"/>
      <c r="DJ327" s="69"/>
      <c r="DK327" s="69"/>
      <c r="DL327" s="69"/>
      <c r="DM327" s="69"/>
      <c r="DN327" s="69"/>
      <c r="DO327" s="69"/>
      <c r="DP327" s="69"/>
      <c r="DQ327" s="69"/>
      <c r="DR327" s="69"/>
      <c r="DS327" s="69"/>
      <c r="DT327" s="69"/>
      <c r="DU327" s="69"/>
    </row>
    <row r="328" ht="15.75" customHeight="1">
      <c r="A328" s="69"/>
      <c r="B328" s="69"/>
      <c r="C328" s="69"/>
      <c r="D328" s="4"/>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c r="BN328" s="69"/>
      <c r="BO328" s="69"/>
      <c r="BP328" s="69"/>
      <c r="BQ328" s="69"/>
      <c r="BR328" s="69"/>
      <c r="BS328" s="69"/>
      <c r="BT328" s="69"/>
      <c r="BU328" s="69"/>
      <c r="BV328" s="69"/>
      <c r="BW328" s="69"/>
      <c r="BX328" s="69"/>
      <c r="BY328" s="69"/>
      <c r="BZ328" s="69"/>
      <c r="CA328" s="69"/>
      <c r="CB328" s="69"/>
      <c r="CC328" s="69"/>
      <c r="CD328" s="69"/>
      <c r="CE328" s="69"/>
      <c r="CF328" s="69"/>
      <c r="CG328" s="69"/>
      <c r="CH328" s="69"/>
      <c r="CI328" s="69"/>
      <c r="CJ328" s="69"/>
      <c r="CK328" s="69"/>
      <c r="CL328" s="69"/>
      <c r="CM328" s="69"/>
      <c r="CN328" s="69"/>
      <c r="CO328" s="69"/>
      <c r="CP328" s="69"/>
      <c r="CQ328" s="69"/>
      <c r="CR328" s="69"/>
      <c r="CS328" s="69"/>
      <c r="CT328" s="69"/>
      <c r="CU328" s="69"/>
      <c r="CV328" s="69"/>
      <c r="CW328" s="69"/>
      <c r="CX328" s="69"/>
      <c r="CY328" s="69"/>
      <c r="CZ328" s="69"/>
      <c r="DA328" s="69"/>
      <c r="DB328" s="69"/>
      <c r="DC328" s="69"/>
      <c r="DD328" s="69"/>
      <c r="DE328" s="69"/>
      <c r="DF328" s="69"/>
      <c r="DG328" s="69"/>
      <c r="DH328" s="69"/>
      <c r="DI328" s="69"/>
      <c r="DJ328" s="69"/>
      <c r="DK328" s="69"/>
      <c r="DL328" s="69"/>
      <c r="DM328" s="69"/>
      <c r="DN328" s="69"/>
      <c r="DO328" s="69"/>
      <c r="DP328" s="69"/>
      <c r="DQ328" s="69"/>
      <c r="DR328" s="69"/>
      <c r="DS328" s="69"/>
      <c r="DT328" s="69"/>
      <c r="DU328" s="69"/>
    </row>
    <row r="329" ht="15.75" customHeight="1">
      <c r="A329" s="69"/>
      <c r="B329" s="69"/>
      <c r="C329" s="69"/>
      <c r="D329" s="4"/>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c r="AW329" s="69"/>
      <c r="AX329" s="69"/>
      <c r="AY329" s="69"/>
      <c r="AZ329" s="69"/>
      <c r="BA329" s="69"/>
      <c r="BB329" s="69"/>
      <c r="BC329" s="69"/>
      <c r="BD329" s="69"/>
      <c r="BE329" s="69"/>
      <c r="BF329" s="69"/>
      <c r="BG329" s="69"/>
      <c r="BH329" s="69"/>
      <c r="BI329" s="69"/>
      <c r="BJ329" s="69"/>
      <c r="BK329" s="69"/>
      <c r="BL329" s="69"/>
      <c r="BM329" s="69"/>
      <c r="BN329" s="69"/>
      <c r="BO329" s="69"/>
      <c r="BP329" s="69"/>
      <c r="BQ329" s="69"/>
      <c r="BR329" s="69"/>
      <c r="BS329" s="69"/>
      <c r="BT329" s="69"/>
      <c r="BU329" s="69"/>
      <c r="BV329" s="69"/>
      <c r="BW329" s="69"/>
      <c r="BX329" s="69"/>
      <c r="BY329" s="69"/>
      <c r="BZ329" s="69"/>
      <c r="CA329" s="69"/>
      <c r="CB329" s="69"/>
      <c r="CC329" s="69"/>
      <c r="CD329" s="69"/>
      <c r="CE329" s="69"/>
      <c r="CF329" s="69"/>
      <c r="CG329" s="69"/>
      <c r="CH329" s="69"/>
      <c r="CI329" s="69"/>
      <c r="CJ329" s="69"/>
      <c r="CK329" s="69"/>
      <c r="CL329" s="69"/>
      <c r="CM329" s="69"/>
      <c r="CN329" s="69"/>
      <c r="CO329" s="69"/>
      <c r="CP329" s="69"/>
      <c r="CQ329" s="69"/>
      <c r="CR329" s="69"/>
      <c r="CS329" s="69"/>
      <c r="CT329" s="69"/>
      <c r="CU329" s="69"/>
      <c r="CV329" s="69"/>
      <c r="CW329" s="69"/>
      <c r="CX329" s="69"/>
      <c r="CY329" s="69"/>
      <c r="CZ329" s="69"/>
      <c r="DA329" s="69"/>
      <c r="DB329" s="69"/>
      <c r="DC329" s="69"/>
      <c r="DD329" s="69"/>
      <c r="DE329" s="69"/>
      <c r="DF329" s="69"/>
      <c r="DG329" s="69"/>
      <c r="DH329" s="69"/>
      <c r="DI329" s="69"/>
      <c r="DJ329" s="69"/>
      <c r="DK329" s="69"/>
      <c r="DL329" s="69"/>
      <c r="DM329" s="69"/>
      <c r="DN329" s="69"/>
      <c r="DO329" s="69"/>
      <c r="DP329" s="69"/>
      <c r="DQ329" s="69"/>
      <c r="DR329" s="69"/>
      <c r="DS329" s="69"/>
      <c r="DT329" s="69"/>
      <c r="DU329" s="69"/>
    </row>
    <row r="330" ht="15.75" customHeight="1">
      <c r="A330" s="69"/>
      <c r="B330" s="69"/>
      <c r="C330" s="69"/>
      <c r="D330" s="4"/>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c r="AZ330" s="69"/>
      <c r="BA330" s="69"/>
      <c r="BB330" s="69"/>
      <c r="BC330" s="69"/>
      <c r="BD330" s="69"/>
      <c r="BE330" s="69"/>
      <c r="BF330" s="69"/>
      <c r="BG330" s="69"/>
      <c r="BH330" s="69"/>
      <c r="BI330" s="69"/>
      <c r="BJ330" s="69"/>
      <c r="BK330" s="69"/>
      <c r="BL330" s="69"/>
      <c r="BM330" s="69"/>
      <c r="BN330" s="69"/>
      <c r="BO330" s="69"/>
      <c r="BP330" s="69"/>
      <c r="BQ330" s="69"/>
      <c r="BR330" s="69"/>
      <c r="BS330" s="69"/>
      <c r="BT330" s="69"/>
      <c r="BU330" s="69"/>
      <c r="BV330" s="69"/>
      <c r="BW330" s="69"/>
      <c r="BX330" s="69"/>
      <c r="BY330" s="69"/>
      <c r="BZ330" s="69"/>
      <c r="CA330" s="69"/>
      <c r="CB330" s="69"/>
      <c r="CC330" s="69"/>
      <c r="CD330" s="69"/>
      <c r="CE330" s="69"/>
      <c r="CF330" s="69"/>
      <c r="CG330" s="69"/>
      <c r="CH330" s="69"/>
      <c r="CI330" s="69"/>
      <c r="CJ330" s="69"/>
      <c r="CK330" s="69"/>
      <c r="CL330" s="69"/>
      <c r="CM330" s="69"/>
      <c r="CN330" s="69"/>
      <c r="CO330" s="69"/>
      <c r="CP330" s="69"/>
      <c r="CQ330" s="69"/>
      <c r="CR330" s="69"/>
      <c r="CS330" s="69"/>
      <c r="CT330" s="69"/>
      <c r="CU330" s="69"/>
      <c r="CV330" s="69"/>
      <c r="CW330" s="69"/>
      <c r="CX330" s="69"/>
      <c r="CY330" s="69"/>
      <c r="CZ330" s="69"/>
      <c r="DA330" s="69"/>
      <c r="DB330" s="69"/>
      <c r="DC330" s="69"/>
      <c r="DD330" s="69"/>
      <c r="DE330" s="69"/>
      <c r="DF330" s="69"/>
      <c r="DG330" s="69"/>
      <c r="DH330" s="69"/>
      <c r="DI330" s="69"/>
      <c r="DJ330" s="69"/>
      <c r="DK330" s="69"/>
      <c r="DL330" s="69"/>
      <c r="DM330" s="69"/>
      <c r="DN330" s="69"/>
      <c r="DO330" s="69"/>
      <c r="DP330" s="69"/>
      <c r="DQ330" s="69"/>
      <c r="DR330" s="69"/>
      <c r="DS330" s="69"/>
      <c r="DT330" s="69"/>
      <c r="DU330" s="69"/>
    </row>
    <row r="331" ht="15.75" customHeight="1">
      <c r="A331" s="69"/>
      <c r="B331" s="69"/>
      <c r="C331" s="69"/>
      <c r="D331" s="4"/>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c r="AZ331" s="69"/>
      <c r="BA331" s="69"/>
      <c r="BB331" s="69"/>
      <c r="BC331" s="69"/>
      <c r="BD331" s="69"/>
      <c r="BE331" s="69"/>
      <c r="BF331" s="69"/>
      <c r="BG331" s="69"/>
      <c r="BH331" s="69"/>
      <c r="BI331" s="69"/>
      <c r="BJ331" s="69"/>
      <c r="BK331" s="69"/>
      <c r="BL331" s="69"/>
      <c r="BM331" s="69"/>
      <c r="BN331" s="69"/>
      <c r="BO331" s="69"/>
      <c r="BP331" s="69"/>
      <c r="BQ331" s="69"/>
      <c r="BR331" s="69"/>
      <c r="BS331" s="69"/>
      <c r="BT331" s="69"/>
      <c r="BU331" s="69"/>
      <c r="BV331" s="69"/>
      <c r="BW331" s="69"/>
      <c r="BX331" s="69"/>
      <c r="BY331" s="69"/>
      <c r="BZ331" s="69"/>
      <c r="CA331" s="69"/>
      <c r="CB331" s="69"/>
      <c r="CC331" s="69"/>
      <c r="CD331" s="69"/>
      <c r="CE331" s="69"/>
      <c r="CF331" s="69"/>
      <c r="CG331" s="69"/>
      <c r="CH331" s="69"/>
      <c r="CI331" s="69"/>
      <c r="CJ331" s="69"/>
      <c r="CK331" s="69"/>
      <c r="CL331" s="69"/>
      <c r="CM331" s="69"/>
      <c r="CN331" s="69"/>
      <c r="CO331" s="69"/>
      <c r="CP331" s="69"/>
      <c r="CQ331" s="69"/>
      <c r="CR331" s="69"/>
      <c r="CS331" s="69"/>
      <c r="CT331" s="69"/>
      <c r="CU331" s="69"/>
      <c r="CV331" s="69"/>
      <c r="CW331" s="69"/>
      <c r="CX331" s="69"/>
      <c r="CY331" s="69"/>
      <c r="CZ331" s="69"/>
      <c r="DA331" s="69"/>
      <c r="DB331" s="69"/>
      <c r="DC331" s="69"/>
      <c r="DD331" s="69"/>
      <c r="DE331" s="69"/>
      <c r="DF331" s="69"/>
      <c r="DG331" s="69"/>
      <c r="DH331" s="69"/>
      <c r="DI331" s="69"/>
      <c r="DJ331" s="69"/>
      <c r="DK331" s="69"/>
      <c r="DL331" s="69"/>
      <c r="DM331" s="69"/>
      <c r="DN331" s="69"/>
      <c r="DO331" s="69"/>
      <c r="DP331" s="69"/>
      <c r="DQ331" s="69"/>
      <c r="DR331" s="69"/>
      <c r="DS331" s="69"/>
      <c r="DT331" s="69"/>
      <c r="DU331" s="69"/>
    </row>
    <row r="332" ht="15.75" customHeight="1">
      <c r="A332" s="69"/>
      <c r="B332" s="69"/>
      <c r="C332" s="69"/>
      <c r="D332" s="4"/>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c r="AZ332" s="69"/>
      <c r="BA332" s="69"/>
      <c r="BB332" s="69"/>
      <c r="BC332" s="69"/>
      <c r="BD332" s="69"/>
      <c r="BE332" s="69"/>
      <c r="BF332" s="69"/>
      <c r="BG332" s="69"/>
      <c r="BH332" s="69"/>
      <c r="BI332" s="69"/>
      <c r="BJ332" s="69"/>
      <c r="BK332" s="69"/>
      <c r="BL332" s="69"/>
      <c r="BM332" s="69"/>
      <c r="BN332" s="69"/>
      <c r="BO332" s="69"/>
      <c r="BP332" s="69"/>
      <c r="BQ332" s="69"/>
      <c r="BR332" s="69"/>
      <c r="BS332" s="69"/>
      <c r="BT332" s="69"/>
      <c r="BU332" s="69"/>
      <c r="BV332" s="69"/>
      <c r="BW332" s="69"/>
      <c r="BX332" s="69"/>
      <c r="BY332" s="69"/>
      <c r="BZ332" s="69"/>
      <c r="CA332" s="69"/>
      <c r="CB332" s="69"/>
      <c r="CC332" s="69"/>
      <c r="CD332" s="69"/>
      <c r="CE332" s="69"/>
      <c r="CF332" s="69"/>
      <c r="CG332" s="69"/>
      <c r="CH332" s="69"/>
      <c r="CI332" s="69"/>
      <c r="CJ332" s="69"/>
      <c r="CK332" s="69"/>
      <c r="CL332" s="69"/>
      <c r="CM332" s="69"/>
      <c r="CN332" s="69"/>
      <c r="CO332" s="69"/>
      <c r="CP332" s="69"/>
      <c r="CQ332" s="69"/>
      <c r="CR332" s="69"/>
      <c r="CS332" s="69"/>
      <c r="CT332" s="69"/>
      <c r="CU332" s="69"/>
      <c r="CV332" s="69"/>
      <c r="CW332" s="69"/>
      <c r="CX332" s="69"/>
      <c r="CY332" s="69"/>
      <c r="CZ332" s="69"/>
      <c r="DA332" s="69"/>
      <c r="DB332" s="69"/>
      <c r="DC332" s="69"/>
      <c r="DD332" s="69"/>
      <c r="DE332" s="69"/>
      <c r="DF332" s="69"/>
      <c r="DG332" s="69"/>
      <c r="DH332" s="69"/>
      <c r="DI332" s="69"/>
      <c r="DJ332" s="69"/>
      <c r="DK332" s="69"/>
      <c r="DL332" s="69"/>
      <c r="DM332" s="69"/>
      <c r="DN332" s="69"/>
      <c r="DO332" s="69"/>
      <c r="DP332" s="69"/>
      <c r="DQ332" s="69"/>
      <c r="DR332" s="69"/>
      <c r="DS332" s="69"/>
      <c r="DT332" s="69"/>
      <c r="DU332" s="69"/>
    </row>
    <row r="333" ht="15.75" customHeight="1">
      <c r="A333" s="69"/>
      <c r="B333" s="69"/>
      <c r="C333" s="69"/>
      <c r="D333" s="4"/>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c r="AW333" s="69"/>
      <c r="AX333" s="69"/>
      <c r="AY333" s="69"/>
      <c r="AZ333" s="69"/>
      <c r="BA333" s="69"/>
      <c r="BB333" s="69"/>
      <c r="BC333" s="69"/>
      <c r="BD333" s="69"/>
      <c r="BE333" s="69"/>
      <c r="BF333" s="69"/>
      <c r="BG333" s="69"/>
      <c r="BH333" s="69"/>
      <c r="BI333" s="69"/>
      <c r="BJ333" s="69"/>
      <c r="BK333" s="69"/>
      <c r="BL333" s="69"/>
      <c r="BM333" s="69"/>
      <c r="BN333" s="69"/>
      <c r="BO333" s="69"/>
      <c r="BP333" s="69"/>
      <c r="BQ333" s="69"/>
      <c r="BR333" s="69"/>
      <c r="BS333" s="69"/>
      <c r="BT333" s="69"/>
      <c r="BU333" s="69"/>
      <c r="BV333" s="69"/>
      <c r="BW333" s="69"/>
      <c r="BX333" s="69"/>
      <c r="BY333" s="69"/>
      <c r="BZ333" s="69"/>
      <c r="CA333" s="69"/>
      <c r="CB333" s="69"/>
      <c r="CC333" s="69"/>
      <c r="CD333" s="69"/>
      <c r="CE333" s="69"/>
      <c r="CF333" s="69"/>
      <c r="CG333" s="69"/>
      <c r="CH333" s="69"/>
      <c r="CI333" s="69"/>
      <c r="CJ333" s="69"/>
      <c r="CK333" s="69"/>
      <c r="CL333" s="69"/>
      <c r="CM333" s="69"/>
      <c r="CN333" s="69"/>
      <c r="CO333" s="69"/>
      <c r="CP333" s="69"/>
      <c r="CQ333" s="69"/>
      <c r="CR333" s="69"/>
      <c r="CS333" s="69"/>
      <c r="CT333" s="69"/>
      <c r="CU333" s="69"/>
      <c r="CV333" s="69"/>
      <c r="CW333" s="69"/>
      <c r="CX333" s="69"/>
      <c r="CY333" s="69"/>
      <c r="CZ333" s="69"/>
      <c r="DA333" s="69"/>
      <c r="DB333" s="69"/>
      <c r="DC333" s="69"/>
      <c r="DD333" s="69"/>
      <c r="DE333" s="69"/>
      <c r="DF333" s="69"/>
      <c r="DG333" s="69"/>
      <c r="DH333" s="69"/>
      <c r="DI333" s="69"/>
      <c r="DJ333" s="69"/>
      <c r="DK333" s="69"/>
      <c r="DL333" s="69"/>
      <c r="DM333" s="69"/>
      <c r="DN333" s="69"/>
      <c r="DO333" s="69"/>
      <c r="DP333" s="69"/>
      <c r="DQ333" s="69"/>
      <c r="DR333" s="69"/>
      <c r="DS333" s="69"/>
      <c r="DT333" s="69"/>
      <c r="DU333" s="69"/>
    </row>
    <row r="334" ht="15.75" customHeight="1">
      <c r="A334" s="69"/>
      <c r="B334" s="69"/>
      <c r="C334" s="69"/>
      <c r="D334" s="4"/>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c r="BN334" s="69"/>
      <c r="BO334" s="69"/>
      <c r="BP334" s="69"/>
      <c r="BQ334" s="69"/>
      <c r="BR334" s="69"/>
      <c r="BS334" s="69"/>
      <c r="BT334" s="69"/>
      <c r="BU334" s="69"/>
      <c r="BV334" s="69"/>
      <c r="BW334" s="69"/>
      <c r="BX334" s="69"/>
      <c r="BY334" s="69"/>
      <c r="BZ334" s="69"/>
      <c r="CA334" s="69"/>
      <c r="CB334" s="69"/>
      <c r="CC334" s="69"/>
      <c r="CD334" s="69"/>
      <c r="CE334" s="69"/>
      <c r="CF334" s="69"/>
      <c r="CG334" s="69"/>
      <c r="CH334" s="69"/>
      <c r="CI334" s="69"/>
      <c r="CJ334" s="69"/>
      <c r="CK334" s="69"/>
      <c r="CL334" s="69"/>
      <c r="CM334" s="69"/>
      <c r="CN334" s="69"/>
      <c r="CO334" s="69"/>
      <c r="CP334" s="69"/>
      <c r="CQ334" s="69"/>
      <c r="CR334" s="69"/>
      <c r="CS334" s="69"/>
      <c r="CT334" s="69"/>
      <c r="CU334" s="69"/>
      <c r="CV334" s="69"/>
      <c r="CW334" s="69"/>
      <c r="CX334" s="69"/>
      <c r="CY334" s="69"/>
      <c r="CZ334" s="69"/>
      <c r="DA334" s="69"/>
      <c r="DB334" s="69"/>
      <c r="DC334" s="69"/>
      <c r="DD334" s="69"/>
      <c r="DE334" s="69"/>
      <c r="DF334" s="69"/>
      <c r="DG334" s="69"/>
      <c r="DH334" s="69"/>
      <c r="DI334" s="69"/>
      <c r="DJ334" s="69"/>
      <c r="DK334" s="69"/>
      <c r="DL334" s="69"/>
      <c r="DM334" s="69"/>
      <c r="DN334" s="69"/>
      <c r="DO334" s="69"/>
      <c r="DP334" s="69"/>
      <c r="DQ334" s="69"/>
      <c r="DR334" s="69"/>
      <c r="DS334" s="69"/>
      <c r="DT334" s="69"/>
      <c r="DU334" s="69"/>
    </row>
    <row r="335" ht="15.75" customHeight="1">
      <c r="A335" s="69"/>
      <c r="B335" s="69"/>
      <c r="C335" s="69"/>
      <c r="D335" s="4"/>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c r="AZ335" s="69"/>
      <c r="BA335" s="69"/>
      <c r="BB335" s="69"/>
      <c r="BC335" s="69"/>
      <c r="BD335" s="69"/>
      <c r="BE335" s="69"/>
      <c r="BF335" s="69"/>
      <c r="BG335" s="69"/>
      <c r="BH335" s="69"/>
      <c r="BI335" s="69"/>
      <c r="BJ335" s="69"/>
      <c r="BK335" s="69"/>
      <c r="BL335" s="69"/>
      <c r="BM335" s="69"/>
      <c r="BN335" s="69"/>
      <c r="BO335" s="69"/>
      <c r="BP335" s="69"/>
      <c r="BQ335" s="69"/>
      <c r="BR335" s="69"/>
      <c r="BS335" s="69"/>
      <c r="BT335" s="69"/>
      <c r="BU335" s="69"/>
      <c r="BV335" s="69"/>
      <c r="BW335" s="69"/>
      <c r="BX335" s="69"/>
      <c r="BY335" s="69"/>
      <c r="BZ335" s="69"/>
      <c r="CA335" s="69"/>
      <c r="CB335" s="69"/>
      <c r="CC335" s="69"/>
      <c r="CD335" s="69"/>
      <c r="CE335" s="69"/>
      <c r="CF335" s="69"/>
      <c r="CG335" s="69"/>
      <c r="CH335" s="69"/>
      <c r="CI335" s="69"/>
      <c r="CJ335" s="69"/>
      <c r="CK335" s="69"/>
      <c r="CL335" s="69"/>
      <c r="CM335" s="69"/>
      <c r="CN335" s="69"/>
      <c r="CO335" s="69"/>
      <c r="CP335" s="69"/>
      <c r="CQ335" s="69"/>
      <c r="CR335" s="69"/>
      <c r="CS335" s="69"/>
      <c r="CT335" s="69"/>
      <c r="CU335" s="69"/>
      <c r="CV335" s="69"/>
      <c r="CW335" s="69"/>
      <c r="CX335" s="69"/>
      <c r="CY335" s="69"/>
      <c r="CZ335" s="69"/>
      <c r="DA335" s="69"/>
      <c r="DB335" s="69"/>
      <c r="DC335" s="69"/>
      <c r="DD335" s="69"/>
      <c r="DE335" s="69"/>
      <c r="DF335" s="69"/>
      <c r="DG335" s="69"/>
      <c r="DH335" s="69"/>
      <c r="DI335" s="69"/>
      <c r="DJ335" s="69"/>
      <c r="DK335" s="69"/>
      <c r="DL335" s="69"/>
      <c r="DM335" s="69"/>
      <c r="DN335" s="69"/>
      <c r="DO335" s="69"/>
      <c r="DP335" s="69"/>
      <c r="DQ335" s="69"/>
      <c r="DR335" s="69"/>
      <c r="DS335" s="69"/>
      <c r="DT335" s="69"/>
      <c r="DU335" s="69"/>
    </row>
    <row r="336" ht="15.75" customHeight="1">
      <c r="A336" s="69"/>
      <c r="B336" s="69"/>
      <c r="C336" s="69"/>
      <c r="D336" s="4"/>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c r="BN336" s="69"/>
      <c r="BO336" s="69"/>
      <c r="BP336" s="69"/>
      <c r="BQ336" s="69"/>
      <c r="BR336" s="69"/>
      <c r="BS336" s="69"/>
      <c r="BT336" s="69"/>
      <c r="BU336" s="69"/>
      <c r="BV336" s="69"/>
      <c r="BW336" s="69"/>
      <c r="BX336" s="69"/>
      <c r="BY336" s="69"/>
      <c r="BZ336" s="69"/>
      <c r="CA336" s="69"/>
      <c r="CB336" s="69"/>
      <c r="CC336" s="69"/>
      <c r="CD336" s="69"/>
      <c r="CE336" s="69"/>
      <c r="CF336" s="69"/>
      <c r="CG336" s="69"/>
      <c r="CH336" s="69"/>
      <c r="CI336" s="69"/>
      <c r="CJ336" s="69"/>
      <c r="CK336" s="69"/>
      <c r="CL336" s="69"/>
      <c r="CM336" s="69"/>
      <c r="CN336" s="69"/>
      <c r="CO336" s="69"/>
      <c r="CP336" s="69"/>
      <c r="CQ336" s="69"/>
      <c r="CR336" s="69"/>
      <c r="CS336" s="69"/>
      <c r="CT336" s="69"/>
      <c r="CU336" s="69"/>
      <c r="CV336" s="69"/>
      <c r="CW336" s="69"/>
      <c r="CX336" s="69"/>
      <c r="CY336" s="69"/>
      <c r="CZ336" s="69"/>
      <c r="DA336" s="69"/>
      <c r="DB336" s="69"/>
      <c r="DC336" s="69"/>
      <c r="DD336" s="69"/>
      <c r="DE336" s="69"/>
      <c r="DF336" s="69"/>
      <c r="DG336" s="69"/>
      <c r="DH336" s="69"/>
      <c r="DI336" s="69"/>
      <c r="DJ336" s="69"/>
      <c r="DK336" s="69"/>
      <c r="DL336" s="69"/>
      <c r="DM336" s="69"/>
      <c r="DN336" s="69"/>
      <c r="DO336" s="69"/>
      <c r="DP336" s="69"/>
      <c r="DQ336" s="69"/>
      <c r="DR336" s="69"/>
      <c r="DS336" s="69"/>
      <c r="DT336" s="69"/>
      <c r="DU336" s="69"/>
    </row>
    <row r="337" ht="15.75" customHeight="1">
      <c r="A337" s="69"/>
      <c r="B337" s="69"/>
      <c r="C337" s="69"/>
      <c r="D337" s="4"/>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c r="AW337" s="69"/>
      <c r="AX337" s="69"/>
      <c r="AY337" s="69"/>
      <c r="AZ337" s="69"/>
      <c r="BA337" s="69"/>
      <c r="BB337" s="69"/>
      <c r="BC337" s="69"/>
      <c r="BD337" s="69"/>
      <c r="BE337" s="69"/>
      <c r="BF337" s="69"/>
      <c r="BG337" s="69"/>
      <c r="BH337" s="69"/>
      <c r="BI337" s="69"/>
      <c r="BJ337" s="69"/>
      <c r="BK337" s="69"/>
      <c r="BL337" s="69"/>
      <c r="BM337" s="69"/>
      <c r="BN337" s="69"/>
      <c r="BO337" s="69"/>
      <c r="BP337" s="69"/>
      <c r="BQ337" s="69"/>
      <c r="BR337" s="69"/>
      <c r="BS337" s="69"/>
      <c r="BT337" s="69"/>
      <c r="BU337" s="69"/>
      <c r="BV337" s="69"/>
      <c r="BW337" s="69"/>
      <c r="BX337" s="69"/>
      <c r="BY337" s="69"/>
      <c r="BZ337" s="69"/>
      <c r="CA337" s="69"/>
      <c r="CB337" s="69"/>
      <c r="CC337" s="69"/>
      <c r="CD337" s="69"/>
      <c r="CE337" s="69"/>
      <c r="CF337" s="69"/>
      <c r="CG337" s="69"/>
      <c r="CH337" s="69"/>
      <c r="CI337" s="69"/>
      <c r="CJ337" s="69"/>
      <c r="CK337" s="69"/>
      <c r="CL337" s="69"/>
      <c r="CM337" s="69"/>
      <c r="CN337" s="69"/>
      <c r="CO337" s="69"/>
      <c r="CP337" s="69"/>
      <c r="CQ337" s="69"/>
      <c r="CR337" s="69"/>
      <c r="CS337" s="69"/>
      <c r="CT337" s="69"/>
      <c r="CU337" s="69"/>
      <c r="CV337" s="69"/>
      <c r="CW337" s="69"/>
      <c r="CX337" s="69"/>
      <c r="CY337" s="69"/>
      <c r="CZ337" s="69"/>
      <c r="DA337" s="69"/>
      <c r="DB337" s="69"/>
      <c r="DC337" s="69"/>
      <c r="DD337" s="69"/>
      <c r="DE337" s="69"/>
      <c r="DF337" s="69"/>
      <c r="DG337" s="69"/>
      <c r="DH337" s="69"/>
      <c r="DI337" s="69"/>
      <c r="DJ337" s="69"/>
      <c r="DK337" s="69"/>
      <c r="DL337" s="69"/>
      <c r="DM337" s="69"/>
      <c r="DN337" s="69"/>
      <c r="DO337" s="69"/>
      <c r="DP337" s="69"/>
      <c r="DQ337" s="69"/>
      <c r="DR337" s="69"/>
      <c r="DS337" s="69"/>
      <c r="DT337" s="69"/>
      <c r="DU337" s="69"/>
    </row>
    <row r="338" ht="15.75" customHeight="1">
      <c r="A338" s="69"/>
      <c r="B338" s="69"/>
      <c r="C338" s="69"/>
      <c r="D338" s="4"/>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c r="BN338" s="69"/>
      <c r="BO338" s="69"/>
      <c r="BP338" s="69"/>
      <c r="BQ338" s="69"/>
      <c r="BR338" s="69"/>
      <c r="BS338" s="69"/>
      <c r="BT338" s="69"/>
      <c r="BU338" s="69"/>
      <c r="BV338" s="69"/>
      <c r="BW338" s="69"/>
      <c r="BX338" s="69"/>
      <c r="BY338" s="69"/>
      <c r="BZ338" s="69"/>
      <c r="CA338" s="69"/>
      <c r="CB338" s="69"/>
      <c r="CC338" s="69"/>
      <c r="CD338" s="69"/>
      <c r="CE338" s="69"/>
      <c r="CF338" s="69"/>
      <c r="CG338" s="69"/>
      <c r="CH338" s="69"/>
      <c r="CI338" s="69"/>
      <c r="CJ338" s="69"/>
      <c r="CK338" s="69"/>
      <c r="CL338" s="69"/>
      <c r="CM338" s="69"/>
      <c r="CN338" s="69"/>
      <c r="CO338" s="69"/>
      <c r="CP338" s="69"/>
      <c r="CQ338" s="69"/>
      <c r="CR338" s="69"/>
      <c r="CS338" s="69"/>
      <c r="CT338" s="69"/>
      <c r="CU338" s="69"/>
      <c r="CV338" s="69"/>
      <c r="CW338" s="69"/>
      <c r="CX338" s="69"/>
      <c r="CY338" s="69"/>
      <c r="CZ338" s="69"/>
      <c r="DA338" s="69"/>
      <c r="DB338" s="69"/>
      <c r="DC338" s="69"/>
      <c r="DD338" s="69"/>
      <c r="DE338" s="69"/>
      <c r="DF338" s="69"/>
      <c r="DG338" s="69"/>
      <c r="DH338" s="69"/>
      <c r="DI338" s="69"/>
      <c r="DJ338" s="69"/>
      <c r="DK338" s="69"/>
      <c r="DL338" s="69"/>
      <c r="DM338" s="69"/>
      <c r="DN338" s="69"/>
      <c r="DO338" s="69"/>
      <c r="DP338" s="69"/>
      <c r="DQ338" s="69"/>
      <c r="DR338" s="69"/>
      <c r="DS338" s="69"/>
      <c r="DT338" s="69"/>
      <c r="DU338" s="69"/>
    </row>
    <row r="339" ht="15.75" customHeight="1">
      <c r="A339" s="69"/>
      <c r="B339" s="69"/>
      <c r="C339" s="69"/>
      <c r="D339" s="4"/>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c r="AW339" s="69"/>
      <c r="AX339" s="69"/>
      <c r="AY339" s="69"/>
      <c r="AZ339" s="69"/>
      <c r="BA339" s="69"/>
      <c r="BB339" s="69"/>
      <c r="BC339" s="69"/>
      <c r="BD339" s="69"/>
      <c r="BE339" s="69"/>
      <c r="BF339" s="69"/>
      <c r="BG339" s="69"/>
      <c r="BH339" s="69"/>
      <c r="BI339" s="69"/>
      <c r="BJ339" s="69"/>
      <c r="BK339" s="69"/>
      <c r="BL339" s="69"/>
      <c r="BM339" s="69"/>
      <c r="BN339" s="69"/>
      <c r="BO339" s="69"/>
      <c r="BP339" s="69"/>
      <c r="BQ339" s="69"/>
      <c r="BR339" s="69"/>
      <c r="BS339" s="69"/>
      <c r="BT339" s="69"/>
      <c r="BU339" s="69"/>
      <c r="BV339" s="69"/>
      <c r="BW339" s="69"/>
      <c r="BX339" s="69"/>
      <c r="BY339" s="69"/>
      <c r="BZ339" s="69"/>
      <c r="CA339" s="69"/>
      <c r="CB339" s="69"/>
      <c r="CC339" s="69"/>
      <c r="CD339" s="69"/>
      <c r="CE339" s="69"/>
      <c r="CF339" s="69"/>
      <c r="CG339" s="69"/>
      <c r="CH339" s="69"/>
      <c r="CI339" s="69"/>
      <c r="CJ339" s="69"/>
      <c r="CK339" s="69"/>
      <c r="CL339" s="69"/>
      <c r="CM339" s="69"/>
      <c r="CN339" s="69"/>
      <c r="CO339" s="69"/>
      <c r="CP339" s="69"/>
      <c r="CQ339" s="69"/>
      <c r="CR339" s="69"/>
      <c r="CS339" s="69"/>
      <c r="CT339" s="69"/>
      <c r="CU339" s="69"/>
      <c r="CV339" s="69"/>
      <c r="CW339" s="69"/>
      <c r="CX339" s="69"/>
      <c r="CY339" s="69"/>
      <c r="CZ339" s="69"/>
      <c r="DA339" s="69"/>
      <c r="DB339" s="69"/>
      <c r="DC339" s="69"/>
      <c r="DD339" s="69"/>
      <c r="DE339" s="69"/>
      <c r="DF339" s="69"/>
      <c r="DG339" s="69"/>
      <c r="DH339" s="69"/>
      <c r="DI339" s="69"/>
      <c r="DJ339" s="69"/>
      <c r="DK339" s="69"/>
      <c r="DL339" s="69"/>
      <c r="DM339" s="69"/>
      <c r="DN339" s="69"/>
      <c r="DO339" s="69"/>
      <c r="DP339" s="69"/>
      <c r="DQ339" s="69"/>
      <c r="DR339" s="69"/>
      <c r="DS339" s="69"/>
      <c r="DT339" s="69"/>
      <c r="DU339" s="69"/>
    </row>
    <row r="340" ht="15.75" customHeight="1">
      <c r="A340" s="69"/>
      <c r="B340" s="69"/>
      <c r="C340" s="69"/>
      <c r="D340" s="4"/>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c r="BA340" s="69"/>
      <c r="BB340" s="69"/>
      <c r="BC340" s="69"/>
      <c r="BD340" s="69"/>
      <c r="BE340" s="69"/>
      <c r="BF340" s="69"/>
      <c r="BG340" s="69"/>
      <c r="BH340" s="69"/>
      <c r="BI340" s="69"/>
      <c r="BJ340" s="69"/>
      <c r="BK340" s="69"/>
      <c r="BL340" s="69"/>
      <c r="BM340" s="69"/>
      <c r="BN340" s="69"/>
      <c r="BO340" s="69"/>
      <c r="BP340" s="69"/>
      <c r="BQ340" s="69"/>
      <c r="BR340" s="69"/>
      <c r="BS340" s="69"/>
      <c r="BT340" s="69"/>
      <c r="BU340" s="69"/>
      <c r="BV340" s="69"/>
      <c r="BW340" s="69"/>
      <c r="BX340" s="69"/>
      <c r="BY340" s="69"/>
      <c r="BZ340" s="69"/>
      <c r="CA340" s="69"/>
      <c r="CB340" s="69"/>
      <c r="CC340" s="69"/>
      <c r="CD340" s="69"/>
      <c r="CE340" s="69"/>
      <c r="CF340" s="69"/>
      <c r="CG340" s="69"/>
      <c r="CH340" s="69"/>
      <c r="CI340" s="69"/>
      <c r="CJ340" s="69"/>
      <c r="CK340" s="69"/>
      <c r="CL340" s="69"/>
      <c r="CM340" s="69"/>
      <c r="CN340" s="69"/>
      <c r="CO340" s="69"/>
      <c r="CP340" s="69"/>
      <c r="CQ340" s="69"/>
      <c r="CR340" s="69"/>
      <c r="CS340" s="69"/>
      <c r="CT340" s="69"/>
      <c r="CU340" s="69"/>
      <c r="CV340" s="69"/>
      <c r="CW340" s="69"/>
      <c r="CX340" s="69"/>
      <c r="CY340" s="69"/>
      <c r="CZ340" s="69"/>
      <c r="DA340" s="69"/>
      <c r="DB340" s="69"/>
      <c r="DC340" s="69"/>
      <c r="DD340" s="69"/>
      <c r="DE340" s="69"/>
      <c r="DF340" s="69"/>
      <c r="DG340" s="69"/>
      <c r="DH340" s="69"/>
      <c r="DI340" s="69"/>
      <c r="DJ340" s="69"/>
      <c r="DK340" s="69"/>
      <c r="DL340" s="69"/>
      <c r="DM340" s="69"/>
      <c r="DN340" s="69"/>
      <c r="DO340" s="69"/>
      <c r="DP340" s="69"/>
      <c r="DQ340" s="69"/>
      <c r="DR340" s="69"/>
      <c r="DS340" s="69"/>
      <c r="DT340" s="69"/>
      <c r="DU340" s="69"/>
    </row>
    <row r="341" ht="15.75" customHeight="1">
      <c r="A341" s="69"/>
      <c r="B341" s="69"/>
      <c r="C341" s="69"/>
      <c r="D341" s="4"/>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c r="AZ341" s="69"/>
      <c r="BA341" s="69"/>
      <c r="BB341" s="69"/>
      <c r="BC341" s="69"/>
      <c r="BD341" s="69"/>
      <c r="BE341" s="69"/>
      <c r="BF341" s="69"/>
      <c r="BG341" s="69"/>
      <c r="BH341" s="69"/>
      <c r="BI341" s="69"/>
      <c r="BJ341" s="69"/>
      <c r="BK341" s="69"/>
      <c r="BL341" s="69"/>
      <c r="BM341" s="69"/>
      <c r="BN341" s="69"/>
      <c r="BO341" s="69"/>
      <c r="BP341" s="69"/>
      <c r="BQ341" s="69"/>
      <c r="BR341" s="69"/>
      <c r="BS341" s="69"/>
      <c r="BT341" s="69"/>
      <c r="BU341" s="69"/>
      <c r="BV341" s="69"/>
      <c r="BW341" s="69"/>
      <c r="BX341" s="69"/>
      <c r="BY341" s="69"/>
      <c r="BZ341" s="69"/>
      <c r="CA341" s="69"/>
      <c r="CB341" s="69"/>
      <c r="CC341" s="69"/>
      <c r="CD341" s="69"/>
      <c r="CE341" s="69"/>
      <c r="CF341" s="69"/>
      <c r="CG341" s="69"/>
      <c r="CH341" s="69"/>
      <c r="CI341" s="69"/>
      <c r="CJ341" s="69"/>
      <c r="CK341" s="69"/>
      <c r="CL341" s="69"/>
      <c r="CM341" s="69"/>
      <c r="CN341" s="69"/>
      <c r="CO341" s="69"/>
      <c r="CP341" s="69"/>
      <c r="CQ341" s="69"/>
      <c r="CR341" s="69"/>
      <c r="CS341" s="69"/>
      <c r="CT341" s="69"/>
      <c r="CU341" s="69"/>
      <c r="CV341" s="69"/>
      <c r="CW341" s="69"/>
      <c r="CX341" s="69"/>
      <c r="CY341" s="69"/>
      <c r="CZ341" s="69"/>
      <c r="DA341" s="69"/>
      <c r="DB341" s="69"/>
      <c r="DC341" s="69"/>
      <c r="DD341" s="69"/>
      <c r="DE341" s="69"/>
      <c r="DF341" s="69"/>
      <c r="DG341" s="69"/>
      <c r="DH341" s="69"/>
      <c r="DI341" s="69"/>
      <c r="DJ341" s="69"/>
      <c r="DK341" s="69"/>
      <c r="DL341" s="69"/>
      <c r="DM341" s="69"/>
      <c r="DN341" s="69"/>
      <c r="DO341" s="69"/>
      <c r="DP341" s="69"/>
      <c r="DQ341" s="69"/>
      <c r="DR341" s="69"/>
      <c r="DS341" s="69"/>
      <c r="DT341" s="69"/>
      <c r="DU341" s="69"/>
    </row>
    <row r="342" ht="15.75" customHeight="1">
      <c r="A342" s="69"/>
      <c r="B342" s="69"/>
      <c r="C342" s="69"/>
      <c r="D342" s="4"/>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c r="BA342" s="69"/>
      <c r="BB342" s="69"/>
      <c r="BC342" s="69"/>
      <c r="BD342" s="69"/>
      <c r="BE342" s="69"/>
      <c r="BF342" s="69"/>
      <c r="BG342" s="69"/>
      <c r="BH342" s="69"/>
      <c r="BI342" s="69"/>
      <c r="BJ342" s="69"/>
      <c r="BK342" s="69"/>
      <c r="BL342" s="69"/>
      <c r="BM342" s="69"/>
      <c r="BN342" s="69"/>
      <c r="BO342" s="69"/>
      <c r="BP342" s="69"/>
      <c r="BQ342" s="69"/>
      <c r="BR342" s="69"/>
      <c r="BS342" s="69"/>
      <c r="BT342" s="69"/>
      <c r="BU342" s="69"/>
      <c r="BV342" s="69"/>
      <c r="BW342" s="69"/>
      <c r="BX342" s="69"/>
      <c r="BY342" s="69"/>
      <c r="BZ342" s="69"/>
      <c r="CA342" s="69"/>
      <c r="CB342" s="69"/>
      <c r="CC342" s="69"/>
      <c r="CD342" s="69"/>
      <c r="CE342" s="69"/>
      <c r="CF342" s="69"/>
      <c r="CG342" s="69"/>
      <c r="CH342" s="69"/>
      <c r="CI342" s="69"/>
      <c r="CJ342" s="69"/>
      <c r="CK342" s="69"/>
      <c r="CL342" s="69"/>
      <c r="CM342" s="69"/>
      <c r="CN342" s="69"/>
      <c r="CO342" s="69"/>
      <c r="CP342" s="69"/>
      <c r="CQ342" s="69"/>
      <c r="CR342" s="69"/>
      <c r="CS342" s="69"/>
      <c r="CT342" s="69"/>
      <c r="CU342" s="69"/>
      <c r="CV342" s="69"/>
      <c r="CW342" s="69"/>
      <c r="CX342" s="69"/>
      <c r="CY342" s="69"/>
      <c r="CZ342" s="69"/>
      <c r="DA342" s="69"/>
      <c r="DB342" s="69"/>
      <c r="DC342" s="69"/>
      <c r="DD342" s="69"/>
      <c r="DE342" s="69"/>
      <c r="DF342" s="69"/>
      <c r="DG342" s="69"/>
      <c r="DH342" s="69"/>
      <c r="DI342" s="69"/>
      <c r="DJ342" s="69"/>
      <c r="DK342" s="69"/>
      <c r="DL342" s="69"/>
      <c r="DM342" s="69"/>
      <c r="DN342" s="69"/>
      <c r="DO342" s="69"/>
      <c r="DP342" s="69"/>
      <c r="DQ342" s="69"/>
      <c r="DR342" s="69"/>
      <c r="DS342" s="69"/>
      <c r="DT342" s="69"/>
      <c r="DU342" s="69"/>
    </row>
    <row r="343" ht="15.75" customHeight="1">
      <c r="A343" s="69"/>
      <c r="B343" s="69"/>
      <c r="C343" s="69"/>
      <c r="D343" s="4"/>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c r="AZ343" s="69"/>
      <c r="BA343" s="69"/>
      <c r="BB343" s="69"/>
      <c r="BC343" s="69"/>
      <c r="BD343" s="69"/>
      <c r="BE343" s="69"/>
      <c r="BF343" s="69"/>
      <c r="BG343" s="69"/>
      <c r="BH343" s="69"/>
      <c r="BI343" s="69"/>
      <c r="BJ343" s="69"/>
      <c r="BK343" s="69"/>
      <c r="BL343" s="69"/>
      <c r="BM343" s="69"/>
      <c r="BN343" s="69"/>
      <c r="BO343" s="69"/>
      <c r="BP343" s="69"/>
      <c r="BQ343" s="69"/>
      <c r="BR343" s="69"/>
      <c r="BS343" s="69"/>
      <c r="BT343" s="69"/>
      <c r="BU343" s="69"/>
      <c r="BV343" s="69"/>
      <c r="BW343" s="69"/>
      <c r="BX343" s="69"/>
      <c r="BY343" s="69"/>
      <c r="BZ343" s="69"/>
      <c r="CA343" s="69"/>
      <c r="CB343" s="69"/>
      <c r="CC343" s="69"/>
      <c r="CD343" s="69"/>
      <c r="CE343" s="69"/>
      <c r="CF343" s="69"/>
      <c r="CG343" s="69"/>
      <c r="CH343" s="69"/>
      <c r="CI343" s="69"/>
      <c r="CJ343" s="69"/>
      <c r="CK343" s="69"/>
      <c r="CL343" s="69"/>
      <c r="CM343" s="69"/>
      <c r="CN343" s="69"/>
      <c r="CO343" s="69"/>
      <c r="CP343" s="69"/>
      <c r="CQ343" s="69"/>
      <c r="CR343" s="69"/>
      <c r="CS343" s="69"/>
      <c r="CT343" s="69"/>
      <c r="CU343" s="69"/>
      <c r="CV343" s="69"/>
      <c r="CW343" s="69"/>
      <c r="CX343" s="69"/>
      <c r="CY343" s="69"/>
      <c r="CZ343" s="69"/>
      <c r="DA343" s="69"/>
      <c r="DB343" s="69"/>
      <c r="DC343" s="69"/>
      <c r="DD343" s="69"/>
      <c r="DE343" s="69"/>
      <c r="DF343" s="69"/>
      <c r="DG343" s="69"/>
      <c r="DH343" s="69"/>
      <c r="DI343" s="69"/>
      <c r="DJ343" s="69"/>
      <c r="DK343" s="69"/>
      <c r="DL343" s="69"/>
      <c r="DM343" s="69"/>
      <c r="DN343" s="69"/>
      <c r="DO343" s="69"/>
      <c r="DP343" s="69"/>
      <c r="DQ343" s="69"/>
      <c r="DR343" s="69"/>
      <c r="DS343" s="69"/>
      <c r="DT343" s="69"/>
      <c r="DU343" s="69"/>
    </row>
    <row r="344" ht="15.75" customHeight="1">
      <c r="A344" s="69"/>
      <c r="B344" s="69"/>
      <c r="C344" s="69"/>
      <c r="D344" s="4"/>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c r="BN344" s="69"/>
      <c r="BO344" s="69"/>
      <c r="BP344" s="69"/>
      <c r="BQ344" s="69"/>
      <c r="BR344" s="69"/>
      <c r="BS344" s="69"/>
      <c r="BT344" s="69"/>
      <c r="BU344" s="69"/>
      <c r="BV344" s="69"/>
      <c r="BW344" s="69"/>
      <c r="BX344" s="69"/>
      <c r="BY344" s="69"/>
      <c r="BZ344" s="69"/>
      <c r="CA344" s="69"/>
      <c r="CB344" s="69"/>
      <c r="CC344" s="69"/>
      <c r="CD344" s="69"/>
      <c r="CE344" s="69"/>
      <c r="CF344" s="69"/>
      <c r="CG344" s="69"/>
      <c r="CH344" s="69"/>
      <c r="CI344" s="69"/>
      <c r="CJ344" s="69"/>
      <c r="CK344" s="69"/>
      <c r="CL344" s="69"/>
      <c r="CM344" s="69"/>
      <c r="CN344" s="69"/>
      <c r="CO344" s="69"/>
      <c r="CP344" s="69"/>
      <c r="CQ344" s="69"/>
      <c r="CR344" s="69"/>
      <c r="CS344" s="69"/>
      <c r="CT344" s="69"/>
      <c r="CU344" s="69"/>
      <c r="CV344" s="69"/>
      <c r="CW344" s="69"/>
      <c r="CX344" s="69"/>
      <c r="CY344" s="69"/>
      <c r="CZ344" s="69"/>
      <c r="DA344" s="69"/>
      <c r="DB344" s="69"/>
      <c r="DC344" s="69"/>
      <c r="DD344" s="69"/>
      <c r="DE344" s="69"/>
      <c r="DF344" s="69"/>
      <c r="DG344" s="69"/>
      <c r="DH344" s="69"/>
      <c r="DI344" s="69"/>
      <c r="DJ344" s="69"/>
      <c r="DK344" s="69"/>
      <c r="DL344" s="69"/>
      <c r="DM344" s="69"/>
      <c r="DN344" s="69"/>
      <c r="DO344" s="69"/>
      <c r="DP344" s="69"/>
      <c r="DQ344" s="69"/>
      <c r="DR344" s="69"/>
      <c r="DS344" s="69"/>
      <c r="DT344" s="69"/>
      <c r="DU344" s="69"/>
    </row>
    <row r="345" ht="15.75" customHeight="1">
      <c r="A345" s="69"/>
      <c r="B345" s="69"/>
      <c r="C345" s="69"/>
      <c r="D345" s="4"/>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c r="AW345" s="69"/>
      <c r="AX345" s="69"/>
      <c r="AY345" s="69"/>
      <c r="AZ345" s="69"/>
      <c r="BA345" s="69"/>
      <c r="BB345" s="69"/>
      <c r="BC345" s="69"/>
      <c r="BD345" s="69"/>
      <c r="BE345" s="69"/>
      <c r="BF345" s="69"/>
      <c r="BG345" s="69"/>
      <c r="BH345" s="69"/>
      <c r="BI345" s="69"/>
      <c r="BJ345" s="69"/>
      <c r="BK345" s="69"/>
      <c r="BL345" s="69"/>
      <c r="BM345" s="69"/>
      <c r="BN345" s="69"/>
      <c r="BO345" s="69"/>
      <c r="BP345" s="69"/>
      <c r="BQ345" s="69"/>
      <c r="BR345" s="69"/>
      <c r="BS345" s="69"/>
      <c r="BT345" s="69"/>
      <c r="BU345" s="69"/>
      <c r="BV345" s="69"/>
      <c r="BW345" s="69"/>
      <c r="BX345" s="69"/>
      <c r="BY345" s="69"/>
      <c r="BZ345" s="69"/>
      <c r="CA345" s="69"/>
      <c r="CB345" s="69"/>
      <c r="CC345" s="69"/>
      <c r="CD345" s="69"/>
      <c r="CE345" s="69"/>
      <c r="CF345" s="69"/>
      <c r="CG345" s="69"/>
      <c r="CH345" s="69"/>
      <c r="CI345" s="69"/>
      <c r="CJ345" s="69"/>
      <c r="CK345" s="69"/>
      <c r="CL345" s="69"/>
      <c r="CM345" s="69"/>
      <c r="CN345" s="69"/>
      <c r="CO345" s="69"/>
      <c r="CP345" s="69"/>
      <c r="CQ345" s="69"/>
      <c r="CR345" s="69"/>
      <c r="CS345" s="69"/>
      <c r="CT345" s="69"/>
      <c r="CU345" s="69"/>
      <c r="CV345" s="69"/>
      <c r="CW345" s="69"/>
      <c r="CX345" s="69"/>
      <c r="CY345" s="69"/>
      <c r="CZ345" s="69"/>
      <c r="DA345" s="69"/>
      <c r="DB345" s="69"/>
      <c r="DC345" s="69"/>
      <c r="DD345" s="69"/>
      <c r="DE345" s="69"/>
      <c r="DF345" s="69"/>
      <c r="DG345" s="69"/>
      <c r="DH345" s="69"/>
      <c r="DI345" s="69"/>
      <c r="DJ345" s="69"/>
      <c r="DK345" s="69"/>
      <c r="DL345" s="69"/>
      <c r="DM345" s="69"/>
      <c r="DN345" s="69"/>
      <c r="DO345" s="69"/>
      <c r="DP345" s="69"/>
      <c r="DQ345" s="69"/>
      <c r="DR345" s="69"/>
      <c r="DS345" s="69"/>
      <c r="DT345" s="69"/>
      <c r="DU345" s="69"/>
    </row>
    <row r="346" ht="15.75" customHeight="1">
      <c r="A346" s="69"/>
      <c r="B346" s="69"/>
      <c r="C346" s="69"/>
      <c r="D346" s="4"/>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c r="BN346" s="69"/>
      <c r="BO346" s="69"/>
      <c r="BP346" s="69"/>
      <c r="BQ346" s="69"/>
      <c r="BR346" s="69"/>
      <c r="BS346" s="69"/>
      <c r="BT346" s="69"/>
      <c r="BU346" s="69"/>
      <c r="BV346" s="69"/>
      <c r="BW346" s="69"/>
      <c r="BX346" s="69"/>
      <c r="BY346" s="69"/>
      <c r="BZ346" s="69"/>
      <c r="CA346" s="69"/>
      <c r="CB346" s="69"/>
      <c r="CC346" s="69"/>
      <c r="CD346" s="69"/>
      <c r="CE346" s="69"/>
      <c r="CF346" s="69"/>
      <c r="CG346" s="69"/>
      <c r="CH346" s="69"/>
      <c r="CI346" s="69"/>
      <c r="CJ346" s="69"/>
      <c r="CK346" s="69"/>
      <c r="CL346" s="69"/>
      <c r="CM346" s="69"/>
      <c r="CN346" s="69"/>
      <c r="CO346" s="69"/>
      <c r="CP346" s="69"/>
      <c r="CQ346" s="69"/>
      <c r="CR346" s="69"/>
      <c r="CS346" s="69"/>
      <c r="CT346" s="69"/>
      <c r="CU346" s="69"/>
      <c r="CV346" s="69"/>
      <c r="CW346" s="69"/>
      <c r="CX346" s="69"/>
      <c r="CY346" s="69"/>
      <c r="CZ346" s="69"/>
      <c r="DA346" s="69"/>
      <c r="DB346" s="69"/>
      <c r="DC346" s="69"/>
      <c r="DD346" s="69"/>
      <c r="DE346" s="69"/>
      <c r="DF346" s="69"/>
      <c r="DG346" s="69"/>
      <c r="DH346" s="69"/>
      <c r="DI346" s="69"/>
      <c r="DJ346" s="69"/>
      <c r="DK346" s="69"/>
      <c r="DL346" s="69"/>
      <c r="DM346" s="69"/>
      <c r="DN346" s="69"/>
      <c r="DO346" s="69"/>
      <c r="DP346" s="69"/>
      <c r="DQ346" s="69"/>
      <c r="DR346" s="69"/>
      <c r="DS346" s="69"/>
      <c r="DT346" s="69"/>
      <c r="DU346" s="69"/>
    </row>
    <row r="347" ht="15.75" customHeight="1">
      <c r="A347" s="69"/>
      <c r="B347" s="69"/>
      <c r="C347" s="69"/>
      <c r="D347" s="4"/>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c r="AW347" s="69"/>
      <c r="AX347" s="69"/>
      <c r="AY347" s="69"/>
      <c r="AZ347" s="69"/>
      <c r="BA347" s="69"/>
      <c r="BB347" s="69"/>
      <c r="BC347" s="69"/>
      <c r="BD347" s="69"/>
      <c r="BE347" s="69"/>
      <c r="BF347" s="69"/>
      <c r="BG347" s="69"/>
      <c r="BH347" s="69"/>
      <c r="BI347" s="69"/>
      <c r="BJ347" s="69"/>
      <c r="BK347" s="69"/>
      <c r="BL347" s="69"/>
      <c r="BM347" s="69"/>
      <c r="BN347" s="69"/>
      <c r="BO347" s="69"/>
      <c r="BP347" s="69"/>
      <c r="BQ347" s="69"/>
      <c r="BR347" s="69"/>
      <c r="BS347" s="69"/>
      <c r="BT347" s="69"/>
      <c r="BU347" s="69"/>
      <c r="BV347" s="69"/>
      <c r="BW347" s="69"/>
      <c r="BX347" s="69"/>
      <c r="BY347" s="69"/>
      <c r="BZ347" s="69"/>
      <c r="CA347" s="69"/>
      <c r="CB347" s="69"/>
      <c r="CC347" s="69"/>
      <c r="CD347" s="69"/>
      <c r="CE347" s="69"/>
      <c r="CF347" s="69"/>
      <c r="CG347" s="69"/>
      <c r="CH347" s="69"/>
      <c r="CI347" s="69"/>
      <c r="CJ347" s="69"/>
      <c r="CK347" s="69"/>
      <c r="CL347" s="69"/>
      <c r="CM347" s="69"/>
      <c r="CN347" s="69"/>
      <c r="CO347" s="69"/>
      <c r="CP347" s="69"/>
      <c r="CQ347" s="69"/>
      <c r="CR347" s="69"/>
      <c r="CS347" s="69"/>
      <c r="CT347" s="69"/>
      <c r="CU347" s="69"/>
      <c r="CV347" s="69"/>
      <c r="CW347" s="69"/>
      <c r="CX347" s="69"/>
      <c r="CY347" s="69"/>
      <c r="CZ347" s="69"/>
      <c r="DA347" s="69"/>
      <c r="DB347" s="69"/>
      <c r="DC347" s="69"/>
      <c r="DD347" s="69"/>
      <c r="DE347" s="69"/>
      <c r="DF347" s="69"/>
      <c r="DG347" s="69"/>
      <c r="DH347" s="69"/>
      <c r="DI347" s="69"/>
      <c r="DJ347" s="69"/>
      <c r="DK347" s="69"/>
      <c r="DL347" s="69"/>
      <c r="DM347" s="69"/>
      <c r="DN347" s="69"/>
      <c r="DO347" s="69"/>
      <c r="DP347" s="69"/>
      <c r="DQ347" s="69"/>
      <c r="DR347" s="69"/>
      <c r="DS347" s="69"/>
      <c r="DT347" s="69"/>
      <c r="DU347" s="69"/>
    </row>
    <row r="348" ht="15.75" customHeight="1">
      <c r="A348" s="69"/>
      <c r="B348" s="69"/>
      <c r="C348" s="69"/>
      <c r="D348" s="4"/>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c r="BN348" s="69"/>
      <c r="BO348" s="69"/>
      <c r="BP348" s="69"/>
      <c r="BQ348" s="69"/>
      <c r="BR348" s="69"/>
      <c r="BS348" s="69"/>
      <c r="BT348" s="69"/>
      <c r="BU348" s="69"/>
      <c r="BV348" s="69"/>
      <c r="BW348" s="69"/>
      <c r="BX348" s="69"/>
      <c r="BY348" s="69"/>
      <c r="BZ348" s="69"/>
      <c r="CA348" s="69"/>
      <c r="CB348" s="69"/>
      <c r="CC348" s="69"/>
      <c r="CD348" s="69"/>
      <c r="CE348" s="69"/>
      <c r="CF348" s="69"/>
      <c r="CG348" s="69"/>
      <c r="CH348" s="69"/>
      <c r="CI348" s="69"/>
      <c r="CJ348" s="69"/>
      <c r="CK348" s="69"/>
      <c r="CL348" s="69"/>
      <c r="CM348" s="69"/>
      <c r="CN348" s="69"/>
      <c r="CO348" s="69"/>
      <c r="CP348" s="69"/>
      <c r="CQ348" s="69"/>
      <c r="CR348" s="69"/>
      <c r="CS348" s="69"/>
      <c r="CT348" s="69"/>
      <c r="CU348" s="69"/>
      <c r="CV348" s="69"/>
      <c r="CW348" s="69"/>
      <c r="CX348" s="69"/>
      <c r="CY348" s="69"/>
      <c r="CZ348" s="69"/>
      <c r="DA348" s="69"/>
      <c r="DB348" s="69"/>
      <c r="DC348" s="69"/>
      <c r="DD348" s="69"/>
      <c r="DE348" s="69"/>
      <c r="DF348" s="69"/>
      <c r="DG348" s="69"/>
      <c r="DH348" s="69"/>
      <c r="DI348" s="69"/>
      <c r="DJ348" s="69"/>
      <c r="DK348" s="69"/>
      <c r="DL348" s="69"/>
      <c r="DM348" s="69"/>
      <c r="DN348" s="69"/>
      <c r="DO348" s="69"/>
      <c r="DP348" s="69"/>
      <c r="DQ348" s="69"/>
      <c r="DR348" s="69"/>
      <c r="DS348" s="69"/>
      <c r="DT348" s="69"/>
      <c r="DU348" s="69"/>
    </row>
    <row r="349" ht="15.75" customHeight="1">
      <c r="A349" s="69"/>
      <c r="B349" s="69"/>
      <c r="C349" s="69"/>
      <c r="D349" s="4"/>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c r="AW349" s="69"/>
      <c r="AX349" s="69"/>
      <c r="AY349" s="69"/>
      <c r="AZ349" s="69"/>
      <c r="BA349" s="69"/>
      <c r="BB349" s="69"/>
      <c r="BC349" s="69"/>
      <c r="BD349" s="69"/>
      <c r="BE349" s="69"/>
      <c r="BF349" s="69"/>
      <c r="BG349" s="69"/>
      <c r="BH349" s="69"/>
      <c r="BI349" s="69"/>
      <c r="BJ349" s="69"/>
      <c r="BK349" s="69"/>
      <c r="BL349" s="69"/>
      <c r="BM349" s="69"/>
      <c r="BN349" s="69"/>
      <c r="BO349" s="69"/>
      <c r="BP349" s="69"/>
      <c r="BQ349" s="69"/>
      <c r="BR349" s="69"/>
      <c r="BS349" s="69"/>
      <c r="BT349" s="69"/>
      <c r="BU349" s="69"/>
      <c r="BV349" s="69"/>
      <c r="BW349" s="69"/>
      <c r="BX349" s="69"/>
      <c r="BY349" s="69"/>
      <c r="BZ349" s="69"/>
      <c r="CA349" s="69"/>
      <c r="CB349" s="69"/>
      <c r="CC349" s="69"/>
      <c r="CD349" s="69"/>
      <c r="CE349" s="69"/>
      <c r="CF349" s="69"/>
      <c r="CG349" s="69"/>
      <c r="CH349" s="69"/>
      <c r="CI349" s="69"/>
      <c r="CJ349" s="69"/>
      <c r="CK349" s="69"/>
      <c r="CL349" s="69"/>
      <c r="CM349" s="69"/>
      <c r="CN349" s="69"/>
      <c r="CO349" s="69"/>
      <c r="CP349" s="69"/>
      <c r="CQ349" s="69"/>
      <c r="CR349" s="69"/>
      <c r="CS349" s="69"/>
      <c r="CT349" s="69"/>
      <c r="CU349" s="69"/>
      <c r="CV349" s="69"/>
      <c r="CW349" s="69"/>
      <c r="CX349" s="69"/>
      <c r="CY349" s="69"/>
      <c r="CZ349" s="69"/>
      <c r="DA349" s="69"/>
      <c r="DB349" s="69"/>
      <c r="DC349" s="69"/>
      <c r="DD349" s="69"/>
      <c r="DE349" s="69"/>
      <c r="DF349" s="69"/>
      <c r="DG349" s="69"/>
      <c r="DH349" s="69"/>
      <c r="DI349" s="69"/>
      <c r="DJ349" s="69"/>
      <c r="DK349" s="69"/>
      <c r="DL349" s="69"/>
      <c r="DM349" s="69"/>
      <c r="DN349" s="69"/>
      <c r="DO349" s="69"/>
      <c r="DP349" s="69"/>
      <c r="DQ349" s="69"/>
      <c r="DR349" s="69"/>
      <c r="DS349" s="69"/>
      <c r="DT349" s="69"/>
      <c r="DU349" s="69"/>
    </row>
    <row r="350" ht="15.75" customHeight="1">
      <c r="A350" s="69"/>
      <c r="B350" s="69"/>
      <c r="C350" s="69"/>
      <c r="D350" s="4"/>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c r="AZ350" s="69"/>
      <c r="BA350" s="69"/>
      <c r="BB350" s="69"/>
      <c r="BC350" s="69"/>
      <c r="BD350" s="69"/>
      <c r="BE350" s="69"/>
      <c r="BF350" s="69"/>
      <c r="BG350" s="69"/>
      <c r="BH350" s="69"/>
      <c r="BI350" s="69"/>
      <c r="BJ350" s="69"/>
      <c r="BK350" s="69"/>
      <c r="BL350" s="69"/>
      <c r="BM350" s="69"/>
      <c r="BN350" s="69"/>
      <c r="BO350" s="69"/>
      <c r="BP350" s="69"/>
      <c r="BQ350" s="69"/>
      <c r="BR350" s="69"/>
      <c r="BS350" s="69"/>
      <c r="BT350" s="69"/>
      <c r="BU350" s="69"/>
      <c r="BV350" s="69"/>
      <c r="BW350" s="69"/>
      <c r="BX350" s="69"/>
      <c r="BY350" s="69"/>
      <c r="BZ350" s="69"/>
      <c r="CA350" s="69"/>
      <c r="CB350" s="69"/>
      <c r="CC350" s="69"/>
      <c r="CD350" s="69"/>
      <c r="CE350" s="69"/>
      <c r="CF350" s="69"/>
      <c r="CG350" s="69"/>
      <c r="CH350" s="69"/>
      <c r="CI350" s="69"/>
      <c r="CJ350" s="69"/>
      <c r="CK350" s="69"/>
      <c r="CL350" s="69"/>
      <c r="CM350" s="69"/>
      <c r="CN350" s="69"/>
      <c r="CO350" s="69"/>
      <c r="CP350" s="69"/>
      <c r="CQ350" s="69"/>
      <c r="CR350" s="69"/>
      <c r="CS350" s="69"/>
      <c r="CT350" s="69"/>
      <c r="CU350" s="69"/>
      <c r="CV350" s="69"/>
      <c r="CW350" s="69"/>
      <c r="CX350" s="69"/>
      <c r="CY350" s="69"/>
      <c r="CZ350" s="69"/>
      <c r="DA350" s="69"/>
      <c r="DB350" s="69"/>
      <c r="DC350" s="69"/>
      <c r="DD350" s="69"/>
      <c r="DE350" s="69"/>
      <c r="DF350" s="69"/>
      <c r="DG350" s="69"/>
      <c r="DH350" s="69"/>
      <c r="DI350" s="69"/>
      <c r="DJ350" s="69"/>
      <c r="DK350" s="69"/>
      <c r="DL350" s="69"/>
      <c r="DM350" s="69"/>
      <c r="DN350" s="69"/>
      <c r="DO350" s="69"/>
      <c r="DP350" s="69"/>
      <c r="DQ350" s="69"/>
      <c r="DR350" s="69"/>
      <c r="DS350" s="69"/>
      <c r="DT350" s="69"/>
      <c r="DU350" s="69"/>
    </row>
    <row r="351" ht="15.75" customHeight="1">
      <c r="A351" s="69"/>
      <c r="B351" s="69"/>
      <c r="C351" s="69"/>
      <c r="D351" s="4"/>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c r="AW351" s="69"/>
      <c r="AX351" s="69"/>
      <c r="AY351" s="69"/>
      <c r="AZ351" s="69"/>
      <c r="BA351" s="69"/>
      <c r="BB351" s="69"/>
      <c r="BC351" s="69"/>
      <c r="BD351" s="69"/>
      <c r="BE351" s="69"/>
      <c r="BF351" s="69"/>
      <c r="BG351" s="69"/>
      <c r="BH351" s="69"/>
      <c r="BI351" s="69"/>
      <c r="BJ351" s="69"/>
      <c r="BK351" s="69"/>
      <c r="BL351" s="69"/>
      <c r="BM351" s="69"/>
      <c r="BN351" s="69"/>
      <c r="BO351" s="69"/>
      <c r="BP351" s="69"/>
      <c r="BQ351" s="69"/>
      <c r="BR351" s="69"/>
      <c r="BS351" s="69"/>
      <c r="BT351" s="69"/>
      <c r="BU351" s="69"/>
      <c r="BV351" s="69"/>
      <c r="BW351" s="69"/>
      <c r="BX351" s="69"/>
      <c r="BY351" s="69"/>
      <c r="BZ351" s="69"/>
      <c r="CA351" s="69"/>
      <c r="CB351" s="69"/>
      <c r="CC351" s="69"/>
      <c r="CD351" s="69"/>
      <c r="CE351" s="69"/>
      <c r="CF351" s="69"/>
      <c r="CG351" s="69"/>
      <c r="CH351" s="69"/>
      <c r="CI351" s="69"/>
      <c r="CJ351" s="69"/>
      <c r="CK351" s="69"/>
      <c r="CL351" s="69"/>
      <c r="CM351" s="69"/>
      <c r="CN351" s="69"/>
      <c r="CO351" s="69"/>
      <c r="CP351" s="69"/>
      <c r="CQ351" s="69"/>
      <c r="CR351" s="69"/>
      <c r="CS351" s="69"/>
      <c r="CT351" s="69"/>
      <c r="CU351" s="69"/>
      <c r="CV351" s="69"/>
      <c r="CW351" s="69"/>
      <c r="CX351" s="69"/>
      <c r="CY351" s="69"/>
      <c r="CZ351" s="69"/>
      <c r="DA351" s="69"/>
      <c r="DB351" s="69"/>
      <c r="DC351" s="69"/>
      <c r="DD351" s="69"/>
      <c r="DE351" s="69"/>
      <c r="DF351" s="69"/>
      <c r="DG351" s="69"/>
      <c r="DH351" s="69"/>
      <c r="DI351" s="69"/>
      <c r="DJ351" s="69"/>
      <c r="DK351" s="69"/>
      <c r="DL351" s="69"/>
      <c r="DM351" s="69"/>
      <c r="DN351" s="69"/>
      <c r="DO351" s="69"/>
      <c r="DP351" s="69"/>
      <c r="DQ351" s="69"/>
      <c r="DR351" s="69"/>
      <c r="DS351" s="69"/>
      <c r="DT351" s="69"/>
      <c r="DU351" s="69"/>
    </row>
    <row r="352" ht="15.75" customHeight="1">
      <c r="A352" s="69"/>
      <c r="B352" s="69"/>
      <c r="C352" s="69"/>
      <c r="D352" s="4"/>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c r="AZ352" s="69"/>
      <c r="BA352" s="69"/>
      <c r="BB352" s="69"/>
      <c r="BC352" s="69"/>
      <c r="BD352" s="69"/>
      <c r="BE352" s="69"/>
      <c r="BF352" s="69"/>
      <c r="BG352" s="69"/>
      <c r="BH352" s="69"/>
      <c r="BI352" s="69"/>
      <c r="BJ352" s="69"/>
      <c r="BK352" s="69"/>
      <c r="BL352" s="69"/>
      <c r="BM352" s="69"/>
      <c r="BN352" s="69"/>
      <c r="BO352" s="69"/>
      <c r="BP352" s="69"/>
      <c r="BQ352" s="69"/>
      <c r="BR352" s="69"/>
      <c r="BS352" s="69"/>
      <c r="BT352" s="69"/>
      <c r="BU352" s="69"/>
      <c r="BV352" s="69"/>
      <c r="BW352" s="69"/>
      <c r="BX352" s="69"/>
      <c r="BY352" s="69"/>
      <c r="BZ352" s="69"/>
      <c r="CA352" s="69"/>
      <c r="CB352" s="69"/>
      <c r="CC352" s="69"/>
      <c r="CD352" s="69"/>
      <c r="CE352" s="69"/>
      <c r="CF352" s="69"/>
      <c r="CG352" s="69"/>
      <c r="CH352" s="69"/>
      <c r="CI352" s="69"/>
      <c r="CJ352" s="69"/>
      <c r="CK352" s="69"/>
      <c r="CL352" s="69"/>
      <c r="CM352" s="69"/>
      <c r="CN352" s="69"/>
      <c r="CO352" s="69"/>
      <c r="CP352" s="69"/>
      <c r="CQ352" s="69"/>
      <c r="CR352" s="69"/>
      <c r="CS352" s="69"/>
      <c r="CT352" s="69"/>
      <c r="CU352" s="69"/>
      <c r="CV352" s="69"/>
      <c r="CW352" s="69"/>
      <c r="CX352" s="69"/>
      <c r="CY352" s="69"/>
      <c r="CZ352" s="69"/>
      <c r="DA352" s="69"/>
      <c r="DB352" s="69"/>
      <c r="DC352" s="69"/>
      <c r="DD352" s="69"/>
      <c r="DE352" s="69"/>
      <c r="DF352" s="69"/>
      <c r="DG352" s="69"/>
      <c r="DH352" s="69"/>
      <c r="DI352" s="69"/>
      <c r="DJ352" s="69"/>
      <c r="DK352" s="69"/>
      <c r="DL352" s="69"/>
      <c r="DM352" s="69"/>
      <c r="DN352" s="69"/>
      <c r="DO352" s="69"/>
      <c r="DP352" s="69"/>
      <c r="DQ352" s="69"/>
      <c r="DR352" s="69"/>
      <c r="DS352" s="69"/>
      <c r="DT352" s="69"/>
      <c r="DU352" s="69"/>
    </row>
    <row r="353" ht="15.75" customHeight="1">
      <c r="A353" s="69"/>
      <c r="B353" s="69"/>
      <c r="C353" s="69"/>
      <c r="D353" s="4"/>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c r="AW353" s="69"/>
      <c r="AX353" s="69"/>
      <c r="AY353" s="69"/>
      <c r="AZ353" s="69"/>
      <c r="BA353" s="69"/>
      <c r="BB353" s="69"/>
      <c r="BC353" s="69"/>
      <c r="BD353" s="69"/>
      <c r="BE353" s="69"/>
      <c r="BF353" s="69"/>
      <c r="BG353" s="69"/>
      <c r="BH353" s="69"/>
      <c r="BI353" s="69"/>
      <c r="BJ353" s="69"/>
      <c r="BK353" s="69"/>
      <c r="BL353" s="69"/>
      <c r="BM353" s="69"/>
      <c r="BN353" s="69"/>
      <c r="BO353" s="69"/>
      <c r="BP353" s="69"/>
      <c r="BQ353" s="69"/>
      <c r="BR353" s="69"/>
      <c r="BS353" s="69"/>
      <c r="BT353" s="69"/>
      <c r="BU353" s="69"/>
      <c r="BV353" s="69"/>
      <c r="BW353" s="69"/>
      <c r="BX353" s="69"/>
      <c r="BY353" s="69"/>
      <c r="BZ353" s="69"/>
      <c r="CA353" s="69"/>
      <c r="CB353" s="69"/>
      <c r="CC353" s="69"/>
      <c r="CD353" s="69"/>
      <c r="CE353" s="69"/>
      <c r="CF353" s="69"/>
      <c r="CG353" s="69"/>
      <c r="CH353" s="69"/>
      <c r="CI353" s="69"/>
      <c r="CJ353" s="69"/>
      <c r="CK353" s="69"/>
      <c r="CL353" s="69"/>
      <c r="CM353" s="69"/>
      <c r="CN353" s="69"/>
      <c r="CO353" s="69"/>
      <c r="CP353" s="69"/>
      <c r="CQ353" s="69"/>
      <c r="CR353" s="69"/>
      <c r="CS353" s="69"/>
      <c r="CT353" s="69"/>
      <c r="CU353" s="69"/>
      <c r="CV353" s="69"/>
      <c r="CW353" s="69"/>
      <c r="CX353" s="69"/>
      <c r="CY353" s="69"/>
      <c r="CZ353" s="69"/>
      <c r="DA353" s="69"/>
      <c r="DB353" s="69"/>
      <c r="DC353" s="69"/>
      <c r="DD353" s="69"/>
      <c r="DE353" s="69"/>
      <c r="DF353" s="69"/>
      <c r="DG353" s="69"/>
      <c r="DH353" s="69"/>
      <c r="DI353" s="69"/>
      <c r="DJ353" s="69"/>
      <c r="DK353" s="69"/>
      <c r="DL353" s="69"/>
      <c r="DM353" s="69"/>
      <c r="DN353" s="69"/>
      <c r="DO353" s="69"/>
      <c r="DP353" s="69"/>
      <c r="DQ353" s="69"/>
      <c r="DR353" s="69"/>
      <c r="DS353" s="69"/>
      <c r="DT353" s="69"/>
      <c r="DU353" s="69"/>
    </row>
    <row r="354" ht="15.75" customHeight="1">
      <c r="A354" s="69"/>
      <c r="B354" s="69"/>
      <c r="C354" s="69"/>
      <c r="D354" s="4"/>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c r="BN354" s="69"/>
      <c r="BO354" s="69"/>
      <c r="BP354" s="69"/>
      <c r="BQ354" s="69"/>
      <c r="BR354" s="69"/>
      <c r="BS354" s="69"/>
      <c r="BT354" s="69"/>
      <c r="BU354" s="69"/>
      <c r="BV354" s="69"/>
      <c r="BW354" s="69"/>
      <c r="BX354" s="69"/>
      <c r="BY354" s="69"/>
      <c r="BZ354" s="69"/>
      <c r="CA354" s="69"/>
      <c r="CB354" s="69"/>
      <c r="CC354" s="69"/>
      <c r="CD354" s="69"/>
      <c r="CE354" s="69"/>
      <c r="CF354" s="69"/>
      <c r="CG354" s="69"/>
      <c r="CH354" s="69"/>
      <c r="CI354" s="69"/>
      <c r="CJ354" s="69"/>
      <c r="CK354" s="69"/>
      <c r="CL354" s="69"/>
      <c r="CM354" s="69"/>
      <c r="CN354" s="69"/>
      <c r="CO354" s="69"/>
      <c r="CP354" s="69"/>
      <c r="CQ354" s="69"/>
      <c r="CR354" s="69"/>
      <c r="CS354" s="69"/>
      <c r="CT354" s="69"/>
      <c r="CU354" s="69"/>
      <c r="CV354" s="69"/>
      <c r="CW354" s="69"/>
      <c r="CX354" s="69"/>
      <c r="CY354" s="69"/>
      <c r="CZ354" s="69"/>
      <c r="DA354" s="69"/>
      <c r="DB354" s="69"/>
      <c r="DC354" s="69"/>
      <c r="DD354" s="69"/>
      <c r="DE354" s="69"/>
      <c r="DF354" s="69"/>
      <c r="DG354" s="69"/>
      <c r="DH354" s="69"/>
      <c r="DI354" s="69"/>
      <c r="DJ354" s="69"/>
      <c r="DK354" s="69"/>
      <c r="DL354" s="69"/>
      <c r="DM354" s="69"/>
      <c r="DN354" s="69"/>
      <c r="DO354" s="69"/>
      <c r="DP354" s="69"/>
      <c r="DQ354" s="69"/>
      <c r="DR354" s="69"/>
      <c r="DS354" s="69"/>
      <c r="DT354" s="69"/>
      <c r="DU354" s="69"/>
    </row>
    <row r="355" ht="15.75" customHeight="1">
      <c r="A355" s="69"/>
      <c r="B355" s="69"/>
      <c r="C355" s="69"/>
      <c r="D355" s="4"/>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c r="AW355" s="69"/>
      <c r="AX355" s="69"/>
      <c r="AY355" s="69"/>
      <c r="AZ355" s="69"/>
      <c r="BA355" s="69"/>
      <c r="BB355" s="69"/>
      <c r="BC355" s="69"/>
      <c r="BD355" s="69"/>
      <c r="BE355" s="69"/>
      <c r="BF355" s="69"/>
      <c r="BG355" s="69"/>
      <c r="BH355" s="69"/>
      <c r="BI355" s="69"/>
      <c r="BJ355" s="69"/>
      <c r="BK355" s="69"/>
      <c r="BL355" s="69"/>
      <c r="BM355" s="69"/>
      <c r="BN355" s="69"/>
      <c r="BO355" s="69"/>
      <c r="BP355" s="69"/>
      <c r="BQ355" s="69"/>
      <c r="BR355" s="69"/>
      <c r="BS355" s="69"/>
      <c r="BT355" s="69"/>
      <c r="BU355" s="69"/>
      <c r="BV355" s="69"/>
      <c r="BW355" s="69"/>
      <c r="BX355" s="69"/>
      <c r="BY355" s="69"/>
      <c r="BZ355" s="69"/>
      <c r="CA355" s="69"/>
      <c r="CB355" s="69"/>
      <c r="CC355" s="69"/>
      <c r="CD355" s="69"/>
      <c r="CE355" s="69"/>
      <c r="CF355" s="69"/>
      <c r="CG355" s="69"/>
      <c r="CH355" s="69"/>
      <c r="CI355" s="69"/>
      <c r="CJ355" s="69"/>
      <c r="CK355" s="69"/>
      <c r="CL355" s="69"/>
      <c r="CM355" s="69"/>
      <c r="CN355" s="69"/>
      <c r="CO355" s="69"/>
      <c r="CP355" s="69"/>
      <c r="CQ355" s="69"/>
      <c r="CR355" s="69"/>
      <c r="CS355" s="69"/>
      <c r="CT355" s="69"/>
      <c r="CU355" s="69"/>
      <c r="CV355" s="69"/>
      <c r="CW355" s="69"/>
      <c r="CX355" s="69"/>
      <c r="CY355" s="69"/>
      <c r="CZ355" s="69"/>
      <c r="DA355" s="69"/>
      <c r="DB355" s="69"/>
      <c r="DC355" s="69"/>
      <c r="DD355" s="69"/>
      <c r="DE355" s="69"/>
      <c r="DF355" s="69"/>
      <c r="DG355" s="69"/>
      <c r="DH355" s="69"/>
      <c r="DI355" s="69"/>
      <c r="DJ355" s="69"/>
      <c r="DK355" s="69"/>
      <c r="DL355" s="69"/>
      <c r="DM355" s="69"/>
      <c r="DN355" s="69"/>
      <c r="DO355" s="69"/>
      <c r="DP355" s="69"/>
      <c r="DQ355" s="69"/>
      <c r="DR355" s="69"/>
      <c r="DS355" s="69"/>
      <c r="DT355" s="69"/>
      <c r="DU355" s="69"/>
    </row>
    <row r="356" ht="15.75" customHeight="1">
      <c r="A356" s="69"/>
      <c r="B356" s="69"/>
      <c r="C356" s="69"/>
      <c r="D356" s="4"/>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c r="BN356" s="69"/>
      <c r="BO356" s="69"/>
      <c r="BP356" s="69"/>
      <c r="BQ356" s="69"/>
      <c r="BR356" s="69"/>
      <c r="BS356" s="69"/>
      <c r="BT356" s="69"/>
      <c r="BU356" s="69"/>
      <c r="BV356" s="69"/>
      <c r="BW356" s="69"/>
      <c r="BX356" s="69"/>
      <c r="BY356" s="69"/>
      <c r="BZ356" s="69"/>
      <c r="CA356" s="69"/>
      <c r="CB356" s="69"/>
      <c r="CC356" s="69"/>
      <c r="CD356" s="69"/>
      <c r="CE356" s="69"/>
      <c r="CF356" s="69"/>
      <c r="CG356" s="69"/>
      <c r="CH356" s="69"/>
      <c r="CI356" s="69"/>
      <c r="CJ356" s="69"/>
      <c r="CK356" s="69"/>
      <c r="CL356" s="69"/>
      <c r="CM356" s="69"/>
      <c r="CN356" s="69"/>
      <c r="CO356" s="69"/>
      <c r="CP356" s="69"/>
      <c r="CQ356" s="69"/>
      <c r="CR356" s="69"/>
      <c r="CS356" s="69"/>
      <c r="CT356" s="69"/>
      <c r="CU356" s="69"/>
      <c r="CV356" s="69"/>
      <c r="CW356" s="69"/>
      <c r="CX356" s="69"/>
      <c r="CY356" s="69"/>
      <c r="CZ356" s="69"/>
      <c r="DA356" s="69"/>
      <c r="DB356" s="69"/>
      <c r="DC356" s="69"/>
      <c r="DD356" s="69"/>
      <c r="DE356" s="69"/>
      <c r="DF356" s="69"/>
      <c r="DG356" s="69"/>
      <c r="DH356" s="69"/>
      <c r="DI356" s="69"/>
      <c r="DJ356" s="69"/>
      <c r="DK356" s="69"/>
      <c r="DL356" s="69"/>
      <c r="DM356" s="69"/>
      <c r="DN356" s="69"/>
      <c r="DO356" s="69"/>
      <c r="DP356" s="69"/>
      <c r="DQ356" s="69"/>
      <c r="DR356" s="69"/>
      <c r="DS356" s="69"/>
      <c r="DT356" s="69"/>
      <c r="DU356" s="69"/>
    </row>
    <row r="357" ht="15.75" customHeight="1">
      <c r="A357" s="69"/>
      <c r="B357" s="69"/>
      <c r="C357" s="69"/>
      <c r="D357" s="4"/>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c r="BN357" s="69"/>
      <c r="BO357" s="69"/>
      <c r="BP357" s="69"/>
      <c r="BQ357" s="69"/>
      <c r="BR357" s="69"/>
      <c r="BS357" s="69"/>
      <c r="BT357" s="69"/>
      <c r="BU357" s="69"/>
      <c r="BV357" s="69"/>
      <c r="BW357" s="69"/>
      <c r="BX357" s="69"/>
      <c r="BY357" s="69"/>
      <c r="BZ357" s="69"/>
      <c r="CA357" s="69"/>
      <c r="CB357" s="69"/>
      <c r="CC357" s="69"/>
      <c r="CD357" s="69"/>
      <c r="CE357" s="69"/>
      <c r="CF357" s="69"/>
      <c r="CG357" s="69"/>
      <c r="CH357" s="69"/>
      <c r="CI357" s="69"/>
      <c r="CJ357" s="69"/>
      <c r="CK357" s="69"/>
      <c r="CL357" s="69"/>
      <c r="CM357" s="69"/>
      <c r="CN357" s="69"/>
      <c r="CO357" s="69"/>
      <c r="CP357" s="69"/>
      <c r="CQ357" s="69"/>
      <c r="CR357" s="69"/>
      <c r="CS357" s="69"/>
      <c r="CT357" s="69"/>
      <c r="CU357" s="69"/>
      <c r="CV357" s="69"/>
      <c r="CW357" s="69"/>
      <c r="CX357" s="69"/>
      <c r="CY357" s="69"/>
      <c r="CZ357" s="69"/>
      <c r="DA357" s="69"/>
      <c r="DB357" s="69"/>
      <c r="DC357" s="69"/>
      <c r="DD357" s="69"/>
      <c r="DE357" s="69"/>
      <c r="DF357" s="69"/>
      <c r="DG357" s="69"/>
      <c r="DH357" s="69"/>
      <c r="DI357" s="69"/>
      <c r="DJ357" s="69"/>
      <c r="DK357" s="69"/>
      <c r="DL357" s="69"/>
      <c r="DM357" s="69"/>
      <c r="DN357" s="69"/>
      <c r="DO357" s="69"/>
      <c r="DP357" s="69"/>
      <c r="DQ357" s="69"/>
      <c r="DR357" s="69"/>
      <c r="DS357" s="69"/>
      <c r="DT357" s="69"/>
      <c r="DU357" s="69"/>
    </row>
    <row r="358" ht="15.75" customHeight="1">
      <c r="A358" s="69"/>
      <c r="B358" s="69"/>
      <c r="C358" s="69"/>
      <c r="D358" s="4"/>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c r="BN358" s="69"/>
      <c r="BO358" s="69"/>
      <c r="BP358" s="69"/>
      <c r="BQ358" s="69"/>
      <c r="BR358" s="69"/>
      <c r="BS358" s="69"/>
      <c r="BT358" s="69"/>
      <c r="BU358" s="69"/>
      <c r="BV358" s="69"/>
      <c r="BW358" s="69"/>
      <c r="BX358" s="69"/>
      <c r="BY358" s="69"/>
      <c r="BZ358" s="69"/>
      <c r="CA358" s="69"/>
      <c r="CB358" s="69"/>
      <c r="CC358" s="69"/>
      <c r="CD358" s="69"/>
      <c r="CE358" s="69"/>
      <c r="CF358" s="69"/>
      <c r="CG358" s="69"/>
      <c r="CH358" s="69"/>
      <c r="CI358" s="69"/>
      <c r="CJ358" s="69"/>
      <c r="CK358" s="69"/>
      <c r="CL358" s="69"/>
      <c r="CM358" s="69"/>
      <c r="CN358" s="69"/>
      <c r="CO358" s="69"/>
      <c r="CP358" s="69"/>
      <c r="CQ358" s="69"/>
      <c r="CR358" s="69"/>
      <c r="CS358" s="69"/>
      <c r="CT358" s="69"/>
      <c r="CU358" s="69"/>
      <c r="CV358" s="69"/>
      <c r="CW358" s="69"/>
      <c r="CX358" s="69"/>
      <c r="CY358" s="69"/>
      <c r="CZ358" s="69"/>
      <c r="DA358" s="69"/>
      <c r="DB358" s="69"/>
      <c r="DC358" s="69"/>
      <c r="DD358" s="69"/>
      <c r="DE358" s="69"/>
      <c r="DF358" s="69"/>
      <c r="DG358" s="69"/>
      <c r="DH358" s="69"/>
      <c r="DI358" s="69"/>
      <c r="DJ358" s="69"/>
      <c r="DK358" s="69"/>
      <c r="DL358" s="69"/>
      <c r="DM358" s="69"/>
      <c r="DN358" s="69"/>
      <c r="DO358" s="69"/>
      <c r="DP358" s="69"/>
      <c r="DQ358" s="69"/>
      <c r="DR358" s="69"/>
      <c r="DS358" s="69"/>
      <c r="DT358" s="69"/>
      <c r="DU358" s="69"/>
    </row>
    <row r="359" ht="15.75" customHeight="1">
      <c r="A359" s="69"/>
      <c r="B359" s="69"/>
      <c r="C359" s="69"/>
      <c r="D359" s="4"/>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c r="AW359" s="69"/>
      <c r="AX359" s="69"/>
      <c r="AY359" s="69"/>
      <c r="AZ359" s="69"/>
      <c r="BA359" s="69"/>
      <c r="BB359" s="69"/>
      <c r="BC359" s="69"/>
      <c r="BD359" s="69"/>
      <c r="BE359" s="69"/>
      <c r="BF359" s="69"/>
      <c r="BG359" s="69"/>
      <c r="BH359" s="69"/>
      <c r="BI359" s="69"/>
      <c r="BJ359" s="69"/>
      <c r="BK359" s="69"/>
      <c r="BL359" s="69"/>
      <c r="BM359" s="69"/>
      <c r="BN359" s="69"/>
      <c r="BO359" s="69"/>
      <c r="BP359" s="69"/>
      <c r="BQ359" s="69"/>
      <c r="BR359" s="69"/>
      <c r="BS359" s="69"/>
      <c r="BT359" s="69"/>
      <c r="BU359" s="69"/>
      <c r="BV359" s="69"/>
      <c r="BW359" s="69"/>
      <c r="BX359" s="69"/>
      <c r="BY359" s="69"/>
      <c r="BZ359" s="69"/>
      <c r="CA359" s="69"/>
      <c r="CB359" s="69"/>
      <c r="CC359" s="69"/>
      <c r="CD359" s="69"/>
      <c r="CE359" s="69"/>
      <c r="CF359" s="69"/>
      <c r="CG359" s="69"/>
      <c r="CH359" s="69"/>
      <c r="CI359" s="69"/>
      <c r="CJ359" s="69"/>
      <c r="CK359" s="69"/>
      <c r="CL359" s="69"/>
      <c r="CM359" s="69"/>
      <c r="CN359" s="69"/>
      <c r="CO359" s="69"/>
      <c r="CP359" s="69"/>
      <c r="CQ359" s="69"/>
      <c r="CR359" s="69"/>
      <c r="CS359" s="69"/>
      <c r="CT359" s="69"/>
      <c r="CU359" s="69"/>
      <c r="CV359" s="69"/>
      <c r="CW359" s="69"/>
      <c r="CX359" s="69"/>
      <c r="CY359" s="69"/>
      <c r="CZ359" s="69"/>
      <c r="DA359" s="69"/>
      <c r="DB359" s="69"/>
      <c r="DC359" s="69"/>
      <c r="DD359" s="69"/>
      <c r="DE359" s="69"/>
      <c r="DF359" s="69"/>
      <c r="DG359" s="69"/>
      <c r="DH359" s="69"/>
      <c r="DI359" s="69"/>
      <c r="DJ359" s="69"/>
      <c r="DK359" s="69"/>
      <c r="DL359" s="69"/>
      <c r="DM359" s="69"/>
      <c r="DN359" s="69"/>
      <c r="DO359" s="69"/>
      <c r="DP359" s="69"/>
      <c r="DQ359" s="69"/>
      <c r="DR359" s="69"/>
      <c r="DS359" s="69"/>
      <c r="DT359" s="69"/>
      <c r="DU359" s="69"/>
    </row>
    <row r="360" ht="15.75" customHeight="1">
      <c r="A360" s="69"/>
      <c r="B360" s="69"/>
      <c r="C360" s="69"/>
      <c r="D360" s="4"/>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c r="AZ360" s="69"/>
      <c r="BA360" s="69"/>
      <c r="BB360" s="69"/>
      <c r="BC360" s="69"/>
      <c r="BD360" s="69"/>
      <c r="BE360" s="69"/>
      <c r="BF360" s="69"/>
      <c r="BG360" s="69"/>
      <c r="BH360" s="69"/>
      <c r="BI360" s="69"/>
      <c r="BJ360" s="69"/>
      <c r="BK360" s="69"/>
      <c r="BL360" s="69"/>
      <c r="BM360" s="69"/>
      <c r="BN360" s="69"/>
      <c r="BO360" s="69"/>
      <c r="BP360" s="69"/>
      <c r="BQ360" s="69"/>
      <c r="BR360" s="69"/>
      <c r="BS360" s="69"/>
      <c r="BT360" s="69"/>
      <c r="BU360" s="69"/>
      <c r="BV360" s="69"/>
      <c r="BW360" s="69"/>
      <c r="BX360" s="69"/>
      <c r="BY360" s="69"/>
      <c r="BZ360" s="69"/>
      <c r="CA360" s="69"/>
      <c r="CB360" s="69"/>
      <c r="CC360" s="69"/>
      <c r="CD360" s="69"/>
      <c r="CE360" s="69"/>
      <c r="CF360" s="69"/>
      <c r="CG360" s="69"/>
      <c r="CH360" s="69"/>
      <c r="CI360" s="69"/>
      <c r="CJ360" s="69"/>
      <c r="CK360" s="69"/>
      <c r="CL360" s="69"/>
      <c r="CM360" s="69"/>
      <c r="CN360" s="69"/>
      <c r="CO360" s="69"/>
      <c r="CP360" s="69"/>
      <c r="CQ360" s="69"/>
      <c r="CR360" s="69"/>
      <c r="CS360" s="69"/>
      <c r="CT360" s="69"/>
      <c r="CU360" s="69"/>
      <c r="CV360" s="69"/>
      <c r="CW360" s="69"/>
      <c r="CX360" s="69"/>
      <c r="CY360" s="69"/>
      <c r="CZ360" s="69"/>
      <c r="DA360" s="69"/>
      <c r="DB360" s="69"/>
      <c r="DC360" s="69"/>
      <c r="DD360" s="69"/>
      <c r="DE360" s="69"/>
      <c r="DF360" s="69"/>
      <c r="DG360" s="69"/>
      <c r="DH360" s="69"/>
      <c r="DI360" s="69"/>
      <c r="DJ360" s="69"/>
      <c r="DK360" s="69"/>
      <c r="DL360" s="69"/>
      <c r="DM360" s="69"/>
      <c r="DN360" s="69"/>
      <c r="DO360" s="69"/>
      <c r="DP360" s="69"/>
      <c r="DQ360" s="69"/>
      <c r="DR360" s="69"/>
      <c r="DS360" s="69"/>
      <c r="DT360" s="69"/>
      <c r="DU360" s="69"/>
    </row>
    <row r="361" ht="15.75" customHeight="1">
      <c r="A361" s="69"/>
      <c r="B361" s="69"/>
      <c r="C361" s="69"/>
      <c r="D361" s="4"/>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c r="AW361" s="69"/>
      <c r="AX361" s="69"/>
      <c r="AY361" s="69"/>
      <c r="AZ361" s="69"/>
      <c r="BA361" s="69"/>
      <c r="BB361" s="69"/>
      <c r="BC361" s="69"/>
      <c r="BD361" s="69"/>
      <c r="BE361" s="69"/>
      <c r="BF361" s="69"/>
      <c r="BG361" s="69"/>
      <c r="BH361" s="69"/>
      <c r="BI361" s="69"/>
      <c r="BJ361" s="69"/>
      <c r="BK361" s="69"/>
      <c r="BL361" s="69"/>
      <c r="BM361" s="69"/>
      <c r="BN361" s="69"/>
      <c r="BO361" s="69"/>
      <c r="BP361" s="69"/>
      <c r="BQ361" s="69"/>
      <c r="BR361" s="69"/>
      <c r="BS361" s="69"/>
      <c r="BT361" s="69"/>
      <c r="BU361" s="69"/>
      <c r="BV361" s="69"/>
      <c r="BW361" s="69"/>
      <c r="BX361" s="69"/>
      <c r="BY361" s="69"/>
      <c r="BZ361" s="69"/>
      <c r="CA361" s="69"/>
      <c r="CB361" s="69"/>
      <c r="CC361" s="69"/>
      <c r="CD361" s="69"/>
      <c r="CE361" s="69"/>
      <c r="CF361" s="69"/>
      <c r="CG361" s="69"/>
      <c r="CH361" s="69"/>
      <c r="CI361" s="69"/>
      <c r="CJ361" s="69"/>
      <c r="CK361" s="69"/>
      <c r="CL361" s="69"/>
      <c r="CM361" s="69"/>
      <c r="CN361" s="69"/>
      <c r="CO361" s="69"/>
      <c r="CP361" s="69"/>
      <c r="CQ361" s="69"/>
      <c r="CR361" s="69"/>
      <c r="CS361" s="69"/>
      <c r="CT361" s="69"/>
      <c r="CU361" s="69"/>
      <c r="CV361" s="69"/>
      <c r="CW361" s="69"/>
      <c r="CX361" s="69"/>
      <c r="CY361" s="69"/>
      <c r="CZ361" s="69"/>
      <c r="DA361" s="69"/>
      <c r="DB361" s="69"/>
      <c r="DC361" s="69"/>
      <c r="DD361" s="69"/>
      <c r="DE361" s="69"/>
      <c r="DF361" s="69"/>
      <c r="DG361" s="69"/>
      <c r="DH361" s="69"/>
      <c r="DI361" s="69"/>
      <c r="DJ361" s="69"/>
      <c r="DK361" s="69"/>
      <c r="DL361" s="69"/>
      <c r="DM361" s="69"/>
      <c r="DN361" s="69"/>
      <c r="DO361" s="69"/>
      <c r="DP361" s="69"/>
      <c r="DQ361" s="69"/>
      <c r="DR361" s="69"/>
      <c r="DS361" s="69"/>
      <c r="DT361" s="69"/>
      <c r="DU361" s="69"/>
    </row>
    <row r="362" ht="15.75" customHeight="1">
      <c r="A362" s="69"/>
      <c r="B362" s="69"/>
      <c r="C362" s="69"/>
      <c r="D362" s="4"/>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c r="AZ362" s="69"/>
      <c r="BA362" s="69"/>
      <c r="BB362" s="69"/>
      <c r="BC362" s="69"/>
      <c r="BD362" s="69"/>
      <c r="BE362" s="69"/>
      <c r="BF362" s="69"/>
      <c r="BG362" s="69"/>
      <c r="BH362" s="69"/>
      <c r="BI362" s="69"/>
      <c r="BJ362" s="69"/>
      <c r="BK362" s="69"/>
      <c r="BL362" s="69"/>
      <c r="BM362" s="69"/>
      <c r="BN362" s="69"/>
      <c r="BO362" s="69"/>
      <c r="BP362" s="69"/>
      <c r="BQ362" s="69"/>
      <c r="BR362" s="69"/>
      <c r="BS362" s="69"/>
      <c r="BT362" s="69"/>
      <c r="BU362" s="69"/>
      <c r="BV362" s="69"/>
      <c r="BW362" s="69"/>
      <c r="BX362" s="69"/>
      <c r="BY362" s="69"/>
      <c r="BZ362" s="69"/>
      <c r="CA362" s="69"/>
      <c r="CB362" s="69"/>
      <c r="CC362" s="69"/>
      <c r="CD362" s="69"/>
      <c r="CE362" s="69"/>
      <c r="CF362" s="69"/>
      <c r="CG362" s="69"/>
      <c r="CH362" s="69"/>
      <c r="CI362" s="69"/>
      <c r="CJ362" s="69"/>
      <c r="CK362" s="69"/>
      <c r="CL362" s="69"/>
      <c r="CM362" s="69"/>
      <c r="CN362" s="69"/>
      <c r="CO362" s="69"/>
      <c r="CP362" s="69"/>
      <c r="CQ362" s="69"/>
      <c r="CR362" s="69"/>
      <c r="CS362" s="69"/>
      <c r="CT362" s="69"/>
      <c r="CU362" s="69"/>
      <c r="CV362" s="69"/>
      <c r="CW362" s="69"/>
      <c r="CX362" s="69"/>
      <c r="CY362" s="69"/>
      <c r="CZ362" s="69"/>
      <c r="DA362" s="69"/>
      <c r="DB362" s="69"/>
      <c r="DC362" s="69"/>
      <c r="DD362" s="69"/>
      <c r="DE362" s="69"/>
      <c r="DF362" s="69"/>
      <c r="DG362" s="69"/>
      <c r="DH362" s="69"/>
      <c r="DI362" s="69"/>
      <c r="DJ362" s="69"/>
      <c r="DK362" s="69"/>
      <c r="DL362" s="69"/>
      <c r="DM362" s="69"/>
      <c r="DN362" s="69"/>
      <c r="DO362" s="69"/>
      <c r="DP362" s="69"/>
      <c r="DQ362" s="69"/>
      <c r="DR362" s="69"/>
      <c r="DS362" s="69"/>
      <c r="DT362" s="69"/>
      <c r="DU362" s="69"/>
    </row>
    <row r="363" ht="15.75" customHeight="1">
      <c r="A363" s="69"/>
      <c r="B363" s="69"/>
      <c r="C363" s="69"/>
      <c r="D363" s="4"/>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c r="AW363" s="69"/>
      <c r="AX363" s="69"/>
      <c r="AY363" s="69"/>
      <c r="AZ363" s="69"/>
      <c r="BA363" s="69"/>
      <c r="BB363" s="69"/>
      <c r="BC363" s="69"/>
      <c r="BD363" s="69"/>
      <c r="BE363" s="69"/>
      <c r="BF363" s="69"/>
      <c r="BG363" s="69"/>
      <c r="BH363" s="69"/>
      <c r="BI363" s="69"/>
      <c r="BJ363" s="69"/>
      <c r="BK363" s="69"/>
      <c r="BL363" s="69"/>
      <c r="BM363" s="69"/>
      <c r="BN363" s="69"/>
      <c r="BO363" s="69"/>
      <c r="BP363" s="69"/>
      <c r="BQ363" s="69"/>
      <c r="BR363" s="69"/>
      <c r="BS363" s="69"/>
      <c r="BT363" s="69"/>
      <c r="BU363" s="69"/>
      <c r="BV363" s="69"/>
      <c r="BW363" s="69"/>
      <c r="BX363" s="69"/>
      <c r="BY363" s="69"/>
      <c r="BZ363" s="69"/>
      <c r="CA363" s="69"/>
      <c r="CB363" s="69"/>
      <c r="CC363" s="69"/>
      <c r="CD363" s="69"/>
      <c r="CE363" s="69"/>
      <c r="CF363" s="69"/>
      <c r="CG363" s="69"/>
      <c r="CH363" s="69"/>
      <c r="CI363" s="69"/>
      <c r="CJ363" s="69"/>
      <c r="CK363" s="69"/>
      <c r="CL363" s="69"/>
      <c r="CM363" s="69"/>
      <c r="CN363" s="69"/>
      <c r="CO363" s="69"/>
      <c r="CP363" s="69"/>
      <c r="CQ363" s="69"/>
      <c r="CR363" s="69"/>
      <c r="CS363" s="69"/>
      <c r="CT363" s="69"/>
      <c r="CU363" s="69"/>
      <c r="CV363" s="69"/>
      <c r="CW363" s="69"/>
      <c r="CX363" s="69"/>
      <c r="CY363" s="69"/>
      <c r="CZ363" s="69"/>
      <c r="DA363" s="69"/>
      <c r="DB363" s="69"/>
      <c r="DC363" s="69"/>
      <c r="DD363" s="69"/>
      <c r="DE363" s="69"/>
      <c r="DF363" s="69"/>
      <c r="DG363" s="69"/>
      <c r="DH363" s="69"/>
      <c r="DI363" s="69"/>
      <c r="DJ363" s="69"/>
      <c r="DK363" s="69"/>
      <c r="DL363" s="69"/>
      <c r="DM363" s="69"/>
      <c r="DN363" s="69"/>
      <c r="DO363" s="69"/>
      <c r="DP363" s="69"/>
      <c r="DQ363" s="69"/>
      <c r="DR363" s="69"/>
      <c r="DS363" s="69"/>
      <c r="DT363" s="69"/>
      <c r="DU363" s="69"/>
    </row>
    <row r="364" ht="15.75" customHeight="1">
      <c r="A364" s="69"/>
      <c r="B364" s="69"/>
      <c r="C364" s="69"/>
      <c r="D364" s="4"/>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c r="BN364" s="69"/>
      <c r="BO364" s="69"/>
      <c r="BP364" s="69"/>
      <c r="BQ364" s="69"/>
      <c r="BR364" s="69"/>
      <c r="BS364" s="69"/>
      <c r="BT364" s="69"/>
      <c r="BU364" s="69"/>
      <c r="BV364" s="69"/>
      <c r="BW364" s="69"/>
      <c r="BX364" s="69"/>
      <c r="BY364" s="69"/>
      <c r="BZ364" s="69"/>
      <c r="CA364" s="69"/>
      <c r="CB364" s="69"/>
      <c r="CC364" s="69"/>
      <c r="CD364" s="69"/>
      <c r="CE364" s="69"/>
      <c r="CF364" s="69"/>
      <c r="CG364" s="69"/>
      <c r="CH364" s="69"/>
      <c r="CI364" s="69"/>
      <c r="CJ364" s="69"/>
      <c r="CK364" s="69"/>
      <c r="CL364" s="69"/>
      <c r="CM364" s="69"/>
      <c r="CN364" s="69"/>
      <c r="CO364" s="69"/>
      <c r="CP364" s="69"/>
      <c r="CQ364" s="69"/>
      <c r="CR364" s="69"/>
      <c r="CS364" s="69"/>
      <c r="CT364" s="69"/>
      <c r="CU364" s="69"/>
      <c r="CV364" s="69"/>
      <c r="CW364" s="69"/>
      <c r="CX364" s="69"/>
      <c r="CY364" s="69"/>
      <c r="CZ364" s="69"/>
      <c r="DA364" s="69"/>
      <c r="DB364" s="69"/>
      <c r="DC364" s="69"/>
      <c r="DD364" s="69"/>
      <c r="DE364" s="69"/>
      <c r="DF364" s="69"/>
      <c r="DG364" s="69"/>
      <c r="DH364" s="69"/>
      <c r="DI364" s="69"/>
      <c r="DJ364" s="69"/>
      <c r="DK364" s="69"/>
      <c r="DL364" s="69"/>
      <c r="DM364" s="69"/>
      <c r="DN364" s="69"/>
      <c r="DO364" s="69"/>
      <c r="DP364" s="69"/>
      <c r="DQ364" s="69"/>
      <c r="DR364" s="69"/>
      <c r="DS364" s="69"/>
      <c r="DT364" s="69"/>
      <c r="DU364" s="69"/>
    </row>
    <row r="365" ht="15.75" customHeight="1">
      <c r="A365" s="69"/>
      <c r="B365" s="69"/>
      <c r="C365" s="69"/>
      <c r="D365" s="4"/>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c r="AW365" s="69"/>
      <c r="AX365" s="69"/>
      <c r="AY365" s="69"/>
      <c r="AZ365" s="69"/>
      <c r="BA365" s="69"/>
      <c r="BB365" s="69"/>
      <c r="BC365" s="69"/>
      <c r="BD365" s="69"/>
      <c r="BE365" s="69"/>
      <c r="BF365" s="69"/>
      <c r="BG365" s="69"/>
      <c r="BH365" s="69"/>
      <c r="BI365" s="69"/>
      <c r="BJ365" s="69"/>
      <c r="BK365" s="69"/>
      <c r="BL365" s="69"/>
      <c r="BM365" s="69"/>
      <c r="BN365" s="69"/>
      <c r="BO365" s="69"/>
      <c r="BP365" s="69"/>
      <c r="BQ365" s="69"/>
      <c r="BR365" s="69"/>
      <c r="BS365" s="69"/>
      <c r="BT365" s="69"/>
      <c r="BU365" s="69"/>
      <c r="BV365" s="69"/>
      <c r="BW365" s="69"/>
      <c r="BX365" s="69"/>
      <c r="BY365" s="69"/>
      <c r="BZ365" s="69"/>
      <c r="CA365" s="69"/>
      <c r="CB365" s="69"/>
      <c r="CC365" s="69"/>
      <c r="CD365" s="69"/>
      <c r="CE365" s="69"/>
      <c r="CF365" s="69"/>
      <c r="CG365" s="69"/>
      <c r="CH365" s="69"/>
      <c r="CI365" s="69"/>
      <c r="CJ365" s="69"/>
      <c r="CK365" s="69"/>
      <c r="CL365" s="69"/>
      <c r="CM365" s="69"/>
      <c r="CN365" s="69"/>
      <c r="CO365" s="69"/>
      <c r="CP365" s="69"/>
      <c r="CQ365" s="69"/>
      <c r="CR365" s="69"/>
      <c r="CS365" s="69"/>
      <c r="CT365" s="69"/>
      <c r="CU365" s="69"/>
      <c r="CV365" s="69"/>
      <c r="CW365" s="69"/>
      <c r="CX365" s="69"/>
      <c r="CY365" s="69"/>
      <c r="CZ365" s="69"/>
      <c r="DA365" s="69"/>
      <c r="DB365" s="69"/>
      <c r="DC365" s="69"/>
      <c r="DD365" s="69"/>
      <c r="DE365" s="69"/>
      <c r="DF365" s="69"/>
      <c r="DG365" s="69"/>
      <c r="DH365" s="69"/>
      <c r="DI365" s="69"/>
      <c r="DJ365" s="69"/>
      <c r="DK365" s="69"/>
      <c r="DL365" s="69"/>
      <c r="DM365" s="69"/>
      <c r="DN365" s="69"/>
      <c r="DO365" s="69"/>
      <c r="DP365" s="69"/>
      <c r="DQ365" s="69"/>
      <c r="DR365" s="69"/>
      <c r="DS365" s="69"/>
      <c r="DT365" s="69"/>
      <c r="DU365" s="69"/>
    </row>
    <row r="366" ht="15.75" customHeight="1">
      <c r="A366" s="69"/>
      <c r="B366" s="69"/>
      <c r="C366" s="69"/>
      <c r="D366" s="4"/>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c r="BN366" s="69"/>
      <c r="BO366" s="69"/>
      <c r="BP366" s="69"/>
      <c r="BQ366" s="69"/>
      <c r="BR366" s="69"/>
      <c r="BS366" s="69"/>
      <c r="BT366" s="69"/>
      <c r="BU366" s="69"/>
      <c r="BV366" s="69"/>
      <c r="BW366" s="69"/>
      <c r="BX366" s="69"/>
      <c r="BY366" s="69"/>
      <c r="BZ366" s="69"/>
      <c r="CA366" s="69"/>
      <c r="CB366" s="69"/>
      <c r="CC366" s="69"/>
      <c r="CD366" s="69"/>
      <c r="CE366" s="69"/>
      <c r="CF366" s="69"/>
      <c r="CG366" s="69"/>
      <c r="CH366" s="69"/>
      <c r="CI366" s="69"/>
      <c r="CJ366" s="69"/>
      <c r="CK366" s="69"/>
      <c r="CL366" s="69"/>
      <c r="CM366" s="69"/>
      <c r="CN366" s="69"/>
      <c r="CO366" s="69"/>
      <c r="CP366" s="69"/>
      <c r="CQ366" s="69"/>
      <c r="CR366" s="69"/>
      <c r="CS366" s="69"/>
      <c r="CT366" s="69"/>
      <c r="CU366" s="69"/>
      <c r="CV366" s="69"/>
      <c r="CW366" s="69"/>
      <c r="CX366" s="69"/>
      <c r="CY366" s="69"/>
      <c r="CZ366" s="69"/>
      <c r="DA366" s="69"/>
      <c r="DB366" s="69"/>
      <c r="DC366" s="69"/>
      <c r="DD366" s="69"/>
      <c r="DE366" s="69"/>
      <c r="DF366" s="69"/>
      <c r="DG366" s="69"/>
      <c r="DH366" s="69"/>
      <c r="DI366" s="69"/>
      <c r="DJ366" s="69"/>
      <c r="DK366" s="69"/>
      <c r="DL366" s="69"/>
      <c r="DM366" s="69"/>
      <c r="DN366" s="69"/>
      <c r="DO366" s="69"/>
      <c r="DP366" s="69"/>
      <c r="DQ366" s="69"/>
      <c r="DR366" s="69"/>
      <c r="DS366" s="69"/>
      <c r="DT366" s="69"/>
      <c r="DU366" s="69"/>
    </row>
    <row r="367" ht="15.75" customHeight="1">
      <c r="A367" s="69"/>
      <c r="B367" s="69"/>
      <c r="C367" s="69"/>
      <c r="D367" s="4"/>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c r="AW367" s="69"/>
      <c r="AX367" s="69"/>
      <c r="AY367" s="69"/>
      <c r="AZ367" s="69"/>
      <c r="BA367" s="69"/>
      <c r="BB367" s="69"/>
      <c r="BC367" s="69"/>
      <c r="BD367" s="69"/>
      <c r="BE367" s="69"/>
      <c r="BF367" s="69"/>
      <c r="BG367" s="69"/>
      <c r="BH367" s="69"/>
      <c r="BI367" s="69"/>
      <c r="BJ367" s="69"/>
      <c r="BK367" s="69"/>
      <c r="BL367" s="69"/>
      <c r="BM367" s="69"/>
      <c r="BN367" s="69"/>
      <c r="BO367" s="69"/>
      <c r="BP367" s="69"/>
      <c r="BQ367" s="69"/>
      <c r="BR367" s="69"/>
      <c r="BS367" s="69"/>
      <c r="BT367" s="69"/>
      <c r="BU367" s="69"/>
      <c r="BV367" s="69"/>
      <c r="BW367" s="69"/>
      <c r="BX367" s="69"/>
      <c r="BY367" s="69"/>
      <c r="BZ367" s="69"/>
      <c r="CA367" s="69"/>
      <c r="CB367" s="69"/>
      <c r="CC367" s="69"/>
      <c r="CD367" s="69"/>
      <c r="CE367" s="69"/>
      <c r="CF367" s="69"/>
      <c r="CG367" s="69"/>
      <c r="CH367" s="69"/>
      <c r="CI367" s="69"/>
      <c r="CJ367" s="69"/>
      <c r="CK367" s="69"/>
      <c r="CL367" s="69"/>
      <c r="CM367" s="69"/>
      <c r="CN367" s="69"/>
      <c r="CO367" s="69"/>
      <c r="CP367" s="69"/>
      <c r="CQ367" s="69"/>
      <c r="CR367" s="69"/>
      <c r="CS367" s="69"/>
      <c r="CT367" s="69"/>
      <c r="CU367" s="69"/>
      <c r="CV367" s="69"/>
      <c r="CW367" s="69"/>
      <c r="CX367" s="69"/>
      <c r="CY367" s="69"/>
      <c r="CZ367" s="69"/>
      <c r="DA367" s="69"/>
      <c r="DB367" s="69"/>
      <c r="DC367" s="69"/>
      <c r="DD367" s="69"/>
      <c r="DE367" s="69"/>
      <c r="DF367" s="69"/>
      <c r="DG367" s="69"/>
      <c r="DH367" s="69"/>
      <c r="DI367" s="69"/>
      <c r="DJ367" s="69"/>
      <c r="DK367" s="69"/>
      <c r="DL367" s="69"/>
      <c r="DM367" s="69"/>
      <c r="DN367" s="69"/>
      <c r="DO367" s="69"/>
      <c r="DP367" s="69"/>
      <c r="DQ367" s="69"/>
      <c r="DR367" s="69"/>
      <c r="DS367" s="69"/>
      <c r="DT367" s="69"/>
      <c r="DU367" s="69"/>
    </row>
    <row r="368" ht="15.75" customHeight="1">
      <c r="A368" s="69"/>
      <c r="B368" s="69"/>
      <c r="C368" s="69"/>
      <c r="D368" s="4"/>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c r="BN368" s="69"/>
      <c r="BO368" s="69"/>
      <c r="BP368" s="69"/>
      <c r="BQ368" s="69"/>
      <c r="BR368" s="69"/>
      <c r="BS368" s="69"/>
      <c r="BT368" s="69"/>
      <c r="BU368" s="69"/>
      <c r="BV368" s="69"/>
      <c r="BW368" s="69"/>
      <c r="BX368" s="69"/>
      <c r="BY368" s="69"/>
      <c r="BZ368" s="69"/>
      <c r="CA368" s="69"/>
      <c r="CB368" s="69"/>
      <c r="CC368" s="69"/>
      <c r="CD368" s="69"/>
      <c r="CE368" s="69"/>
      <c r="CF368" s="69"/>
      <c r="CG368" s="69"/>
      <c r="CH368" s="69"/>
      <c r="CI368" s="69"/>
      <c r="CJ368" s="69"/>
      <c r="CK368" s="69"/>
      <c r="CL368" s="69"/>
      <c r="CM368" s="69"/>
      <c r="CN368" s="69"/>
      <c r="CO368" s="69"/>
      <c r="CP368" s="69"/>
      <c r="CQ368" s="69"/>
      <c r="CR368" s="69"/>
      <c r="CS368" s="69"/>
      <c r="CT368" s="69"/>
      <c r="CU368" s="69"/>
      <c r="CV368" s="69"/>
      <c r="CW368" s="69"/>
      <c r="CX368" s="69"/>
      <c r="CY368" s="69"/>
      <c r="CZ368" s="69"/>
      <c r="DA368" s="69"/>
      <c r="DB368" s="69"/>
      <c r="DC368" s="69"/>
      <c r="DD368" s="69"/>
      <c r="DE368" s="69"/>
      <c r="DF368" s="69"/>
      <c r="DG368" s="69"/>
      <c r="DH368" s="69"/>
      <c r="DI368" s="69"/>
      <c r="DJ368" s="69"/>
      <c r="DK368" s="69"/>
      <c r="DL368" s="69"/>
      <c r="DM368" s="69"/>
      <c r="DN368" s="69"/>
      <c r="DO368" s="69"/>
      <c r="DP368" s="69"/>
      <c r="DQ368" s="69"/>
      <c r="DR368" s="69"/>
      <c r="DS368" s="69"/>
      <c r="DT368" s="69"/>
      <c r="DU368" s="69"/>
    </row>
    <row r="369" ht="15.75" customHeight="1">
      <c r="A369" s="69"/>
      <c r="B369" s="69"/>
      <c r="C369" s="69"/>
      <c r="D369" s="4"/>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c r="AW369" s="69"/>
      <c r="AX369" s="69"/>
      <c r="AY369" s="69"/>
      <c r="AZ369" s="69"/>
      <c r="BA369" s="69"/>
      <c r="BB369" s="69"/>
      <c r="BC369" s="69"/>
      <c r="BD369" s="69"/>
      <c r="BE369" s="69"/>
      <c r="BF369" s="69"/>
      <c r="BG369" s="69"/>
      <c r="BH369" s="69"/>
      <c r="BI369" s="69"/>
      <c r="BJ369" s="69"/>
      <c r="BK369" s="69"/>
      <c r="BL369" s="69"/>
      <c r="BM369" s="69"/>
      <c r="BN369" s="69"/>
      <c r="BO369" s="69"/>
      <c r="BP369" s="69"/>
      <c r="BQ369" s="69"/>
      <c r="BR369" s="69"/>
      <c r="BS369" s="69"/>
      <c r="BT369" s="69"/>
      <c r="BU369" s="69"/>
      <c r="BV369" s="69"/>
      <c r="BW369" s="69"/>
      <c r="BX369" s="69"/>
      <c r="BY369" s="69"/>
      <c r="BZ369" s="69"/>
      <c r="CA369" s="69"/>
      <c r="CB369" s="69"/>
      <c r="CC369" s="69"/>
      <c r="CD369" s="69"/>
      <c r="CE369" s="69"/>
      <c r="CF369" s="69"/>
      <c r="CG369" s="69"/>
      <c r="CH369" s="69"/>
      <c r="CI369" s="69"/>
      <c r="CJ369" s="69"/>
      <c r="CK369" s="69"/>
      <c r="CL369" s="69"/>
      <c r="CM369" s="69"/>
      <c r="CN369" s="69"/>
      <c r="CO369" s="69"/>
      <c r="CP369" s="69"/>
      <c r="CQ369" s="69"/>
      <c r="CR369" s="69"/>
      <c r="CS369" s="69"/>
      <c r="CT369" s="69"/>
      <c r="CU369" s="69"/>
      <c r="CV369" s="69"/>
      <c r="CW369" s="69"/>
      <c r="CX369" s="69"/>
      <c r="CY369" s="69"/>
      <c r="CZ369" s="69"/>
      <c r="DA369" s="69"/>
      <c r="DB369" s="69"/>
      <c r="DC369" s="69"/>
      <c r="DD369" s="69"/>
      <c r="DE369" s="69"/>
      <c r="DF369" s="69"/>
      <c r="DG369" s="69"/>
      <c r="DH369" s="69"/>
      <c r="DI369" s="69"/>
      <c r="DJ369" s="69"/>
      <c r="DK369" s="69"/>
      <c r="DL369" s="69"/>
      <c r="DM369" s="69"/>
      <c r="DN369" s="69"/>
      <c r="DO369" s="69"/>
      <c r="DP369" s="69"/>
      <c r="DQ369" s="69"/>
      <c r="DR369" s="69"/>
      <c r="DS369" s="69"/>
      <c r="DT369" s="69"/>
      <c r="DU369" s="69"/>
    </row>
    <row r="370" ht="15.75" customHeight="1">
      <c r="A370" s="69"/>
      <c r="B370" s="69"/>
      <c r="C370" s="69"/>
      <c r="D370" s="4"/>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c r="AZ370" s="69"/>
      <c r="BA370" s="69"/>
      <c r="BB370" s="69"/>
      <c r="BC370" s="69"/>
      <c r="BD370" s="69"/>
      <c r="BE370" s="69"/>
      <c r="BF370" s="69"/>
      <c r="BG370" s="69"/>
      <c r="BH370" s="69"/>
      <c r="BI370" s="69"/>
      <c r="BJ370" s="69"/>
      <c r="BK370" s="69"/>
      <c r="BL370" s="69"/>
      <c r="BM370" s="69"/>
      <c r="BN370" s="69"/>
      <c r="BO370" s="69"/>
      <c r="BP370" s="69"/>
      <c r="BQ370" s="69"/>
      <c r="BR370" s="69"/>
      <c r="BS370" s="69"/>
      <c r="BT370" s="69"/>
      <c r="BU370" s="69"/>
      <c r="BV370" s="69"/>
      <c r="BW370" s="69"/>
      <c r="BX370" s="69"/>
      <c r="BY370" s="69"/>
      <c r="BZ370" s="69"/>
      <c r="CA370" s="69"/>
      <c r="CB370" s="69"/>
      <c r="CC370" s="69"/>
      <c r="CD370" s="69"/>
      <c r="CE370" s="69"/>
      <c r="CF370" s="69"/>
      <c r="CG370" s="69"/>
      <c r="CH370" s="69"/>
      <c r="CI370" s="69"/>
      <c r="CJ370" s="69"/>
      <c r="CK370" s="69"/>
      <c r="CL370" s="69"/>
      <c r="CM370" s="69"/>
      <c r="CN370" s="69"/>
      <c r="CO370" s="69"/>
      <c r="CP370" s="69"/>
      <c r="CQ370" s="69"/>
      <c r="CR370" s="69"/>
      <c r="CS370" s="69"/>
      <c r="CT370" s="69"/>
      <c r="CU370" s="69"/>
      <c r="CV370" s="69"/>
      <c r="CW370" s="69"/>
      <c r="CX370" s="69"/>
      <c r="CY370" s="69"/>
      <c r="CZ370" s="69"/>
      <c r="DA370" s="69"/>
      <c r="DB370" s="69"/>
      <c r="DC370" s="69"/>
      <c r="DD370" s="69"/>
      <c r="DE370" s="69"/>
      <c r="DF370" s="69"/>
      <c r="DG370" s="69"/>
      <c r="DH370" s="69"/>
      <c r="DI370" s="69"/>
      <c r="DJ370" s="69"/>
      <c r="DK370" s="69"/>
      <c r="DL370" s="69"/>
      <c r="DM370" s="69"/>
      <c r="DN370" s="69"/>
      <c r="DO370" s="69"/>
      <c r="DP370" s="69"/>
      <c r="DQ370" s="69"/>
      <c r="DR370" s="69"/>
      <c r="DS370" s="69"/>
      <c r="DT370" s="69"/>
      <c r="DU370" s="69"/>
    </row>
    <row r="371" ht="15.75" customHeight="1">
      <c r="A371" s="69"/>
      <c r="B371" s="69"/>
      <c r="C371" s="69"/>
      <c r="D371" s="4"/>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c r="AW371" s="69"/>
      <c r="AX371" s="69"/>
      <c r="AY371" s="69"/>
      <c r="AZ371" s="69"/>
      <c r="BA371" s="69"/>
      <c r="BB371" s="69"/>
      <c r="BC371" s="69"/>
      <c r="BD371" s="69"/>
      <c r="BE371" s="69"/>
      <c r="BF371" s="69"/>
      <c r="BG371" s="69"/>
      <c r="BH371" s="69"/>
      <c r="BI371" s="69"/>
      <c r="BJ371" s="69"/>
      <c r="BK371" s="69"/>
      <c r="BL371" s="69"/>
      <c r="BM371" s="69"/>
      <c r="BN371" s="69"/>
      <c r="BO371" s="69"/>
      <c r="BP371" s="69"/>
      <c r="BQ371" s="69"/>
      <c r="BR371" s="69"/>
      <c r="BS371" s="69"/>
      <c r="BT371" s="69"/>
      <c r="BU371" s="69"/>
      <c r="BV371" s="69"/>
      <c r="BW371" s="69"/>
      <c r="BX371" s="69"/>
      <c r="BY371" s="69"/>
      <c r="BZ371" s="69"/>
      <c r="CA371" s="69"/>
      <c r="CB371" s="69"/>
      <c r="CC371" s="69"/>
      <c r="CD371" s="69"/>
      <c r="CE371" s="69"/>
      <c r="CF371" s="69"/>
      <c r="CG371" s="69"/>
      <c r="CH371" s="69"/>
      <c r="CI371" s="69"/>
      <c r="CJ371" s="69"/>
      <c r="CK371" s="69"/>
      <c r="CL371" s="69"/>
      <c r="CM371" s="69"/>
      <c r="CN371" s="69"/>
      <c r="CO371" s="69"/>
      <c r="CP371" s="69"/>
      <c r="CQ371" s="69"/>
      <c r="CR371" s="69"/>
      <c r="CS371" s="69"/>
      <c r="CT371" s="69"/>
      <c r="CU371" s="69"/>
      <c r="CV371" s="69"/>
      <c r="CW371" s="69"/>
      <c r="CX371" s="69"/>
      <c r="CY371" s="69"/>
      <c r="CZ371" s="69"/>
      <c r="DA371" s="69"/>
      <c r="DB371" s="69"/>
      <c r="DC371" s="69"/>
      <c r="DD371" s="69"/>
      <c r="DE371" s="69"/>
      <c r="DF371" s="69"/>
      <c r="DG371" s="69"/>
      <c r="DH371" s="69"/>
      <c r="DI371" s="69"/>
      <c r="DJ371" s="69"/>
      <c r="DK371" s="69"/>
      <c r="DL371" s="69"/>
      <c r="DM371" s="69"/>
      <c r="DN371" s="69"/>
      <c r="DO371" s="69"/>
      <c r="DP371" s="69"/>
      <c r="DQ371" s="69"/>
      <c r="DR371" s="69"/>
      <c r="DS371" s="69"/>
      <c r="DT371" s="69"/>
      <c r="DU371" s="69"/>
    </row>
    <row r="372" ht="15.75" customHeight="1">
      <c r="A372" s="69"/>
      <c r="B372" s="69"/>
      <c r="C372" s="69"/>
      <c r="D372" s="4"/>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c r="AZ372" s="69"/>
      <c r="BA372" s="69"/>
      <c r="BB372" s="69"/>
      <c r="BC372" s="69"/>
      <c r="BD372" s="69"/>
      <c r="BE372" s="69"/>
      <c r="BF372" s="69"/>
      <c r="BG372" s="69"/>
      <c r="BH372" s="69"/>
      <c r="BI372" s="69"/>
      <c r="BJ372" s="69"/>
      <c r="BK372" s="69"/>
      <c r="BL372" s="69"/>
      <c r="BM372" s="69"/>
      <c r="BN372" s="69"/>
      <c r="BO372" s="69"/>
      <c r="BP372" s="69"/>
      <c r="BQ372" s="69"/>
      <c r="BR372" s="69"/>
      <c r="BS372" s="69"/>
      <c r="BT372" s="69"/>
      <c r="BU372" s="69"/>
      <c r="BV372" s="69"/>
      <c r="BW372" s="69"/>
      <c r="BX372" s="69"/>
      <c r="BY372" s="69"/>
      <c r="BZ372" s="69"/>
      <c r="CA372" s="69"/>
      <c r="CB372" s="69"/>
      <c r="CC372" s="69"/>
      <c r="CD372" s="69"/>
      <c r="CE372" s="69"/>
      <c r="CF372" s="69"/>
      <c r="CG372" s="69"/>
      <c r="CH372" s="69"/>
      <c r="CI372" s="69"/>
      <c r="CJ372" s="69"/>
      <c r="CK372" s="69"/>
      <c r="CL372" s="69"/>
      <c r="CM372" s="69"/>
      <c r="CN372" s="69"/>
      <c r="CO372" s="69"/>
      <c r="CP372" s="69"/>
      <c r="CQ372" s="69"/>
      <c r="CR372" s="69"/>
      <c r="CS372" s="69"/>
      <c r="CT372" s="69"/>
      <c r="CU372" s="69"/>
      <c r="CV372" s="69"/>
      <c r="CW372" s="69"/>
      <c r="CX372" s="69"/>
      <c r="CY372" s="69"/>
      <c r="CZ372" s="69"/>
      <c r="DA372" s="69"/>
      <c r="DB372" s="69"/>
      <c r="DC372" s="69"/>
      <c r="DD372" s="69"/>
      <c r="DE372" s="69"/>
      <c r="DF372" s="69"/>
      <c r="DG372" s="69"/>
      <c r="DH372" s="69"/>
      <c r="DI372" s="69"/>
      <c r="DJ372" s="69"/>
      <c r="DK372" s="69"/>
      <c r="DL372" s="69"/>
      <c r="DM372" s="69"/>
      <c r="DN372" s="69"/>
      <c r="DO372" s="69"/>
      <c r="DP372" s="69"/>
      <c r="DQ372" s="69"/>
      <c r="DR372" s="69"/>
      <c r="DS372" s="69"/>
      <c r="DT372" s="69"/>
      <c r="DU372" s="69"/>
    </row>
    <row r="373" ht="15.75" customHeight="1">
      <c r="A373" s="69"/>
      <c r="B373" s="69"/>
      <c r="C373" s="69"/>
      <c r="D373" s="4"/>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c r="AW373" s="69"/>
      <c r="AX373" s="69"/>
      <c r="AY373" s="69"/>
      <c r="AZ373" s="69"/>
      <c r="BA373" s="69"/>
      <c r="BB373" s="69"/>
      <c r="BC373" s="69"/>
      <c r="BD373" s="69"/>
      <c r="BE373" s="69"/>
      <c r="BF373" s="69"/>
      <c r="BG373" s="69"/>
      <c r="BH373" s="69"/>
      <c r="BI373" s="69"/>
      <c r="BJ373" s="69"/>
      <c r="BK373" s="69"/>
      <c r="BL373" s="69"/>
      <c r="BM373" s="69"/>
      <c r="BN373" s="69"/>
      <c r="BO373" s="69"/>
      <c r="BP373" s="69"/>
      <c r="BQ373" s="69"/>
      <c r="BR373" s="69"/>
      <c r="BS373" s="69"/>
      <c r="BT373" s="69"/>
      <c r="BU373" s="69"/>
      <c r="BV373" s="69"/>
      <c r="BW373" s="69"/>
      <c r="BX373" s="69"/>
      <c r="BY373" s="69"/>
      <c r="BZ373" s="69"/>
      <c r="CA373" s="69"/>
      <c r="CB373" s="69"/>
      <c r="CC373" s="69"/>
      <c r="CD373" s="69"/>
      <c r="CE373" s="69"/>
      <c r="CF373" s="69"/>
      <c r="CG373" s="69"/>
      <c r="CH373" s="69"/>
      <c r="CI373" s="69"/>
      <c r="CJ373" s="69"/>
      <c r="CK373" s="69"/>
      <c r="CL373" s="69"/>
      <c r="CM373" s="69"/>
      <c r="CN373" s="69"/>
      <c r="CO373" s="69"/>
      <c r="CP373" s="69"/>
      <c r="CQ373" s="69"/>
      <c r="CR373" s="69"/>
      <c r="CS373" s="69"/>
      <c r="CT373" s="69"/>
      <c r="CU373" s="69"/>
      <c r="CV373" s="69"/>
      <c r="CW373" s="69"/>
      <c r="CX373" s="69"/>
      <c r="CY373" s="69"/>
      <c r="CZ373" s="69"/>
      <c r="DA373" s="69"/>
      <c r="DB373" s="69"/>
      <c r="DC373" s="69"/>
      <c r="DD373" s="69"/>
      <c r="DE373" s="69"/>
      <c r="DF373" s="69"/>
      <c r="DG373" s="69"/>
      <c r="DH373" s="69"/>
      <c r="DI373" s="69"/>
      <c r="DJ373" s="69"/>
      <c r="DK373" s="69"/>
      <c r="DL373" s="69"/>
      <c r="DM373" s="69"/>
      <c r="DN373" s="69"/>
      <c r="DO373" s="69"/>
      <c r="DP373" s="69"/>
      <c r="DQ373" s="69"/>
      <c r="DR373" s="69"/>
      <c r="DS373" s="69"/>
      <c r="DT373" s="69"/>
      <c r="DU373" s="69"/>
    </row>
    <row r="374" ht="15.75" customHeight="1">
      <c r="A374" s="69"/>
      <c r="B374" s="69"/>
      <c r="C374" s="69"/>
      <c r="D374" s="4"/>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c r="BN374" s="69"/>
      <c r="BO374" s="69"/>
      <c r="BP374" s="69"/>
      <c r="BQ374" s="69"/>
      <c r="BR374" s="69"/>
      <c r="BS374" s="69"/>
      <c r="BT374" s="69"/>
      <c r="BU374" s="69"/>
      <c r="BV374" s="69"/>
      <c r="BW374" s="69"/>
      <c r="BX374" s="69"/>
      <c r="BY374" s="69"/>
      <c r="BZ374" s="69"/>
      <c r="CA374" s="69"/>
      <c r="CB374" s="69"/>
      <c r="CC374" s="69"/>
      <c r="CD374" s="69"/>
      <c r="CE374" s="69"/>
      <c r="CF374" s="69"/>
      <c r="CG374" s="69"/>
      <c r="CH374" s="69"/>
      <c r="CI374" s="69"/>
      <c r="CJ374" s="69"/>
      <c r="CK374" s="69"/>
      <c r="CL374" s="69"/>
      <c r="CM374" s="69"/>
      <c r="CN374" s="69"/>
      <c r="CO374" s="69"/>
      <c r="CP374" s="69"/>
      <c r="CQ374" s="69"/>
      <c r="CR374" s="69"/>
      <c r="CS374" s="69"/>
      <c r="CT374" s="69"/>
      <c r="CU374" s="69"/>
      <c r="CV374" s="69"/>
      <c r="CW374" s="69"/>
      <c r="CX374" s="69"/>
      <c r="CY374" s="69"/>
      <c r="CZ374" s="69"/>
      <c r="DA374" s="69"/>
      <c r="DB374" s="69"/>
      <c r="DC374" s="69"/>
      <c r="DD374" s="69"/>
      <c r="DE374" s="69"/>
      <c r="DF374" s="69"/>
      <c r="DG374" s="69"/>
      <c r="DH374" s="69"/>
      <c r="DI374" s="69"/>
      <c r="DJ374" s="69"/>
      <c r="DK374" s="69"/>
      <c r="DL374" s="69"/>
      <c r="DM374" s="69"/>
      <c r="DN374" s="69"/>
      <c r="DO374" s="69"/>
      <c r="DP374" s="69"/>
      <c r="DQ374" s="69"/>
      <c r="DR374" s="69"/>
      <c r="DS374" s="69"/>
      <c r="DT374" s="69"/>
      <c r="DU374" s="69"/>
    </row>
    <row r="375" ht="15.75" customHeight="1">
      <c r="A375" s="69"/>
      <c r="B375" s="69"/>
      <c r="C375" s="69"/>
      <c r="D375" s="4"/>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c r="AW375" s="69"/>
      <c r="AX375" s="69"/>
      <c r="AY375" s="69"/>
      <c r="AZ375" s="69"/>
      <c r="BA375" s="69"/>
      <c r="BB375" s="69"/>
      <c r="BC375" s="69"/>
      <c r="BD375" s="69"/>
      <c r="BE375" s="69"/>
      <c r="BF375" s="69"/>
      <c r="BG375" s="69"/>
      <c r="BH375" s="69"/>
      <c r="BI375" s="69"/>
      <c r="BJ375" s="69"/>
      <c r="BK375" s="69"/>
      <c r="BL375" s="69"/>
      <c r="BM375" s="69"/>
      <c r="BN375" s="69"/>
      <c r="BO375" s="69"/>
      <c r="BP375" s="69"/>
      <c r="BQ375" s="69"/>
      <c r="BR375" s="69"/>
      <c r="BS375" s="69"/>
      <c r="BT375" s="69"/>
      <c r="BU375" s="69"/>
      <c r="BV375" s="69"/>
      <c r="BW375" s="69"/>
      <c r="BX375" s="69"/>
      <c r="BY375" s="69"/>
      <c r="BZ375" s="69"/>
      <c r="CA375" s="69"/>
      <c r="CB375" s="69"/>
      <c r="CC375" s="69"/>
      <c r="CD375" s="69"/>
      <c r="CE375" s="69"/>
      <c r="CF375" s="69"/>
      <c r="CG375" s="69"/>
      <c r="CH375" s="69"/>
      <c r="CI375" s="69"/>
      <c r="CJ375" s="69"/>
      <c r="CK375" s="69"/>
      <c r="CL375" s="69"/>
      <c r="CM375" s="69"/>
      <c r="CN375" s="69"/>
      <c r="CO375" s="69"/>
      <c r="CP375" s="69"/>
      <c r="CQ375" s="69"/>
      <c r="CR375" s="69"/>
      <c r="CS375" s="69"/>
      <c r="CT375" s="69"/>
      <c r="CU375" s="69"/>
      <c r="CV375" s="69"/>
      <c r="CW375" s="69"/>
      <c r="CX375" s="69"/>
      <c r="CY375" s="69"/>
      <c r="CZ375" s="69"/>
      <c r="DA375" s="69"/>
      <c r="DB375" s="69"/>
      <c r="DC375" s="69"/>
      <c r="DD375" s="69"/>
      <c r="DE375" s="69"/>
      <c r="DF375" s="69"/>
      <c r="DG375" s="69"/>
      <c r="DH375" s="69"/>
      <c r="DI375" s="69"/>
      <c r="DJ375" s="69"/>
      <c r="DK375" s="69"/>
      <c r="DL375" s="69"/>
      <c r="DM375" s="69"/>
      <c r="DN375" s="69"/>
      <c r="DO375" s="69"/>
      <c r="DP375" s="69"/>
      <c r="DQ375" s="69"/>
      <c r="DR375" s="69"/>
      <c r="DS375" s="69"/>
      <c r="DT375" s="69"/>
      <c r="DU375" s="69"/>
    </row>
    <row r="376" ht="15.75" customHeight="1">
      <c r="A376" s="69"/>
      <c r="B376" s="69"/>
      <c r="C376" s="69"/>
      <c r="D376" s="4"/>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c r="BN376" s="69"/>
      <c r="BO376" s="69"/>
      <c r="BP376" s="69"/>
      <c r="BQ376" s="69"/>
      <c r="BR376" s="69"/>
      <c r="BS376" s="69"/>
      <c r="BT376" s="69"/>
      <c r="BU376" s="69"/>
      <c r="BV376" s="69"/>
      <c r="BW376" s="69"/>
      <c r="BX376" s="69"/>
      <c r="BY376" s="69"/>
      <c r="BZ376" s="69"/>
      <c r="CA376" s="69"/>
      <c r="CB376" s="69"/>
      <c r="CC376" s="69"/>
      <c r="CD376" s="69"/>
      <c r="CE376" s="69"/>
      <c r="CF376" s="69"/>
      <c r="CG376" s="69"/>
      <c r="CH376" s="69"/>
      <c r="CI376" s="69"/>
      <c r="CJ376" s="69"/>
      <c r="CK376" s="69"/>
      <c r="CL376" s="69"/>
      <c r="CM376" s="69"/>
      <c r="CN376" s="69"/>
      <c r="CO376" s="69"/>
      <c r="CP376" s="69"/>
      <c r="CQ376" s="69"/>
      <c r="CR376" s="69"/>
      <c r="CS376" s="69"/>
      <c r="CT376" s="69"/>
      <c r="CU376" s="69"/>
      <c r="CV376" s="69"/>
      <c r="CW376" s="69"/>
      <c r="CX376" s="69"/>
      <c r="CY376" s="69"/>
      <c r="CZ376" s="69"/>
      <c r="DA376" s="69"/>
      <c r="DB376" s="69"/>
      <c r="DC376" s="69"/>
      <c r="DD376" s="69"/>
      <c r="DE376" s="69"/>
      <c r="DF376" s="69"/>
      <c r="DG376" s="69"/>
      <c r="DH376" s="69"/>
      <c r="DI376" s="69"/>
      <c r="DJ376" s="69"/>
      <c r="DK376" s="69"/>
      <c r="DL376" s="69"/>
      <c r="DM376" s="69"/>
      <c r="DN376" s="69"/>
      <c r="DO376" s="69"/>
      <c r="DP376" s="69"/>
      <c r="DQ376" s="69"/>
      <c r="DR376" s="69"/>
      <c r="DS376" s="69"/>
      <c r="DT376" s="69"/>
      <c r="DU376" s="69"/>
    </row>
    <row r="377" ht="15.75" customHeight="1">
      <c r="A377" s="69"/>
      <c r="B377" s="69"/>
      <c r="C377" s="69"/>
      <c r="D377" s="4"/>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c r="AW377" s="69"/>
      <c r="AX377" s="69"/>
      <c r="AY377" s="69"/>
      <c r="AZ377" s="69"/>
      <c r="BA377" s="69"/>
      <c r="BB377" s="69"/>
      <c r="BC377" s="69"/>
      <c r="BD377" s="69"/>
      <c r="BE377" s="69"/>
      <c r="BF377" s="69"/>
      <c r="BG377" s="69"/>
      <c r="BH377" s="69"/>
      <c r="BI377" s="69"/>
      <c r="BJ377" s="69"/>
      <c r="BK377" s="69"/>
      <c r="BL377" s="69"/>
      <c r="BM377" s="69"/>
      <c r="BN377" s="69"/>
      <c r="BO377" s="69"/>
      <c r="BP377" s="69"/>
      <c r="BQ377" s="69"/>
      <c r="BR377" s="69"/>
      <c r="BS377" s="69"/>
      <c r="BT377" s="69"/>
      <c r="BU377" s="69"/>
      <c r="BV377" s="69"/>
      <c r="BW377" s="69"/>
      <c r="BX377" s="69"/>
      <c r="BY377" s="69"/>
      <c r="BZ377" s="69"/>
      <c r="CA377" s="69"/>
      <c r="CB377" s="69"/>
      <c r="CC377" s="69"/>
      <c r="CD377" s="69"/>
      <c r="CE377" s="69"/>
      <c r="CF377" s="69"/>
      <c r="CG377" s="69"/>
      <c r="CH377" s="69"/>
      <c r="CI377" s="69"/>
      <c r="CJ377" s="69"/>
      <c r="CK377" s="69"/>
      <c r="CL377" s="69"/>
      <c r="CM377" s="69"/>
      <c r="CN377" s="69"/>
      <c r="CO377" s="69"/>
      <c r="CP377" s="69"/>
      <c r="CQ377" s="69"/>
      <c r="CR377" s="69"/>
      <c r="CS377" s="69"/>
      <c r="CT377" s="69"/>
      <c r="CU377" s="69"/>
      <c r="CV377" s="69"/>
      <c r="CW377" s="69"/>
      <c r="CX377" s="69"/>
      <c r="CY377" s="69"/>
      <c r="CZ377" s="69"/>
      <c r="DA377" s="69"/>
      <c r="DB377" s="69"/>
      <c r="DC377" s="69"/>
      <c r="DD377" s="69"/>
      <c r="DE377" s="69"/>
      <c r="DF377" s="69"/>
      <c r="DG377" s="69"/>
      <c r="DH377" s="69"/>
      <c r="DI377" s="69"/>
      <c r="DJ377" s="69"/>
      <c r="DK377" s="69"/>
      <c r="DL377" s="69"/>
      <c r="DM377" s="69"/>
      <c r="DN377" s="69"/>
      <c r="DO377" s="69"/>
      <c r="DP377" s="69"/>
      <c r="DQ377" s="69"/>
      <c r="DR377" s="69"/>
      <c r="DS377" s="69"/>
      <c r="DT377" s="69"/>
      <c r="DU377" s="69"/>
    </row>
    <row r="378" ht="15.75" customHeight="1">
      <c r="A378" s="69"/>
      <c r="B378" s="69"/>
      <c r="C378" s="69"/>
      <c r="D378" s="4"/>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c r="BN378" s="69"/>
      <c r="BO378" s="69"/>
      <c r="BP378" s="69"/>
      <c r="BQ378" s="69"/>
      <c r="BR378" s="69"/>
      <c r="BS378" s="69"/>
      <c r="BT378" s="69"/>
      <c r="BU378" s="69"/>
      <c r="BV378" s="69"/>
      <c r="BW378" s="69"/>
      <c r="BX378" s="69"/>
      <c r="BY378" s="69"/>
      <c r="BZ378" s="69"/>
      <c r="CA378" s="69"/>
      <c r="CB378" s="69"/>
      <c r="CC378" s="69"/>
      <c r="CD378" s="69"/>
      <c r="CE378" s="69"/>
      <c r="CF378" s="69"/>
      <c r="CG378" s="69"/>
      <c r="CH378" s="69"/>
      <c r="CI378" s="69"/>
      <c r="CJ378" s="69"/>
      <c r="CK378" s="69"/>
      <c r="CL378" s="69"/>
      <c r="CM378" s="69"/>
      <c r="CN378" s="69"/>
      <c r="CO378" s="69"/>
      <c r="CP378" s="69"/>
      <c r="CQ378" s="69"/>
      <c r="CR378" s="69"/>
      <c r="CS378" s="69"/>
      <c r="CT378" s="69"/>
      <c r="CU378" s="69"/>
      <c r="CV378" s="69"/>
      <c r="CW378" s="69"/>
      <c r="CX378" s="69"/>
      <c r="CY378" s="69"/>
      <c r="CZ378" s="69"/>
      <c r="DA378" s="69"/>
      <c r="DB378" s="69"/>
      <c r="DC378" s="69"/>
      <c r="DD378" s="69"/>
      <c r="DE378" s="69"/>
      <c r="DF378" s="69"/>
      <c r="DG378" s="69"/>
      <c r="DH378" s="69"/>
      <c r="DI378" s="69"/>
      <c r="DJ378" s="69"/>
      <c r="DK378" s="69"/>
      <c r="DL378" s="69"/>
      <c r="DM378" s="69"/>
      <c r="DN378" s="69"/>
      <c r="DO378" s="69"/>
      <c r="DP378" s="69"/>
      <c r="DQ378" s="69"/>
      <c r="DR378" s="69"/>
      <c r="DS378" s="69"/>
      <c r="DT378" s="69"/>
      <c r="DU378" s="69"/>
    </row>
    <row r="379" ht="15.75" customHeight="1">
      <c r="A379" s="69"/>
      <c r="B379" s="69"/>
      <c r="C379" s="69"/>
      <c r="D379" s="4"/>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c r="AW379" s="69"/>
      <c r="AX379" s="69"/>
      <c r="AY379" s="69"/>
      <c r="AZ379" s="69"/>
      <c r="BA379" s="69"/>
      <c r="BB379" s="69"/>
      <c r="BC379" s="69"/>
      <c r="BD379" s="69"/>
      <c r="BE379" s="69"/>
      <c r="BF379" s="69"/>
      <c r="BG379" s="69"/>
      <c r="BH379" s="69"/>
      <c r="BI379" s="69"/>
      <c r="BJ379" s="69"/>
      <c r="BK379" s="69"/>
      <c r="BL379" s="69"/>
      <c r="BM379" s="69"/>
      <c r="BN379" s="69"/>
      <c r="BO379" s="69"/>
      <c r="BP379" s="69"/>
      <c r="BQ379" s="69"/>
      <c r="BR379" s="69"/>
      <c r="BS379" s="69"/>
      <c r="BT379" s="69"/>
      <c r="BU379" s="69"/>
      <c r="BV379" s="69"/>
      <c r="BW379" s="69"/>
      <c r="BX379" s="69"/>
      <c r="BY379" s="69"/>
      <c r="BZ379" s="69"/>
      <c r="CA379" s="69"/>
      <c r="CB379" s="69"/>
      <c r="CC379" s="69"/>
      <c r="CD379" s="69"/>
      <c r="CE379" s="69"/>
      <c r="CF379" s="69"/>
      <c r="CG379" s="69"/>
      <c r="CH379" s="69"/>
      <c r="CI379" s="69"/>
      <c r="CJ379" s="69"/>
      <c r="CK379" s="69"/>
      <c r="CL379" s="69"/>
      <c r="CM379" s="69"/>
      <c r="CN379" s="69"/>
      <c r="CO379" s="69"/>
      <c r="CP379" s="69"/>
      <c r="CQ379" s="69"/>
      <c r="CR379" s="69"/>
      <c r="CS379" s="69"/>
      <c r="CT379" s="69"/>
      <c r="CU379" s="69"/>
      <c r="CV379" s="69"/>
      <c r="CW379" s="69"/>
      <c r="CX379" s="69"/>
      <c r="CY379" s="69"/>
      <c r="CZ379" s="69"/>
      <c r="DA379" s="69"/>
      <c r="DB379" s="69"/>
      <c r="DC379" s="69"/>
      <c r="DD379" s="69"/>
      <c r="DE379" s="69"/>
      <c r="DF379" s="69"/>
      <c r="DG379" s="69"/>
      <c r="DH379" s="69"/>
      <c r="DI379" s="69"/>
      <c r="DJ379" s="69"/>
      <c r="DK379" s="69"/>
      <c r="DL379" s="69"/>
      <c r="DM379" s="69"/>
      <c r="DN379" s="69"/>
      <c r="DO379" s="69"/>
      <c r="DP379" s="69"/>
      <c r="DQ379" s="69"/>
      <c r="DR379" s="69"/>
      <c r="DS379" s="69"/>
      <c r="DT379" s="69"/>
      <c r="DU379" s="69"/>
    </row>
    <row r="380" ht="15.75" customHeight="1">
      <c r="A380" s="69"/>
      <c r="B380" s="69"/>
      <c r="C380" s="69"/>
      <c r="D380" s="4"/>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c r="AZ380" s="69"/>
      <c r="BA380" s="69"/>
      <c r="BB380" s="69"/>
      <c r="BC380" s="69"/>
      <c r="BD380" s="69"/>
      <c r="BE380" s="69"/>
      <c r="BF380" s="69"/>
      <c r="BG380" s="69"/>
      <c r="BH380" s="69"/>
      <c r="BI380" s="69"/>
      <c r="BJ380" s="69"/>
      <c r="BK380" s="69"/>
      <c r="BL380" s="69"/>
      <c r="BM380" s="69"/>
      <c r="BN380" s="69"/>
      <c r="BO380" s="69"/>
      <c r="BP380" s="69"/>
      <c r="BQ380" s="69"/>
      <c r="BR380" s="69"/>
      <c r="BS380" s="69"/>
      <c r="BT380" s="69"/>
      <c r="BU380" s="69"/>
      <c r="BV380" s="69"/>
      <c r="BW380" s="69"/>
      <c r="BX380" s="69"/>
      <c r="BY380" s="69"/>
      <c r="BZ380" s="69"/>
      <c r="CA380" s="69"/>
      <c r="CB380" s="69"/>
      <c r="CC380" s="69"/>
      <c r="CD380" s="69"/>
      <c r="CE380" s="69"/>
      <c r="CF380" s="69"/>
      <c r="CG380" s="69"/>
      <c r="CH380" s="69"/>
      <c r="CI380" s="69"/>
      <c r="CJ380" s="69"/>
      <c r="CK380" s="69"/>
      <c r="CL380" s="69"/>
      <c r="CM380" s="69"/>
      <c r="CN380" s="69"/>
      <c r="CO380" s="69"/>
      <c r="CP380" s="69"/>
      <c r="CQ380" s="69"/>
      <c r="CR380" s="69"/>
      <c r="CS380" s="69"/>
      <c r="CT380" s="69"/>
      <c r="CU380" s="69"/>
      <c r="CV380" s="69"/>
      <c r="CW380" s="69"/>
      <c r="CX380" s="69"/>
      <c r="CY380" s="69"/>
      <c r="CZ380" s="69"/>
      <c r="DA380" s="69"/>
      <c r="DB380" s="69"/>
      <c r="DC380" s="69"/>
      <c r="DD380" s="69"/>
      <c r="DE380" s="69"/>
      <c r="DF380" s="69"/>
      <c r="DG380" s="69"/>
      <c r="DH380" s="69"/>
      <c r="DI380" s="69"/>
      <c r="DJ380" s="69"/>
      <c r="DK380" s="69"/>
      <c r="DL380" s="69"/>
      <c r="DM380" s="69"/>
      <c r="DN380" s="69"/>
      <c r="DO380" s="69"/>
      <c r="DP380" s="69"/>
      <c r="DQ380" s="69"/>
      <c r="DR380" s="69"/>
      <c r="DS380" s="69"/>
      <c r="DT380" s="69"/>
      <c r="DU380" s="69"/>
    </row>
    <row r="381" ht="15.75" customHeight="1">
      <c r="A381" s="69"/>
      <c r="B381" s="69"/>
      <c r="C381" s="69"/>
      <c r="D381" s="4"/>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c r="AW381" s="69"/>
      <c r="AX381" s="69"/>
      <c r="AY381" s="69"/>
      <c r="AZ381" s="69"/>
      <c r="BA381" s="69"/>
      <c r="BB381" s="69"/>
      <c r="BC381" s="69"/>
      <c r="BD381" s="69"/>
      <c r="BE381" s="69"/>
      <c r="BF381" s="69"/>
      <c r="BG381" s="69"/>
      <c r="BH381" s="69"/>
      <c r="BI381" s="69"/>
      <c r="BJ381" s="69"/>
      <c r="BK381" s="69"/>
      <c r="BL381" s="69"/>
      <c r="BM381" s="69"/>
      <c r="BN381" s="69"/>
      <c r="BO381" s="69"/>
      <c r="BP381" s="69"/>
      <c r="BQ381" s="69"/>
      <c r="BR381" s="69"/>
      <c r="BS381" s="69"/>
      <c r="BT381" s="69"/>
      <c r="BU381" s="69"/>
      <c r="BV381" s="69"/>
      <c r="BW381" s="69"/>
      <c r="BX381" s="69"/>
      <c r="BY381" s="69"/>
      <c r="BZ381" s="69"/>
      <c r="CA381" s="69"/>
      <c r="CB381" s="69"/>
      <c r="CC381" s="69"/>
      <c r="CD381" s="69"/>
      <c r="CE381" s="69"/>
      <c r="CF381" s="69"/>
      <c r="CG381" s="69"/>
      <c r="CH381" s="69"/>
      <c r="CI381" s="69"/>
      <c r="CJ381" s="69"/>
      <c r="CK381" s="69"/>
      <c r="CL381" s="69"/>
      <c r="CM381" s="69"/>
      <c r="CN381" s="69"/>
      <c r="CO381" s="69"/>
      <c r="CP381" s="69"/>
      <c r="CQ381" s="69"/>
      <c r="CR381" s="69"/>
      <c r="CS381" s="69"/>
      <c r="CT381" s="69"/>
      <c r="CU381" s="69"/>
      <c r="CV381" s="69"/>
      <c r="CW381" s="69"/>
      <c r="CX381" s="69"/>
      <c r="CY381" s="69"/>
      <c r="CZ381" s="69"/>
      <c r="DA381" s="69"/>
      <c r="DB381" s="69"/>
      <c r="DC381" s="69"/>
      <c r="DD381" s="69"/>
      <c r="DE381" s="69"/>
      <c r="DF381" s="69"/>
      <c r="DG381" s="69"/>
      <c r="DH381" s="69"/>
      <c r="DI381" s="69"/>
      <c r="DJ381" s="69"/>
      <c r="DK381" s="69"/>
      <c r="DL381" s="69"/>
      <c r="DM381" s="69"/>
      <c r="DN381" s="69"/>
      <c r="DO381" s="69"/>
      <c r="DP381" s="69"/>
      <c r="DQ381" s="69"/>
      <c r="DR381" s="69"/>
      <c r="DS381" s="69"/>
      <c r="DT381" s="69"/>
      <c r="DU381" s="69"/>
    </row>
    <row r="382" ht="15.75" customHeight="1">
      <c r="A382" s="69"/>
      <c r="B382" s="69"/>
      <c r="C382" s="69"/>
      <c r="D382" s="4"/>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c r="AZ382" s="69"/>
      <c r="BA382" s="69"/>
      <c r="BB382" s="69"/>
      <c r="BC382" s="69"/>
      <c r="BD382" s="69"/>
      <c r="BE382" s="69"/>
      <c r="BF382" s="69"/>
      <c r="BG382" s="69"/>
      <c r="BH382" s="69"/>
      <c r="BI382" s="69"/>
      <c r="BJ382" s="69"/>
      <c r="BK382" s="69"/>
      <c r="BL382" s="69"/>
      <c r="BM382" s="69"/>
      <c r="BN382" s="69"/>
      <c r="BO382" s="69"/>
      <c r="BP382" s="69"/>
      <c r="BQ382" s="69"/>
      <c r="BR382" s="69"/>
      <c r="BS382" s="69"/>
      <c r="BT382" s="69"/>
      <c r="BU382" s="69"/>
      <c r="BV382" s="69"/>
      <c r="BW382" s="69"/>
      <c r="BX382" s="69"/>
      <c r="BY382" s="69"/>
      <c r="BZ382" s="69"/>
      <c r="CA382" s="69"/>
      <c r="CB382" s="69"/>
      <c r="CC382" s="69"/>
      <c r="CD382" s="69"/>
      <c r="CE382" s="69"/>
      <c r="CF382" s="69"/>
      <c r="CG382" s="69"/>
      <c r="CH382" s="69"/>
      <c r="CI382" s="69"/>
      <c r="CJ382" s="69"/>
      <c r="CK382" s="69"/>
      <c r="CL382" s="69"/>
      <c r="CM382" s="69"/>
      <c r="CN382" s="69"/>
      <c r="CO382" s="69"/>
      <c r="CP382" s="69"/>
      <c r="CQ382" s="69"/>
      <c r="CR382" s="69"/>
      <c r="CS382" s="69"/>
      <c r="CT382" s="69"/>
      <c r="CU382" s="69"/>
      <c r="CV382" s="69"/>
      <c r="CW382" s="69"/>
      <c r="CX382" s="69"/>
      <c r="CY382" s="69"/>
      <c r="CZ382" s="69"/>
      <c r="DA382" s="69"/>
      <c r="DB382" s="69"/>
      <c r="DC382" s="69"/>
      <c r="DD382" s="69"/>
      <c r="DE382" s="69"/>
      <c r="DF382" s="69"/>
      <c r="DG382" s="69"/>
      <c r="DH382" s="69"/>
      <c r="DI382" s="69"/>
      <c r="DJ382" s="69"/>
      <c r="DK382" s="69"/>
      <c r="DL382" s="69"/>
      <c r="DM382" s="69"/>
      <c r="DN382" s="69"/>
      <c r="DO382" s="69"/>
      <c r="DP382" s="69"/>
      <c r="DQ382" s="69"/>
      <c r="DR382" s="69"/>
      <c r="DS382" s="69"/>
      <c r="DT382" s="69"/>
      <c r="DU382" s="69"/>
    </row>
    <row r="383" ht="15.75" customHeight="1">
      <c r="A383" s="69"/>
      <c r="B383" s="69"/>
      <c r="C383" s="69"/>
      <c r="D383" s="4"/>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c r="AW383" s="69"/>
      <c r="AX383" s="69"/>
      <c r="AY383" s="69"/>
      <c r="AZ383" s="69"/>
      <c r="BA383" s="69"/>
      <c r="BB383" s="69"/>
      <c r="BC383" s="69"/>
      <c r="BD383" s="69"/>
      <c r="BE383" s="69"/>
      <c r="BF383" s="69"/>
      <c r="BG383" s="69"/>
      <c r="BH383" s="69"/>
      <c r="BI383" s="69"/>
      <c r="BJ383" s="69"/>
      <c r="BK383" s="69"/>
      <c r="BL383" s="69"/>
      <c r="BM383" s="69"/>
      <c r="BN383" s="69"/>
      <c r="BO383" s="69"/>
      <c r="BP383" s="69"/>
      <c r="BQ383" s="69"/>
      <c r="BR383" s="69"/>
      <c r="BS383" s="69"/>
      <c r="BT383" s="69"/>
      <c r="BU383" s="69"/>
      <c r="BV383" s="69"/>
      <c r="BW383" s="69"/>
      <c r="BX383" s="69"/>
      <c r="BY383" s="69"/>
      <c r="BZ383" s="69"/>
      <c r="CA383" s="69"/>
      <c r="CB383" s="69"/>
      <c r="CC383" s="69"/>
      <c r="CD383" s="69"/>
      <c r="CE383" s="69"/>
      <c r="CF383" s="69"/>
      <c r="CG383" s="69"/>
      <c r="CH383" s="69"/>
      <c r="CI383" s="69"/>
      <c r="CJ383" s="69"/>
      <c r="CK383" s="69"/>
      <c r="CL383" s="69"/>
      <c r="CM383" s="69"/>
      <c r="CN383" s="69"/>
      <c r="CO383" s="69"/>
      <c r="CP383" s="69"/>
      <c r="CQ383" s="69"/>
      <c r="CR383" s="69"/>
      <c r="CS383" s="69"/>
      <c r="CT383" s="69"/>
      <c r="CU383" s="69"/>
      <c r="CV383" s="69"/>
      <c r="CW383" s="69"/>
      <c r="CX383" s="69"/>
      <c r="CY383" s="69"/>
      <c r="CZ383" s="69"/>
      <c r="DA383" s="69"/>
      <c r="DB383" s="69"/>
      <c r="DC383" s="69"/>
      <c r="DD383" s="69"/>
      <c r="DE383" s="69"/>
      <c r="DF383" s="69"/>
      <c r="DG383" s="69"/>
      <c r="DH383" s="69"/>
      <c r="DI383" s="69"/>
      <c r="DJ383" s="69"/>
      <c r="DK383" s="69"/>
      <c r="DL383" s="69"/>
      <c r="DM383" s="69"/>
      <c r="DN383" s="69"/>
      <c r="DO383" s="69"/>
      <c r="DP383" s="69"/>
      <c r="DQ383" s="69"/>
      <c r="DR383" s="69"/>
      <c r="DS383" s="69"/>
      <c r="DT383" s="69"/>
      <c r="DU383" s="69"/>
    </row>
    <row r="384" ht="15.75" customHeight="1">
      <c r="A384" s="69"/>
      <c r="B384" s="69"/>
      <c r="C384" s="69"/>
      <c r="D384" s="4"/>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c r="AZ384" s="69"/>
      <c r="BA384" s="69"/>
      <c r="BB384" s="69"/>
      <c r="BC384" s="69"/>
      <c r="BD384" s="69"/>
      <c r="BE384" s="69"/>
      <c r="BF384" s="69"/>
      <c r="BG384" s="69"/>
      <c r="BH384" s="69"/>
      <c r="BI384" s="69"/>
      <c r="BJ384" s="69"/>
      <c r="BK384" s="69"/>
      <c r="BL384" s="69"/>
      <c r="BM384" s="69"/>
      <c r="BN384" s="69"/>
      <c r="BO384" s="69"/>
      <c r="BP384" s="69"/>
      <c r="BQ384" s="69"/>
      <c r="BR384" s="69"/>
      <c r="BS384" s="69"/>
      <c r="BT384" s="69"/>
      <c r="BU384" s="69"/>
      <c r="BV384" s="69"/>
      <c r="BW384" s="69"/>
      <c r="BX384" s="69"/>
      <c r="BY384" s="69"/>
      <c r="BZ384" s="69"/>
      <c r="CA384" s="69"/>
      <c r="CB384" s="69"/>
      <c r="CC384" s="69"/>
      <c r="CD384" s="69"/>
      <c r="CE384" s="69"/>
      <c r="CF384" s="69"/>
      <c r="CG384" s="69"/>
      <c r="CH384" s="69"/>
      <c r="CI384" s="69"/>
      <c r="CJ384" s="69"/>
      <c r="CK384" s="69"/>
      <c r="CL384" s="69"/>
      <c r="CM384" s="69"/>
      <c r="CN384" s="69"/>
      <c r="CO384" s="69"/>
      <c r="CP384" s="69"/>
      <c r="CQ384" s="69"/>
      <c r="CR384" s="69"/>
      <c r="CS384" s="69"/>
      <c r="CT384" s="69"/>
      <c r="CU384" s="69"/>
      <c r="CV384" s="69"/>
      <c r="CW384" s="69"/>
      <c r="CX384" s="69"/>
      <c r="CY384" s="69"/>
      <c r="CZ384" s="69"/>
      <c r="DA384" s="69"/>
      <c r="DB384" s="69"/>
      <c r="DC384" s="69"/>
      <c r="DD384" s="69"/>
      <c r="DE384" s="69"/>
      <c r="DF384" s="69"/>
      <c r="DG384" s="69"/>
      <c r="DH384" s="69"/>
      <c r="DI384" s="69"/>
      <c r="DJ384" s="69"/>
      <c r="DK384" s="69"/>
      <c r="DL384" s="69"/>
      <c r="DM384" s="69"/>
      <c r="DN384" s="69"/>
      <c r="DO384" s="69"/>
      <c r="DP384" s="69"/>
      <c r="DQ384" s="69"/>
      <c r="DR384" s="69"/>
      <c r="DS384" s="69"/>
      <c r="DT384" s="69"/>
      <c r="DU384" s="69"/>
    </row>
    <row r="385" ht="15.75" customHeight="1">
      <c r="A385" s="69"/>
      <c r="B385" s="69"/>
      <c r="C385" s="69"/>
      <c r="D385" s="4"/>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c r="AW385" s="69"/>
      <c r="AX385" s="69"/>
      <c r="AY385" s="69"/>
      <c r="AZ385" s="69"/>
      <c r="BA385" s="69"/>
      <c r="BB385" s="69"/>
      <c r="BC385" s="69"/>
      <c r="BD385" s="69"/>
      <c r="BE385" s="69"/>
      <c r="BF385" s="69"/>
      <c r="BG385" s="69"/>
      <c r="BH385" s="69"/>
      <c r="BI385" s="69"/>
      <c r="BJ385" s="69"/>
      <c r="BK385" s="69"/>
      <c r="BL385" s="69"/>
      <c r="BM385" s="69"/>
      <c r="BN385" s="69"/>
      <c r="BO385" s="69"/>
      <c r="BP385" s="69"/>
      <c r="BQ385" s="69"/>
      <c r="BR385" s="69"/>
      <c r="BS385" s="69"/>
      <c r="BT385" s="69"/>
      <c r="BU385" s="69"/>
      <c r="BV385" s="69"/>
      <c r="BW385" s="69"/>
      <c r="BX385" s="69"/>
      <c r="BY385" s="69"/>
      <c r="BZ385" s="69"/>
      <c r="CA385" s="69"/>
      <c r="CB385" s="69"/>
      <c r="CC385" s="69"/>
      <c r="CD385" s="69"/>
      <c r="CE385" s="69"/>
      <c r="CF385" s="69"/>
      <c r="CG385" s="69"/>
      <c r="CH385" s="69"/>
      <c r="CI385" s="69"/>
      <c r="CJ385" s="69"/>
      <c r="CK385" s="69"/>
      <c r="CL385" s="69"/>
      <c r="CM385" s="69"/>
      <c r="CN385" s="69"/>
      <c r="CO385" s="69"/>
      <c r="CP385" s="69"/>
      <c r="CQ385" s="69"/>
      <c r="CR385" s="69"/>
      <c r="CS385" s="69"/>
      <c r="CT385" s="69"/>
      <c r="CU385" s="69"/>
      <c r="CV385" s="69"/>
      <c r="CW385" s="69"/>
      <c r="CX385" s="69"/>
      <c r="CY385" s="69"/>
      <c r="CZ385" s="69"/>
      <c r="DA385" s="69"/>
      <c r="DB385" s="69"/>
      <c r="DC385" s="69"/>
      <c r="DD385" s="69"/>
      <c r="DE385" s="69"/>
      <c r="DF385" s="69"/>
      <c r="DG385" s="69"/>
      <c r="DH385" s="69"/>
      <c r="DI385" s="69"/>
      <c r="DJ385" s="69"/>
      <c r="DK385" s="69"/>
      <c r="DL385" s="69"/>
      <c r="DM385" s="69"/>
      <c r="DN385" s="69"/>
      <c r="DO385" s="69"/>
      <c r="DP385" s="69"/>
      <c r="DQ385" s="69"/>
      <c r="DR385" s="69"/>
      <c r="DS385" s="69"/>
      <c r="DT385" s="69"/>
      <c r="DU385" s="69"/>
    </row>
    <row r="386" ht="15.75" customHeight="1">
      <c r="A386" s="69"/>
      <c r="B386" s="69"/>
      <c r="C386" s="69"/>
      <c r="D386" s="4"/>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c r="AZ386" s="69"/>
      <c r="BA386" s="69"/>
      <c r="BB386" s="69"/>
      <c r="BC386" s="69"/>
      <c r="BD386" s="69"/>
      <c r="BE386" s="69"/>
      <c r="BF386" s="69"/>
      <c r="BG386" s="69"/>
      <c r="BH386" s="69"/>
      <c r="BI386" s="69"/>
      <c r="BJ386" s="69"/>
      <c r="BK386" s="69"/>
      <c r="BL386" s="69"/>
      <c r="BM386" s="69"/>
      <c r="BN386" s="69"/>
      <c r="BO386" s="69"/>
      <c r="BP386" s="69"/>
      <c r="BQ386" s="69"/>
      <c r="BR386" s="69"/>
      <c r="BS386" s="69"/>
      <c r="BT386" s="69"/>
      <c r="BU386" s="69"/>
      <c r="BV386" s="69"/>
      <c r="BW386" s="69"/>
      <c r="BX386" s="69"/>
      <c r="BY386" s="69"/>
      <c r="BZ386" s="69"/>
      <c r="CA386" s="69"/>
      <c r="CB386" s="69"/>
      <c r="CC386" s="69"/>
      <c r="CD386" s="69"/>
      <c r="CE386" s="69"/>
      <c r="CF386" s="69"/>
      <c r="CG386" s="69"/>
      <c r="CH386" s="69"/>
      <c r="CI386" s="69"/>
      <c r="CJ386" s="69"/>
      <c r="CK386" s="69"/>
      <c r="CL386" s="69"/>
      <c r="CM386" s="69"/>
      <c r="CN386" s="69"/>
      <c r="CO386" s="69"/>
      <c r="CP386" s="69"/>
      <c r="CQ386" s="69"/>
      <c r="CR386" s="69"/>
      <c r="CS386" s="69"/>
      <c r="CT386" s="69"/>
      <c r="CU386" s="69"/>
      <c r="CV386" s="69"/>
      <c r="CW386" s="69"/>
      <c r="CX386" s="69"/>
      <c r="CY386" s="69"/>
      <c r="CZ386" s="69"/>
      <c r="DA386" s="69"/>
      <c r="DB386" s="69"/>
      <c r="DC386" s="69"/>
      <c r="DD386" s="69"/>
      <c r="DE386" s="69"/>
      <c r="DF386" s="69"/>
      <c r="DG386" s="69"/>
      <c r="DH386" s="69"/>
      <c r="DI386" s="69"/>
      <c r="DJ386" s="69"/>
      <c r="DK386" s="69"/>
      <c r="DL386" s="69"/>
      <c r="DM386" s="69"/>
      <c r="DN386" s="69"/>
      <c r="DO386" s="69"/>
      <c r="DP386" s="69"/>
      <c r="DQ386" s="69"/>
      <c r="DR386" s="69"/>
      <c r="DS386" s="69"/>
      <c r="DT386" s="69"/>
      <c r="DU386" s="69"/>
    </row>
    <row r="387" ht="15.75" customHeight="1">
      <c r="A387" s="69"/>
      <c r="B387" s="69"/>
      <c r="C387" s="69"/>
      <c r="D387" s="4"/>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c r="AW387" s="69"/>
      <c r="AX387" s="69"/>
      <c r="AY387" s="69"/>
      <c r="AZ387" s="69"/>
      <c r="BA387" s="69"/>
      <c r="BB387" s="69"/>
      <c r="BC387" s="69"/>
      <c r="BD387" s="69"/>
      <c r="BE387" s="69"/>
      <c r="BF387" s="69"/>
      <c r="BG387" s="69"/>
      <c r="BH387" s="69"/>
      <c r="BI387" s="69"/>
      <c r="BJ387" s="69"/>
      <c r="BK387" s="69"/>
      <c r="BL387" s="69"/>
      <c r="BM387" s="69"/>
      <c r="BN387" s="69"/>
      <c r="BO387" s="69"/>
      <c r="BP387" s="69"/>
      <c r="BQ387" s="69"/>
      <c r="BR387" s="69"/>
      <c r="BS387" s="69"/>
      <c r="BT387" s="69"/>
      <c r="BU387" s="69"/>
      <c r="BV387" s="69"/>
      <c r="BW387" s="69"/>
      <c r="BX387" s="69"/>
      <c r="BY387" s="69"/>
      <c r="BZ387" s="69"/>
      <c r="CA387" s="69"/>
      <c r="CB387" s="69"/>
      <c r="CC387" s="69"/>
      <c r="CD387" s="69"/>
      <c r="CE387" s="69"/>
      <c r="CF387" s="69"/>
      <c r="CG387" s="69"/>
      <c r="CH387" s="69"/>
      <c r="CI387" s="69"/>
      <c r="CJ387" s="69"/>
      <c r="CK387" s="69"/>
      <c r="CL387" s="69"/>
      <c r="CM387" s="69"/>
      <c r="CN387" s="69"/>
      <c r="CO387" s="69"/>
      <c r="CP387" s="69"/>
      <c r="CQ387" s="69"/>
      <c r="CR387" s="69"/>
      <c r="CS387" s="69"/>
      <c r="CT387" s="69"/>
      <c r="CU387" s="69"/>
      <c r="CV387" s="69"/>
      <c r="CW387" s="69"/>
      <c r="CX387" s="69"/>
      <c r="CY387" s="69"/>
      <c r="CZ387" s="69"/>
      <c r="DA387" s="69"/>
      <c r="DB387" s="69"/>
      <c r="DC387" s="69"/>
      <c r="DD387" s="69"/>
      <c r="DE387" s="69"/>
      <c r="DF387" s="69"/>
      <c r="DG387" s="69"/>
      <c r="DH387" s="69"/>
      <c r="DI387" s="69"/>
      <c r="DJ387" s="69"/>
      <c r="DK387" s="69"/>
      <c r="DL387" s="69"/>
      <c r="DM387" s="69"/>
      <c r="DN387" s="69"/>
      <c r="DO387" s="69"/>
      <c r="DP387" s="69"/>
      <c r="DQ387" s="69"/>
      <c r="DR387" s="69"/>
      <c r="DS387" s="69"/>
      <c r="DT387" s="69"/>
      <c r="DU387" s="69"/>
    </row>
  </sheetData>
  <mergeCells count="40">
    <mergeCell ref="A1:B2"/>
    <mergeCell ref="A3:B3"/>
    <mergeCell ref="A4:B4"/>
    <mergeCell ref="A6:H6"/>
    <mergeCell ref="A19:C19"/>
    <mergeCell ref="A20:H20"/>
    <mergeCell ref="A37:C37"/>
    <mergeCell ref="A38:H38"/>
    <mergeCell ref="A39:H39"/>
    <mergeCell ref="A44:C44"/>
    <mergeCell ref="A45:H45"/>
    <mergeCell ref="A47:H47"/>
    <mergeCell ref="A84:H84"/>
    <mergeCell ref="A86:H86"/>
    <mergeCell ref="A83:C83"/>
    <mergeCell ref="A98:C98"/>
    <mergeCell ref="A99:H99"/>
    <mergeCell ref="A101:H101"/>
    <mergeCell ref="A108:C108"/>
    <mergeCell ref="A109:H109"/>
    <mergeCell ref="A111:H111"/>
    <mergeCell ref="A119:C119"/>
    <mergeCell ref="A120:H120"/>
    <mergeCell ref="A122:H122"/>
    <mergeCell ref="A132:C132"/>
    <mergeCell ref="A133:H133"/>
    <mergeCell ref="A135:AD135"/>
    <mergeCell ref="A143:H143"/>
    <mergeCell ref="A175:C175"/>
    <mergeCell ref="A176:H176"/>
    <mergeCell ref="A178:H178"/>
    <mergeCell ref="A186:C186"/>
    <mergeCell ref="A187:H187"/>
    <mergeCell ref="A141:C141"/>
    <mergeCell ref="A149:C149"/>
    <mergeCell ref="A150:H150"/>
    <mergeCell ref="A152:H152"/>
    <mergeCell ref="A163:C163"/>
    <mergeCell ref="A164:H164"/>
    <mergeCell ref="A166:H166"/>
  </mergeCell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71"/>
    <col customWidth="1" min="2" max="2" width="51.29"/>
    <col customWidth="1" min="3" max="3" width="11.71"/>
    <col customWidth="1" min="4" max="4" width="12.0"/>
    <col customWidth="1" min="5" max="48" width="12.71"/>
  </cols>
  <sheetData>
    <row r="1" ht="15.0" customHeight="1">
      <c r="A1" s="1" t="s">
        <v>289</v>
      </c>
      <c r="C1" s="3"/>
      <c r="D1" s="3"/>
      <c r="E1" s="3"/>
      <c r="F1" s="3"/>
      <c r="G1" s="3"/>
      <c r="H1" s="3"/>
      <c r="I1" s="3"/>
      <c r="J1" s="3"/>
      <c r="K1" s="3"/>
      <c r="L1" s="3"/>
      <c r="M1" s="3"/>
      <c r="N1" s="3"/>
      <c r="O1" s="3"/>
      <c r="P1" s="3"/>
      <c r="Q1" s="3"/>
      <c r="R1" s="3"/>
      <c r="S1" s="3"/>
      <c r="T1" s="3"/>
      <c r="U1" s="3"/>
      <c r="V1" s="4"/>
      <c r="W1" s="4"/>
      <c r="X1" s="4"/>
      <c r="Y1" s="4"/>
      <c r="Z1" s="4"/>
      <c r="AA1" s="4"/>
      <c r="AB1" s="4"/>
      <c r="AC1" s="4"/>
      <c r="AD1" s="4"/>
      <c r="AE1" s="4"/>
      <c r="AF1" s="4"/>
      <c r="AG1" s="4"/>
      <c r="AH1" s="4"/>
      <c r="AI1" s="4"/>
      <c r="AJ1" s="4"/>
      <c r="AK1" s="4"/>
      <c r="AL1" s="4"/>
      <c r="AM1" s="4"/>
      <c r="AN1" s="4"/>
      <c r="AO1" s="4"/>
      <c r="AP1" s="4"/>
      <c r="AQ1" s="4"/>
      <c r="AR1" s="4"/>
      <c r="AS1" s="4"/>
      <c r="AT1" s="4"/>
      <c r="AU1" s="4"/>
      <c r="AV1" s="4"/>
    </row>
    <row r="2">
      <c r="C2" s="3"/>
      <c r="D2" s="3"/>
      <c r="E2" s="3"/>
      <c r="F2" s="3"/>
      <c r="G2" s="3"/>
      <c r="H2" s="3"/>
      <c r="I2" s="3"/>
      <c r="J2" s="3"/>
      <c r="K2" s="3"/>
      <c r="L2" s="3"/>
      <c r="M2" s="3"/>
      <c r="N2" s="3"/>
      <c r="O2" s="3"/>
      <c r="P2" s="3"/>
      <c r="Q2" s="3"/>
      <c r="R2" s="3"/>
      <c r="S2" s="3"/>
      <c r="T2" s="3"/>
      <c r="U2" s="3"/>
      <c r="V2" s="4"/>
      <c r="W2" s="4"/>
      <c r="X2" s="4"/>
      <c r="Y2" s="4"/>
      <c r="Z2" s="4"/>
      <c r="AA2" s="4"/>
      <c r="AB2" s="4"/>
      <c r="AC2" s="4"/>
      <c r="AD2" s="4"/>
      <c r="AE2" s="4"/>
      <c r="AF2" s="4"/>
      <c r="AG2" s="4"/>
      <c r="AH2" s="4"/>
      <c r="AI2" s="4"/>
      <c r="AJ2" s="4"/>
      <c r="AK2" s="4"/>
      <c r="AL2" s="4"/>
      <c r="AM2" s="4"/>
      <c r="AN2" s="4"/>
      <c r="AO2" s="4"/>
      <c r="AP2" s="4"/>
      <c r="AQ2" s="4"/>
      <c r="AR2" s="4"/>
      <c r="AS2" s="4"/>
      <c r="AT2" s="4"/>
      <c r="AU2" s="4"/>
      <c r="AV2" s="4"/>
    </row>
    <row r="3">
      <c r="A3" s="7" t="s">
        <v>290</v>
      </c>
      <c r="C3" s="3"/>
      <c r="D3" s="3"/>
      <c r="E3" s="3"/>
      <c r="F3" s="3"/>
      <c r="G3" s="8"/>
      <c r="H3" s="8"/>
      <c r="I3" s="8"/>
      <c r="J3" s="8"/>
      <c r="K3" s="8"/>
      <c r="L3" s="8"/>
      <c r="M3" s="8"/>
      <c r="N3" s="8"/>
      <c r="O3" s="8"/>
      <c r="P3" s="8"/>
      <c r="Q3" s="8"/>
      <c r="R3" s="8"/>
      <c r="S3" s="8"/>
      <c r="T3" s="8"/>
      <c r="U3" s="8"/>
      <c r="V3" s="4"/>
      <c r="W3" s="4"/>
      <c r="X3" s="4"/>
      <c r="Y3" s="4"/>
      <c r="Z3" s="4"/>
      <c r="AA3" s="4"/>
      <c r="AB3" s="4"/>
      <c r="AC3" s="4"/>
      <c r="AD3" s="4"/>
      <c r="AE3" s="4"/>
      <c r="AF3" s="4"/>
      <c r="AG3" s="4"/>
      <c r="AH3" s="4"/>
      <c r="AI3" s="4"/>
      <c r="AJ3" s="4"/>
      <c r="AK3" s="4"/>
      <c r="AL3" s="4"/>
      <c r="AM3" s="4"/>
      <c r="AN3" s="4"/>
      <c r="AO3" s="4"/>
      <c r="AP3" s="4"/>
      <c r="AQ3" s="4"/>
      <c r="AR3" s="4"/>
      <c r="AS3" s="4"/>
      <c r="AT3" s="4"/>
      <c r="AU3" s="4"/>
      <c r="AV3" s="4"/>
    </row>
    <row r="4">
      <c r="A4" s="7" t="s">
        <v>5</v>
      </c>
      <c r="C4" s="3"/>
      <c r="D4" s="3"/>
      <c r="E4" s="3"/>
      <c r="F4" s="3"/>
      <c r="G4" s="8"/>
      <c r="H4" s="8"/>
      <c r="I4" s="8"/>
      <c r="J4" s="8"/>
      <c r="K4" s="8"/>
      <c r="L4" s="8"/>
      <c r="M4" s="8"/>
      <c r="N4" s="8"/>
      <c r="O4" s="8"/>
      <c r="P4" s="8"/>
      <c r="Q4" s="8"/>
      <c r="R4" s="8"/>
      <c r="S4" s="8"/>
      <c r="T4" s="8"/>
      <c r="U4" s="8"/>
      <c r="V4" s="4"/>
      <c r="W4" s="4"/>
      <c r="X4" s="4"/>
      <c r="Y4" s="4"/>
      <c r="Z4" s="4"/>
      <c r="AA4" s="4"/>
      <c r="AB4" s="4"/>
      <c r="AC4" s="4"/>
      <c r="AD4" s="4"/>
      <c r="AE4" s="4"/>
      <c r="AF4" s="4"/>
      <c r="AG4" s="4"/>
      <c r="AH4" s="4"/>
      <c r="AI4" s="4"/>
      <c r="AJ4" s="4"/>
      <c r="AK4" s="4"/>
      <c r="AL4" s="4"/>
      <c r="AM4" s="4"/>
      <c r="AN4" s="4"/>
      <c r="AO4" s="4"/>
      <c r="AP4" s="4"/>
      <c r="AQ4" s="4"/>
      <c r="AR4" s="4"/>
      <c r="AS4" s="4"/>
      <c r="AT4" s="4"/>
      <c r="AU4" s="4"/>
      <c r="AV4" s="4"/>
    </row>
    <row r="5">
      <c r="A5" s="7"/>
      <c r="B5" s="4"/>
      <c r="C5" s="9"/>
      <c r="D5" s="8"/>
      <c r="E5" s="8"/>
      <c r="F5" s="8"/>
      <c r="G5" s="8"/>
      <c r="H5" s="8"/>
      <c r="I5" s="8"/>
      <c r="J5" s="8"/>
      <c r="K5" s="8"/>
      <c r="L5" s="8"/>
      <c r="M5" s="8"/>
      <c r="N5" s="8"/>
      <c r="O5" s="8"/>
      <c r="P5" s="8"/>
      <c r="Q5" s="8"/>
      <c r="R5" s="8"/>
      <c r="S5" s="8"/>
      <c r="T5" s="8"/>
      <c r="U5" s="8"/>
      <c r="V5" s="4"/>
      <c r="W5" s="4"/>
      <c r="X5" s="4"/>
      <c r="Y5" s="4"/>
      <c r="Z5" s="4"/>
      <c r="AA5" s="4"/>
      <c r="AB5" s="4"/>
      <c r="AC5" s="4"/>
      <c r="AD5" s="4"/>
      <c r="AE5" s="4"/>
      <c r="AF5" s="4"/>
      <c r="AG5" s="4"/>
      <c r="AH5" s="4"/>
      <c r="AI5" s="4"/>
      <c r="AJ5" s="4"/>
      <c r="AK5" s="4"/>
      <c r="AL5" s="4"/>
      <c r="AM5" s="4"/>
      <c r="AN5" s="4"/>
      <c r="AO5" s="4"/>
      <c r="AP5" s="4"/>
      <c r="AQ5" s="4"/>
      <c r="AR5" s="4"/>
      <c r="AS5" s="4"/>
      <c r="AT5" s="4"/>
      <c r="AU5" s="4"/>
      <c r="AV5" s="4"/>
    </row>
    <row r="6">
      <c r="A6" s="125" t="s">
        <v>291</v>
      </c>
      <c r="B6" s="125"/>
      <c r="C6" s="125"/>
      <c r="D6" s="125"/>
      <c r="E6" s="125"/>
      <c r="F6" s="125"/>
      <c r="G6" s="125"/>
      <c r="H6" s="125"/>
      <c r="I6" s="125"/>
      <c r="J6" s="125"/>
      <c r="K6" s="125"/>
      <c r="L6" s="125"/>
      <c r="M6" s="125"/>
      <c r="N6" s="125"/>
      <c r="O6" s="125"/>
      <c r="P6" s="125"/>
      <c r="Q6" s="125"/>
      <c r="R6" s="125"/>
      <c r="S6" s="125"/>
      <c r="T6" s="125"/>
      <c r="U6" s="125"/>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row>
    <row r="7">
      <c r="A7" s="95" t="s">
        <v>6</v>
      </c>
      <c r="B7" s="96" t="s">
        <v>7</v>
      </c>
      <c r="C7" s="97" t="s">
        <v>8</v>
      </c>
      <c r="D7" s="96" t="s">
        <v>9</v>
      </c>
      <c r="E7" s="96" t="s">
        <v>10</v>
      </c>
      <c r="F7" s="96" t="s">
        <v>11</v>
      </c>
      <c r="G7" s="96" t="s">
        <v>12</v>
      </c>
      <c r="H7" s="96" t="s">
        <v>13</v>
      </c>
      <c r="I7" s="98">
        <v>44148.0</v>
      </c>
      <c r="J7" s="98">
        <v>44147.0</v>
      </c>
      <c r="K7" s="98">
        <v>44146.0</v>
      </c>
      <c r="L7" s="98">
        <v>44145.0</v>
      </c>
      <c r="M7" s="98">
        <v>44144.0</v>
      </c>
      <c r="N7" s="98">
        <v>44141.0</v>
      </c>
      <c r="O7" s="98">
        <v>44140.0</v>
      </c>
      <c r="P7" s="98">
        <v>44139.0</v>
      </c>
      <c r="Q7" s="98">
        <v>44138.0</v>
      </c>
      <c r="R7" s="98">
        <v>44137.0</v>
      </c>
      <c r="S7" s="98">
        <v>44134.0</v>
      </c>
      <c r="T7" s="98">
        <v>44133.0</v>
      </c>
      <c r="U7" s="98">
        <v>44131.0</v>
      </c>
      <c r="V7" s="98">
        <v>44116.0</v>
      </c>
      <c r="W7" s="98">
        <v>44080.0</v>
      </c>
      <c r="X7" s="98">
        <v>44079.0</v>
      </c>
      <c r="Y7" s="98">
        <v>44078.0</v>
      </c>
      <c r="Z7" s="98">
        <v>44076.0</v>
      </c>
      <c r="AA7" s="98">
        <v>44071.0</v>
      </c>
      <c r="AB7" s="98">
        <v>44070.0</v>
      </c>
      <c r="AC7" s="69"/>
      <c r="AD7" s="69"/>
      <c r="AE7" s="69"/>
      <c r="AF7" s="69"/>
      <c r="AG7" s="69"/>
      <c r="AH7" s="69"/>
      <c r="AI7" s="69"/>
      <c r="AJ7" s="69"/>
      <c r="AK7" s="69"/>
      <c r="AL7" s="69"/>
      <c r="AM7" s="69"/>
      <c r="AN7" s="69"/>
      <c r="AO7" s="69"/>
      <c r="AP7" s="69"/>
      <c r="AQ7" s="69"/>
      <c r="AR7" s="69"/>
      <c r="AS7" s="69"/>
      <c r="AT7" s="69"/>
      <c r="AU7" s="69"/>
      <c r="AV7" s="69"/>
    </row>
    <row r="8">
      <c r="A8" s="99">
        <v>1.0</v>
      </c>
      <c r="B8" s="24" t="s">
        <v>292</v>
      </c>
      <c r="C8" s="25" t="s">
        <v>86</v>
      </c>
      <c r="D8" s="102" t="s">
        <v>51</v>
      </c>
      <c r="E8" s="26">
        <v>16.0</v>
      </c>
      <c r="F8" s="102">
        <v>8.0</v>
      </c>
      <c r="G8" s="6">
        <v>44070.0</v>
      </c>
      <c r="H8" s="6">
        <v>44070.0</v>
      </c>
      <c r="I8" s="111">
        <v>1.0</v>
      </c>
      <c r="J8" s="111">
        <v>1.0</v>
      </c>
      <c r="K8" s="111">
        <v>1.0</v>
      </c>
      <c r="L8" s="111">
        <v>1.0</v>
      </c>
      <c r="M8" s="111">
        <v>1.0</v>
      </c>
      <c r="N8" s="111">
        <v>1.0</v>
      </c>
      <c r="O8" s="111">
        <v>1.0</v>
      </c>
      <c r="P8" s="111">
        <v>1.0</v>
      </c>
      <c r="Q8" s="111">
        <v>1.0</v>
      </c>
      <c r="R8" s="111">
        <v>1.0</v>
      </c>
      <c r="S8" s="111">
        <v>1.0</v>
      </c>
      <c r="T8" s="111">
        <v>1.0</v>
      </c>
      <c r="U8" s="111">
        <v>1.0</v>
      </c>
      <c r="V8" s="111">
        <v>1.0</v>
      </c>
      <c r="W8" s="111">
        <v>1.0</v>
      </c>
      <c r="X8" s="111">
        <v>1.0</v>
      </c>
      <c r="Y8" s="111">
        <v>1.0</v>
      </c>
      <c r="Z8" s="111">
        <v>1.0</v>
      </c>
      <c r="AA8" s="111">
        <v>1.0</v>
      </c>
      <c r="AB8" s="111">
        <v>1.0</v>
      </c>
      <c r="AC8" s="69"/>
      <c r="AD8" s="69"/>
      <c r="AE8" s="69"/>
      <c r="AF8" s="69"/>
      <c r="AG8" s="69"/>
      <c r="AH8" s="69"/>
      <c r="AI8" s="69"/>
      <c r="AJ8" s="69"/>
      <c r="AK8" s="69"/>
      <c r="AL8" s="69"/>
      <c r="AM8" s="69"/>
      <c r="AN8" s="69"/>
      <c r="AO8" s="69"/>
      <c r="AP8" s="69"/>
      <c r="AQ8" s="69"/>
      <c r="AR8" s="69"/>
      <c r="AS8" s="69"/>
      <c r="AT8" s="69"/>
      <c r="AU8" s="69"/>
      <c r="AV8" s="69"/>
    </row>
    <row r="9">
      <c r="A9" s="99">
        <v>2.0</v>
      </c>
      <c r="B9" s="24" t="s">
        <v>293</v>
      </c>
      <c r="C9" s="25" t="s">
        <v>86</v>
      </c>
      <c r="D9" s="102" t="s">
        <v>51</v>
      </c>
      <c r="E9" s="26">
        <v>16.0</v>
      </c>
      <c r="F9" s="102">
        <v>16.0</v>
      </c>
      <c r="G9" s="6">
        <v>44079.0</v>
      </c>
      <c r="H9" s="6">
        <v>44080.0</v>
      </c>
      <c r="I9" s="111">
        <v>1.0</v>
      </c>
      <c r="J9" s="111">
        <v>1.0</v>
      </c>
      <c r="K9" s="111">
        <v>1.0</v>
      </c>
      <c r="L9" s="111">
        <v>1.0</v>
      </c>
      <c r="M9" s="111">
        <v>1.0</v>
      </c>
      <c r="N9" s="111">
        <v>1.0</v>
      </c>
      <c r="O9" s="111">
        <v>1.0</v>
      </c>
      <c r="P9" s="111">
        <v>1.0</v>
      </c>
      <c r="Q9" s="111">
        <v>1.0</v>
      </c>
      <c r="R9" s="111">
        <v>1.0</v>
      </c>
      <c r="S9" s="111">
        <v>1.0</v>
      </c>
      <c r="T9" s="111">
        <v>1.0</v>
      </c>
      <c r="U9" s="111">
        <v>1.0</v>
      </c>
      <c r="V9" s="111">
        <v>1.0</v>
      </c>
      <c r="W9" s="111">
        <v>1.0</v>
      </c>
      <c r="X9" s="111">
        <v>0.5</v>
      </c>
      <c r="Y9" s="111"/>
      <c r="Z9" s="111"/>
      <c r="AA9" s="111"/>
      <c r="AB9" s="111"/>
      <c r="AC9" s="69"/>
      <c r="AD9" s="69"/>
      <c r="AE9" s="69"/>
      <c r="AF9" s="69"/>
      <c r="AG9" s="69"/>
      <c r="AH9" s="69"/>
      <c r="AI9" s="69"/>
      <c r="AJ9" s="69"/>
      <c r="AK9" s="69"/>
      <c r="AL9" s="69"/>
      <c r="AM9" s="69"/>
      <c r="AN9" s="69"/>
      <c r="AO9" s="69"/>
      <c r="AP9" s="69"/>
      <c r="AQ9" s="69"/>
      <c r="AR9" s="69"/>
      <c r="AS9" s="69"/>
      <c r="AT9" s="69"/>
      <c r="AU9" s="69"/>
      <c r="AV9" s="69"/>
    </row>
    <row r="10" ht="15.75" customHeight="1">
      <c r="A10" s="99">
        <v>3.0</v>
      </c>
      <c r="B10" s="24" t="s">
        <v>294</v>
      </c>
      <c r="C10" s="25" t="s">
        <v>86</v>
      </c>
      <c r="D10" s="102" t="s">
        <v>51</v>
      </c>
      <c r="E10" s="26">
        <v>8.0</v>
      </c>
      <c r="F10" s="131">
        <v>8.0</v>
      </c>
      <c r="G10" s="6">
        <v>44116.0</v>
      </c>
      <c r="H10" s="6">
        <v>44116.0</v>
      </c>
      <c r="I10" s="111">
        <v>1.0</v>
      </c>
      <c r="J10" s="111">
        <v>1.0</v>
      </c>
      <c r="K10" s="111">
        <v>1.0</v>
      </c>
      <c r="L10" s="111">
        <v>1.0</v>
      </c>
      <c r="M10" s="111">
        <v>1.0</v>
      </c>
      <c r="N10" s="111">
        <v>1.0</v>
      </c>
      <c r="O10" s="111">
        <v>1.0</v>
      </c>
      <c r="P10" s="111">
        <v>1.0</v>
      </c>
      <c r="Q10" s="111">
        <v>1.0</v>
      </c>
      <c r="R10" s="111">
        <v>1.0</v>
      </c>
      <c r="S10" s="111">
        <v>1.0</v>
      </c>
      <c r="T10" s="111">
        <v>1.0</v>
      </c>
      <c r="U10" s="111">
        <v>1.0</v>
      </c>
      <c r="V10" s="111">
        <v>1.0</v>
      </c>
      <c r="W10" s="111"/>
      <c r="X10" s="111"/>
      <c r="Y10" s="111"/>
      <c r="Z10" s="111"/>
      <c r="AA10" s="111"/>
      <c r="AB10" s="111"/>
      <c r="AC10" s="69"/>
      <c r="AD10" s="69"/>
      <c r="AE10" s="69"/>
      <c r="AF10" s="69"/>
      <c r="AG10" s="69"/>
      <c r="AH10" s="69"/>
      <c r="AI10" s="69"/>
      <c r="AJ10" s="69"/>
      <c r="AK10" s="69"/>
      <c r="AL10" s="69"/>
      <c r="AM10" s="69"/>
      <c r="AN10" s="69"/>
      <c r="AO10" s="69"/>
      <c r="AP10" s="69"/>
      <c r="AQ10" s="69"/>
      <c r="AR10" s="69"/>
      <c r="AS10" s="69"/>
      <c r="AT10" s="69"/>
      <c r="AU10" s="69"/>
      <c r="AV10" s="69"/>
    </row>
    <row r="11" ht="15.75" customHeight="1">
      <c r="A11" s="99">
        <v>4.0</v>
      </c>
      <c r="B11" s="24" t="s">
        <v>295</v>
      </c>
      <c r="C11" s="25" t="s">
        <v>86</v>
      </c>
      <c r="D11" s="102" t="s">
        <v>51</v>
      </c>
      <c r="E11" s="26">
        <v>16.0</v>
      </c>
      <c r="F11" s="131">
        <v>18.0</v>
      </c>
      <c r="G11" s="6">
        <v>44071.0</v>
      </c>
      <c r="H11" s="6">
        <v>44076.0</v>
      </c>
      <c r="I11" s="111">
        <v>1.0</v>
      </c>
      <c r="J11" s="111">
        <v>1.0</v>
      </c>
      <c r="K11" s="111">
        <v>1.0</v>
      </c>
      <c r="L11" s="111">
        <v>1.0</v>
      </c>
      <c r="M11" s="111">
        <v>1.0</v>
      </c>
      <c r="N11" s="111">
        <v>1.0</v>
      </c>
      <c r="O11" s="111">
        <v>1.0</v>
      </c>
      <c r="P11" s="111">
        <v>1.0</v>
      </c>
      <c r="Q11" s="111">
        <v>1.0</v>
      </c>
      <c r="R11" s="111">
        <v>1.0</v>
      </c>
      <c r="S11" s="111">
        <v>1.0</v>
      </c>
      <c r="T11" s="111">
        <v>1.0</v>
      </c>
      <c r="U11" s="111">
        <v>1.0</v>
      </c>
      <c r="V11" s="111">
        <v>1.0</v>
      </c>
      <c r="W11" s="111">
        <v>1.0</v>
      </c>
      <c r="X11" s="111">
        <v>1.0</v>
      </c>
      <c r="Y11" s="111">
        <v>1.0</v>
      </c>
      <c r="Z11" s="111">
        <v>1.0</v>
      </c>
      <c r="AA11" s="111">
        <v>0.5</v>
      </c>
      <c r="AB11" s="111"/>
      <c r="AC11" s="69"/>
      <c r="AD11" s="69"/>
      <c r="AE11" s="69"/>
      <c r="AF11" s="69"/>
      <c r="AG11" s="69"/>
      <c r="AH11" s="69"/>
      <c r="AI11" s="69"/>
      <c r="AJ11" s="69"/>
      <c r="AK11" s="69"/>
      <c r="AL11" s="69"/>
      <c r="AM11" s="69"/>
      <c r="AN11" s="69"/>
      <c r="AO11" s="69"/>
      <c r="AP11" s="69"/>
      <c r="AQ11" s="69"/>
      <c r="AR11" s="69"/>
      <c r="AS11" s="69"/>
      <c r="AT11" s="69"/>
      <c r="AU11" s="69"/>
      <c r="AV11" s="69"/>
    </row>
    <row r="12" ht="15.75" customHeight="1">
      <c r="A12" s="99">
        <v>5.0</v>
      </c>
      <c r="B12" s="24" t="s">
        <v>296</v>
      </c>
      <c r="C12" s="25" t="s">
        <v>86</v>
      </c>
      <c r="D12" s="102" t="s">
        <v>51</v>
      </c>
      <c r="E12" s="26">
        <v>8.0</v>
      </c>
      <c r="F12" s="131">
        <v>8.0</v>
      </c>
      <c r="G12" s="6">
        <v>44078.0</v>
      </c>
      <c r="H12" s="6">
        <v>44078.0</v>
      </c>
      <c r="I12" s="111">
        <v>1.0</v>
      </c>
      <c r="J12" s="111">
        <v>1.0</v>
      </c>
      <c r="K12" s="111">
        <v>1.0</v>
      </c>
      <c r="L12" s="111">
        <v>1.0</v>
      </c>
      <c r="M12" s="111">
        <v>1.0</v>
      </c>
      <c r="N12" s="111">
        <v>1.0</v>
      </c>
      <c r="O12" s="111">
        <v>1.0</v>
      </c>
      <c r="P12" s="111">
        <v>1.0</v>
      </c>
      <c r="Q12" s="111">
        <v>1.0</v>
      </c>
      <c r="R12" s="111">
        <v>1.0</v>
      </c>
      <c r="S12" s="111">
        <v>1.0</v>
      </c>
      <c r="T12" s="111">
        <v>1.0</v>
      </c>
      <c r="U12" s="111">
        <v>1.0</v>
      </c>
      <c r="V12" s="111">
        <v>1.0</v>
      </c>
      <c r="W12" s="111">
        <v>1.0</v>
      </c>
      <c r="X12" s="111">
        <v>1.0</v>
      </c>
      <c r="Y12" s="111">
        <v>1.0</v>
      </c>
      <c r="Z12" s="111"/>
      <c r="AA12" s="111"/>
      <c r="AB12" s="111"/>
      <c r="AC12" s="69"/>
      <c r="AD12" s="69"/>
      <c r="AE12" s="69"/>
      <c r="AF12" s="69"/>
      <c r="AG12" s="69"/>
      <c r="AH12" s="69"/>
      <c r="AI12" s="69"/>
      <c r="AJ12" s="69"/>
      <c r="AK12" s="69"/>
      <c r="AL12" s="69"/>
      <c r="AM12" s="69"/>
      <c r="AN12" s="69"/>
      <c r="AO12" s="69"/>
      <c r="AP12" s="69"/>
      <c r="AQ12" s="69"/>
      <c r="AR12" s="69"/>
      <c r="AS12" s="69"/>
      <c r="AT12" s="69"/>
      <c r="AU12" s="69"/>
      <c r="AV12" s="69"/>
    </row>
    <row r="13">
      <c r="A13" s="99">
        <v>6.0</v>
      </c>
      <c r="B13" s="24" t="s">
        <v>297</v>
      </c>
      <c r="C13" s="25" t="s">
        <v>86</v>
      </c>
      <c r="D13" s="102" t="s">
        <v>51</v>
      </c>
      <c r="E13" s="26">
        <v>8.0</v>
      </c>
      <c r="F13" s="102">
        <v>8.0</v>
      </c>
      <c r="G13" s="6">
        <v>44133.0</v>
      </c>
      <c r="H13" s="6">
        <v>44134.0</v>
      </c>
      <c r="I13" s="111">
        <v>1.0</v>
      </c>
      <c r="J13" s="111">
        <v>1.0</v>
      </c>
      <c r="K13" s="111">
        <v>1.0</v>
      </c>
      <c r="L13" s="111">
        <v>1.0</v>
      </c>
      <c r="M13" s="111">
        <v>1.0</v>
      </c>
      <c r="N13" s="111">
        <v>1.0</v>
      </c>
      <c r="O13" s="111">
        <v>1.0</v>
      </c>
      <c r="P13" s="111">
        <v>1.0</v>
      </c>
      <c r="Q13" s="111">
        <v>1.0</v>
      </c>
      <c r="R13" s="111">
        <v>1.0</v>
      </c>
      <c r="S13" s="111">
        <v>1.0</v>
      </c>
      <c r="T13" s="111">
        <v>0.5</v>
      </c>
      <c r="U13" s="111"/>
      <c r="V13" s="111"/>
      <c r="W13" s="111"/>
      <c r="X13" s="111"/>
      <c r="Y13" s="111"/>
      <c r="Z13" s="111"/>
      <c r="AA13" s="111"/>
      <c r="AB13" s="111"/>
      <c r="AC13" s="69"/>
      <c r="AD13" s="69"/>
      <c r="AE13" s="69"/>
      <c r="AF13" s="69"/>
      <c r="AG13" s="69"/>
      <c r="AH13" s="69"/>
      <c r="AI13" s="69"/>
      <c r="AJ13" s="69"/>
      <c r="AK13" s="69"/>
      <c r="AL13" s="69"/>
      <c r="AM13" s="69"/>
      <c r="AN13" s="69"/>
      <c r="AO13" s="69"/>
      <c r="AP13" s="69"/>
      <c r="AQ13" s="69"/>
      <c r="AR13" s="69"/>
      <c r="AS13" s="69"/>
      <c r="AT13" s="69"/>
      <c r="AU13" s="69"/>
      <c r="AV13" s="69"/>
    </row>
    <row r="14" ht="15.75" customHeight="1">
      <c r="A14" s="99">
        <v>7.0</v>
      </c>
      <c r="B14" s="5" t="s">
        <v>298</v>
      </c>
      <c r="C14" s="25" t="s">
        <v>86</v>
      </c>
      <c r="D14" s="102" t="s">
        <v>51</v>
      </c>
      <c r="E14" s="26">
        <v>8.0</v>
      </c>
      <c r="F14" s="131">
        <v>8.0</v>
      </c>
      <c r="G14" s="6">
        <v>44137.0</v>
      </c>
      <c r="H14" s="6">
        <v>44137.0</v>
      </c>
      <c r="I14" s="111">
        <v>1.0</v>
      </c>
      <c r="J14" s="111">
        <v>1.0</v>
      </c>
      <c r="K14" s="111">
        <v>1.0</v>
      </c>
      <c r="L14" s="111">
        <v>1.0</v>
      </c>
      <c r="M14" s="111">
        <v>1.0</v>
      </c>
      <c r="N14" s="111">
        <v>1.0</v>
      </c>
      <c r="O14" s="111">
        <v>1.0</v>
      </c>
      <c r="P14" s="111">
        <v>1.0</v>
      </c>
      <c r="Q14" s="111">
        <v>1.0</v>
      </c>
      <c r="R14" s="111">
        <v>1.0</v>
      </c>
      <c r="S14" s="111"/>
      <c r="T14" s="111"/>
      <c r="U14" s="111"/>
      <c r="V14" s="111"/>
      <c r="W14" s="111"/>
      <c r="X14" s="111"/>
      <c r="Y14" s="111"/>
      <c r="Z14" s="111"/>
      <c r="AA14" s="111"/>
      <c r="AB14" s="111"/>
      <c r="AC14" s="69"/>
      <c r="AD14" s="69"/>
      <c r="AE14" s="69"/>
      <c r="AF14" s="69"/>
      <c r="AG14" s="69"/>
      <c r="AH14" s="69"/>
      <c r="AI14" s="69"/>
      <c r="AJ14" s="69"/>
      <c r="AK14" s="69"/>
      <c r="AL14" s="69"/>
      <c r="AM14" s="69"/>
      <c r="AN14" s="69"/>
      <c r="AO14" s="69"/>
      <c r="AP14" s="69"/>
      <c r="AQ14" s="69"/>
      <c r="AR14" s="69"/>
      <c r="AS14" s="69"/>
      <c r="AT14" s="69"/>
      <c r="AU14" s="69"/>
      <c r="AV14" s="69"/>
    </row>
    <row r="15" ht="15.75" customHeight="1">
      <c r="A15" s="99">
        <v>8.0</v>
      </c>
      <c r="B15" s="5" t="s">
        <v>299</v>
      </c>
      <c r="C15" s="25" t="s">
        <v>86</v>
      </c>
      <c r="D15" s="102" t="s">
        <v>51</v>
      </c>
      <c r="E15" s="26">
        <v>8.0</v>
      </c>
      <c r="F15" s="131">
        <v>8.0</v>
      </c>
      <c r="G15" s="6">
        <v>44138.0</v>
      </c>
      <c r="H15" s="6">
        <v>44138.0</v>
      </c>
      <c r="I15" s="111">
        <v>1.0</v>
      </c>
      <c r="J15" s="111">
        <v>1.0</v>
      </c>
      <c r="K15" s="111">
        <v>1.0</v>
      </c>
      <c r="L15" s="111">
        <v>1.0</v>
      </c>
      <c r="M15" s="111">
        <v>1.0</v>
      </c>
      <c r="N15" s="111">
        <v>1.0</v>
      </c>
      <c r="O15" s="111">
        <v>1.0</v>
      </c>
      <c r="P15" s="111">
        <v>1.0</v>
      </c>
      <c r="Q15" s="111">
        <v>1.0</v>
      </c>
      <c r="R15" s="131"/>
      <c r="S15" s="131"/>
      <c r="T15" s="131"/>
      <c r="U15" s="131"/>
      <c r="V15" s="131"/>
      <c r="W15" s="131"/>
      <c r="X15" s="131"/>
      <c r="Y15" s="131"/>
      <c r="Z15" s="131"/>
      <c r="AA15" s="131"/>
      <c r="AB15" s="131"/>
      <c r="AC15" s="69"/>
      <c r="AD15" s="69"/>
      <c r="AE15" s="69"/>
      <c r="AF15" s="69"/>
      <c r="AG15" s="69"/>
      <c r="AH15" s="69"/>
      <c r="AI15" s="69"/>
      <c r="AJ15" s="69"/>
      <c r="AK15" s="69"/>
      <c r="AL15" s="69"/>
      <c r="AM15" s="69"/>
      <c r="AN15" s="69"/>
      <c r="AO15" s="69"/>
      <c r="AP15" s="69"/>
      <c r="AQ15" s="69"/>
      <c r="AR15" s="69"/>
      <c r="AS15" s="69"/>
      <c r="AT15" s="69"/>
      <c r="AU15" s="69"/>
      <c r="AV15" s="69"/>
    </row>
    <row r="16" ht="15.75" customHeight="1">
      <c r="A16" s="99">
        <v>9.0</v>
      </c>
      <c r="B16" s="5" t="s">
        <v>300</v>
      </c>
      <c r="C16" s="25" t="s">
        <v>86</v>
      </c>
      <c r="D16" s="102" t="s">
        <v>51</v>
      </c>
      <c r="E16" s="26">
        <v>8.0</v>
      </c>
      <c r="F16" s="131">
        <v>8.0</v>
      </c>
      <c r="G16" s="6">
        <v>44139.0</v>
      </c>
      <c r="H16" s="6">
        <v>44139.0</v>
      </c>
      <c r="I16" s="111">
        <v>1.0</v>
      </c>
      <c r="J16" s="111">
        <v>1.0</v>
      </c>
      <c r="K16" s="111">
        <v>1.0</v>
      </c>
      <c r="L16" s="111">
        <v>1.0</v>
      </c>
      <c r="M16" s="111">
        <v>1.0</v>
      </c>
      <c r="N16" s="111">
        <v>1.0</v>
      </c>
      <c r="O16" s="111">
        <v>1.0</v>
      </c>
      <c r="P16" s="111">
        <v>1.0</v>
      </c>
      <c r="Q16" s="131"/>
      <c r="R16" s="131"/>
      <c r="S16" s="131"/>
      <c r="T16" s="131"/>
      <c r="U16" s="131"/>
      <c r="V16" s="131"/>
      <c r="W16" s="131"/>
      <c r="X16" s="131"/>
      <c r="Y16" s="131"/>
      <c r="Z16" s="131"/>
      <c r="AA16" s="131"/>
      <c r="AB16" s="131"/>
      <c r="AC16" s="69"/>
      <c r="AD16" s="69"/>
      <c r="AE16" s="69"/>
      <c r="AF16" s="69"/>
      <c r="AG16" s="69"/>
      <c r="AH16" s="69"/>
      <c r="AI16" s="69"/>
      <c r="AJ16" s="69"/>
      <c r="AK16" s="69"/>
      <c r="AL16" s="69"/>
      <c r="AM16" s="69"/>
      <c r="AN16" s="69"/>
      <c r="AO16" s="69"/>
      <c r="AP16" s="69"/>
      <c r="AQ16" s="69"/>
      <c r="AR16" s="69"/>
      <c r="AS16" s="69"/>
      <c r="AT16" s="69"/>
      <c r="AU16" s="69"/>
      <c r="AV16" s="69"/>
    </row>
    <row r="17" ht="15.75" customHeight="1">
      <c r="A17" s="99">
        <v>10.0</v>
      </c>
      <c r="B17" s="5" t="s">
        <v>301</v>
      </c>
      <c r="C17" s="25" t="s">
        <v>86</v>
      </c>
      <c r="D17" s="102" t="s">
        <v>51</v>
      </c>
      <c r="E17" s="5">
        <v>16.0</v>
      </c>
      <c r="F17" s="131">
        <v>16.0</v>
      </c>
      <c r="G17" s="6">
        <v>44140.0</v>
      </c>
      <c r="H17" s="6">
        <v>44141.0</v>
      </c>
      <c r="I17" s="111">
        <v>1.0</v>
      </c>
      <c r="J17" s="111">
        <v>1.0</v>
      </c>
      <c r="K17" s="111">
        <v>1.0</v>
      </c>
      <c r="L17" s="111">
        <v>1.0</v>
      </c>
      <c r="M17" s="111">
        <v>1.0</v>
      </c>
      <c r="N17" s="111">
        <v>1.0</v>
      </c>
      <c r="O17" s="111">
        <v>0.5</v>
      </c>
      <c r="P17" s="131"/>
      <c r="Q17" s="131"/>
      <c r="R17" s="131"/>
      <c r="S17" s="131"/>
      <c r="T17" s="131"/>
      <c r="U17" s="131"/>
      <c r="V17" s="131"/>
      <c r="W17" s="131"/>
      <c r="X17" s="131"/>
      <c r="Y17" s="131"/>
      <c r="Z17" s="131"/>
      <c r="AA17" s="131"/>
      <c r="AB17" s="131"/>
      <c r="AC17" s="69"/>
      <c r="AD17" s="69"/>
      <c r="AE17" s="69"/>
      <c r="AF17" s="69"/>
      <c r="AG17" s="69"/>
      <c r="AH17" s="69"/>
      <c r="AI17" s="69"/>
      <c r="AJ17" s="69"/>
      <c r="AK17" s="69"/>
      <c r="AL17" s="69"/>
      <c r="AM17" s="69"/>
      <c r="AN17" s="69"/>
      <c r="AO17" s="69"/>
      <c r="AP17" s="69"/>
      <c r="AQ17" s="69"/>
      <c r="AR17" s="69"/>
      <c r="AS17" s="69"/>
      <c r="AT17" s="69"/>
      <c r="AU17" s="69"/>
      <c r="AV17" s="69"/>
    </row>
    <row r="18" ht="15.75" customHeight="1">
      <c r="A18" s="99">
        <v>11.0</v>
      </c>
      <c r="B18" s="5" t="s">
        <v>302</v>
      </c>
      <c r="C18" s="25" t="s">
        <v>86</v>
      </c>
      <c r="D18" s="102" t="s">
        <v>51</v>
      </c>
      <c r="E18" s="5">
        <v>8.0</v>
      </c>
      <c r="F18" s="131">
        <v>4.0</v>
      </c>
      <c r="G18" s="6">
        <v>44131.0</v>
      </c>
      <c r="H18" s="6">
        <v>44131.0</v>
      </c>
      <c r="I18" s="111">
        <v>1.0</v>
      </c>
      <c r="J18" s="111">
        <v>1.0</v>
      </c>
      <c r="K18" s="111">
        <v>1.0</v>
      </c>
      <c r="L18" s="111">
        <v>1.0</v>
      </c>
      <c r="M18" s="111">
        <v>1.0</v>
      </c>
      <c r="N18" s="111">
        <v>1.0</v>
      </c>
      <c r="O18" s="111">
        <v>1.0</v>
      </c>
      <c r="P18" s="111">
        <v>1.0</v>
      </c>
      <c r="Q18" s="111">
        <v>1.0</v>
      </c>
      <c r="R18" s="111">
        <v>1.0</v>
      </c>
      <c r="S18" s="111">
        <v>1.0</v>
      </c>
      <c r="T18" s="111">
        <v>1.0</v>
      </c>
      <c r="U18" s="111">
        <v>1.0</v>
      </c>
      <c r="V18" s="131"/>
      <c r="W18" s="131"/>
      <c r="X18" s="131"/>
      <c r="Y18" s="131"/>
      <c r="Z18" s="131"/>
      <c r="AA18" s="131"/>
      <c r="AB18" s="131"/>
      <c r="AC18" s="69"/>
      <c r="AD18" s="69"/>
      <c r="AE18" s="69"/>
      <c r="AF18" s="69"/>
      <c r="AG18" s="69"/>
      <c r="AH18" s="69"/>
      <c r="AI18" s="69"/>
      <c r="AJ18" s="69"/>
      <c r="AK18" s="69"/>
      <c r="AL18" s="69"/>
      <c r="AM18" s="69"/>
      <c r="AN18" s="69"/>
      <c r="AO18" s="69"/>
      <c r="AP18" s="69"/>
      <c r="AQ18" s="69"/>
      <c r="AR18" s="69"/>
      <c r="AS18" s="69"/>
      <c r="AT18" s="69"/>
      <c r="AU18" s="69"/>
      <c r="AV18" s="69"/>
    </row>
    <row r="19" ht="15.75" customHeight="1">
      <c r="A19" s="99">
        <v>12.0</v>
      </c>
      <c r="B19" s="5" t="s">
        <v>303</v>
      </c>
      <c r="C19" s="25" t="s">
        <v>86</v>
      </c>
      <c r="D19" s="102" t="s">
        <v>51</v>
      </c>
      <c r="E19" s="5">
        <v>8.0</v>
      </c>
      <c r="F19" s="131">
        <v>8.0</v>
      </c>
      <c r="G19" s="6">
        <v>44144.0</v>
      </c>
      <c r="H19" s="6">
        <v>44144.0</v>
      </c>
      <c r="I19" s="111">
        <v>1.0</v>
      </c>
      <c r="J19" s="111">
        <v>1.0</v>
      </c>
      <c r="K19" s="111">
        <v>1.0</v>
      </c>
      <c r="L19" s="111">
        <v>1.0</v>
      </c>
      <c r="M19" s="111">
        <v>1.0</v>
      </c>
      <c r="N19" s="131"/>
      <c r="O19" s="131"/>
      <c r="P19" s="131"/>
      <c r="Q19" s="131"/>
      <c r="R19" s="131"/>
      <c r="S19" s="131"/>
      <c r="T19" s="131"/>
      <c r="U19" s="131"/>
      <c r="V19" s="131"/>
      <c r="W19" s="131"/>
      <c r="X19" s="131"/>
      <c r="Y19" s="131"/>
      <c r="Z19" s="131"/>
      <c r="AA19" s="131"/>
      <c r="AB19" s="131"/>
      <c r="AC19" s="69"/>
      <c r="AD19" s="69"/>
      <c r="AE19" s="69"/>
      <c r="AF19" s="69"/>
      <c r="AG19" s="69"/>
      <c r="AH19" s="69"/>
      <c r="AI19" s="69"/>
      <c r="AJ19" s="69"/>
      <c r="AK19" s="69"/>
      <c r="AL19" s="69"/>
      <c r="AM19" s="69"/>
      <c r="AN19" s="69"/>
      <c r="AO19" s="69"/>
      <c r="AP19" s="69"/>
      <c r="AQ19" s="69"/>
      <c r="AR19" s="69"/>
      <c r="AS19" s="69"/>
      <c r="AT19" s="69"/>
      <c r="AU19" s="69"/>
      <c r="AV19" s="69"/>
    </row>
    <row r="20" ht="15.75" customHeight="1">
      <c r="A20" s="99">
        <v>13.0</v>
      </c>
      <c r="B20" s="5" t="s">
        <v>304</v>
      </c>
      <c r="C20" s="25" t="s">
        <v>86</v>
      </c>
      <c r="D20" s="102" t="s">
        <v>51</v>
      </c>
      <c r="E20" s="5">
        <v>8.0</v>
      </c>
      <c r="F20" s="131">
        <v>8.0</v>
      </c>
      <c r="G20" s="6">
        <v>44145.0</v>
      </c>
      <c r="H20" s="6">
        <v>44145.0</v>
      </c>
      <c r="I20" s="111">
        <v>1.0</v>
      </c>
      <c r="J20" s="111">
        <v>1.0</v>
      </c>
      <c r="K20" s="111">
        <v>1.0</v>
      </c>
      <c r="L20" s="111">
        <v>1.0</v>
      </c>
      <c r="M20" s="131"/>
      <c r="N20" s="131"/>
      <c r="O20" s="131"/>
      <c r="P20" s="131"/>
      <c r="Q20" s="131"/>
      <c r="R20" s="131"/>
      <c r="S20" s="131"/>
      <c r="T20" s="131"/>
      <c r="U20" s="131"/>
      <c r="V20" s="131"/>
      <c r="W20" s="131"/>
      <c r="X20" s="131"/>
      <c r="Y20" s="131"/>
      <c r="Z20" s="131"/>
      <c r="AA20" s="131"/>
      <c r="AB20" s="131"/>
      <c r="AC20" s="69"/>
      <c r="AD20" s="69"/>
      <c r="AE20" s="69"/>
      <c r="AF20" s="69"/>
      <c r="AG20" s="69"/>
      <c r="AH20" s="69"/>
      <c r="AI20" s="69"/>
      <c r="AJ20" s="69"/>
      <c r="AK20" s="69"/>
      <c r="AL20" s="69"/>
      <c r="AM20" s="69"/>
      <c r="AN20" s="69"/>
      <c r="AO20" s="69"/>
      <c r="AP20" s="69"/>
      <c r="AQ20" s="69"/>
      <c r="AR20" s="69"/>
      <c r="AS20" s="69"/>
      <c r="AT20" s="69"/>
      <c r="AU20" s="69"/>
      <c r="AV20" s="69"/>
    </row>
    <row r="21" ht="15.75" customHeight="1">
      <c r="A21" s="99">
        <v>14.0</v>
      </c>
      <c r="B21" s="5" t="s">
        <v>305</v>
      </c>
      <c r="C21" s="25" t="s">
        <v>86</v>
      </c>
      <c r="D21" s="102" t="s">
        <v>51</v>
      </c>
      <c r="E21" s="5">
        <v>24.0</v>
      </c>
      <c r="F21" s="131">
        <v>18.0</v>
      </c>
      <c r="G21" s="6">
        <v>44146.0</v>
      </c>
      <c r="H21" s="6">
        <v>44147.0</v>
      </c>
      <c r="I21" s="111">
        <v>1.0</v>
      </c>
      <c r="J21" s="111">
        <v>1.0</v>
      </c>
      <c r="K21" s="111">
        <v>0.5</v>
      </c>
      <c r="L21" s="131"/>
      <c r="M21" s="131"/>
      <c r="N21" s="131"/>
      <c r="O21" s="131"/>
      <c r="P21" s="131"/>
      <c r="Q21" s="131"/>
      <c r="R21" s="131"/>
      <c r="S21" s="131"/>
      <c r="T21" s="131"/>
      <c r="U21" s="131"/>
      <c r="V21" s="131"/>
      <c r="W21" s="131"/>
      <c r="X21" s="131"/>
      <c r="Y21" s="131"/>
      <c r="Z21" s="131"/>
      <c r="AA21" s="131"/>
      <c r="AB21" s="131"/>
      <c r="AC21" s="69"/>
      <c r="AD21" s="69"/>
      <c r="AE21" s="69"/>
      <c r="AF21" s="69"/>
      <c r="AG21" s="69"/>
      <c r="AH21" s="69"/>
      <c r="AI21" s="69"/>
      <c r="AJ21" s="69"/>
      <c r="AK21" s="69"/>
      <c r="AL21" s="69"/>
      <c r="AM21" s="69"/>
      <c r="AN21" s="69"/>
      <c r="AO21" s="69"/>
      <c r="AP21" s="69"/>
      <c r="AQ21" s="69"/>
      <c r="AR21" s="69"/>
      <c r="AS21" s="69"/>
      <c r="AT21" s="69"/>
      <c r="AU21" s="69"/>
      <c r="AV21" s="69"/>
    </row>
    <row r="22" ht="15.75" customHeight="1">
      <c r="A22" s="99">
        <v>15.0</v>
      </c>
      <c r="B22" s="5" t="s">
        <v>59</v>
      </c>
      <c r="C22" s="25" t="s">
        <v>86</v>
      </c>
      <c r="D22" s="102" t="s">
        <v>51</v>
      </c>
      <c r="E22" s="5">
        <v>16.0</v>
      </c>
      <c r="F22" s="131">
        <v>8.0</v>
      </c>
      <c r="G22" s="6">
        <v>44148.0</v>
      </c>
      <c r="H22" s="6">
        <v>44148.0</v>
      </c>
      <c r="I22" s="111">
        <v>1.0</v>
      </c>
      <c r="J22" s="111"/>
      <c r="K22" s="111"/>
      <c r="L22" s="131"/>
      <c r="M22" s="131"/>
      <c r="N22" s="131"/>
      <c r="O22" s="131"/>
      <c r="P22" s="131"/>
      <c r="Q22" s="131"/>
      <c r="R22" s="131"/>
      <c r="S22" s="131"/>
      <c r="T22" s="131"/>
      <c r="U22" s="131"/>
      <c r="V22" s="131"/>
      <c r="W22" s="131"/>
      <c r="X22" s="131"/>
      <c r="Y22" s="131"/>
      <c r="Z22" s="131"/>
      <c r="AA22" s="131"/>
      <c r="AB22" s="131"/>
      <c r="AC22" s="69"/>
      <c r="AD22" s="69"/>
      <c r="AE22" s="69"/>
      <c r="AF22" s="69"/>
      <c r="AG22" s="69"/>
      <c r="AH22" s="69"/>
      <c r="AI22" s="69"/>
      <c r="AJ22" s="69"/>
      <c r="AK22" s="69"/>
      <c r="AL22" s="69"/>
      <c r="AM22" s="69"/>
      <c r="AN22" s="69"/>
      <c r="AO22" s="69"/>
      <c r="AP22" s="69"/>
      <c r="AQ22" s="69"/>
      <c r="AR22" s="69"/>
      <c r="AS22" s="69"/>
      <c r="AT22" s="69"/>
      <c r="AU22" s="69"/>
      <c r="AV22" s="69"/>
    </row>
    <row r="23" ht="15.0" customHeight="1">
      <c r="A23" s="108" t="s">
        <v>45</v>
      </c>
      <c r="B23" s="50"/>
      <c r="C23" s="51"/>
      <c r="D23" s="101"/>
      <c r="E23" s="109">
        <f t="shared" ref="E23:F23" si="1">SUM(E8:E22)</f>
        <v>176</v>
      </c>
      <c r="F23" s="109">
        <f t="shared" si="1"/>
        <v>152</v>
      </c>
      <c r="G23" s="110"/>
      <c r="H23" s="131"/>
      <c r="I23" s="131"/>
      <c r="J23" s="131"/>
      <c r="K23" s="131"/>
      <c r="L23" s="131"/>
      <c r="M23" s="131"/>
      <c r="N23" s="131"/>
      <c r="O23" s="131"/>
      <c r="P23" s="131"/>
      <c r="Q23" s="131"/>
      <c r="R23" s="131"/>
      <c r="S23" s="131"/>
      <c r="T23" s="131"/>
      <c r="U23" s="131"/>
      <c r="V23" s="131"/>
      <c r="W23" s="131"/>
      <c r="X23" s="131"/>
      <c r="Y23" s="131"/>
      <c r="Z23" s="131"/>
      <c r="AA23" s="131"/>
      <c r="AB23" s="131"/>
      <c r="AC23" s="69"/>
      <c r="AD23" s="69"/>
      <c r="AE23" s="69"/>
      <c r="AF23" s="69"/>
      <c r="AG23" s="69"/>
      <c r="AH23" s="69"/>
      <c r="AI23" s="69"/>
      <c r="AJ23" s="69"/>
      <c r="AK23" s="69"/>
      <c r="AL23" s="69"/>
      <c r="AM23" s="69"/>
      <c r="AN23" s="69"/>
      <c r="AO23" s="69"/>
      <c r="AP23" s="69"/>
      <c r="AQ23" s="69"/>
      <c r="AR23" s="69"/>
      <c r="AS23" s="69"/>
      <c r="AT23" s="69"/>
      <c r="AU23" s="69"/>
      <c r="AV23" s="69"/>
    </row>
    <row r="24" ht="19.5" customHeight="1">
      <c r="A24" s="113" t="s">
        <v>166</v>
      </c>
      <c r="B24" s="50"/>
      <c r="C24" s="50"/>
      <c r="D24" s="50"/>
      <c r="E24" s="50"/>
      <c r="F24" s="50"/>
      <c r="G24" s="50"/>
      <c r="H24" s="50"/>
      <c r="I24" s="132">
        <v>44147.0</v>
      </c>
      <c r="J24" s="132"/>
      <c r="K24" s="132"/>
      <c r="L24" s="132"/>
      <c r="M24" s="132"/>
      <c r="N24" s="132"/>
      <c r="O24" s="132"/>
      <c r="P24" s="132"/>
      <c r="Q24" s="132"/>
      <c r="R24" s="132"/>
      <c r="S24" s="132"/>
      <c r="T24" s="132"/>
      <c r="U24" s="132"/>
      <c r="V24" s="132"/>
      <c r="W24" s="133"/>
      <c r="X24" s="133"/>
      <c r="Y24" s="133"/>
      <c r="Z24" s="133"/>
      <c r="AA24" s="133"/>
      <c r="AB24" s="134"/>
      <c r="AC24" s="69"/>
      <c r="AD24" s="69"/>
      <c r="AE24" s="69"/>
      <c r="AF24" s="69"/>
      <c r="AG24" s="69"/>
      <c r="AH24" s="69"/>
      <c r="AI24" s="69"/>
      <c r="AJ24" s="69"/>
      <c r="AK24" s="69"/>
      <c r="AL24" s="69"/>
      <c r="AM24" s="69"/>
      <c r="AN24" s="69"/>
      <c r="AO24" s="69"/>
      <c r="AP24" s="69"/>
      <c r="AQ24" s="69"/>
      <c r="AR24" s="69"/>
      <c r="AS24" s="69"/>
      <c r="AT24" s="69"/>
      <c r="AU24" s="69"/>
      <c r="AV24" s="69"/>
    </row>
    <row r="25" ht="15.75" customHeight="1">
      <c r="A25" s="69"/>
      <c r="B25" s="69"/>
      <c r="C25" s="69"/>
      <c r="D25" s="4"/>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row>
    <row r="26" ht="15.75" customHeight="1">
      <c r="A26" s="69"/>
      <c r="B26" s="69"/>
      <c r="C26" s="69"/>
      <c r="D26" s="4"/>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row>
    <row r="27" ht="15.75" customHeight="1">
      <c r="A27" s="69"/>
      <c r="B27" s="69"/>
      <c r="C27" s="69"/>
      <c r="D27" s="4"/>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row>
    <row r="28" ht="15.75" customHeight="1">
      <c r="A28" s="69"/>
      <c r="B28" s="69"/>
      <c r="C28" s="69"/>
      <c r="D28" s="4"/>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row>
    <row r="29" ht="15.75" customHeight="1">
      <c r="A29" s="69"/>
      <c r="B29" s="69"/>
      <c r="C29" s="69"/>
      <c r="D29" s="4"/>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row>
    <row r="30" ht="15.75" customHeight="1">
      <c r="A30" s="69"/>
      <c r="B30" s="69"/>
      <c r="C30" s="69"/>
      <c r="D30" s="4"/>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row>
    <row r="31" ht="15.75" customHeight="1">
      <c r="A31" s="69"/>
      <c r="B31" s="69"/>
      <c r="C31" s="69"/>
      <c r="D31" s="4"/>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row>
    <row r="32" ht="15.75" customHeight="1">
      <c r="A32" s="69"/>
      <c r="B32" s="69"/>
      <c r="C32" s="69"/>
      <c r="D32" s="4"/>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row>
    <row r="33" ht="15.75" customHeight="1">
      <c r="A33" s="69"/>
      <c r="B33" s="69"/>
      <c r="C33" s="69"/>
      <c r="D33" s="4"/>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row>
    <row r="34" ht="15.75" customHeight="1">
      <c r="A34" s="69"/>
      <c r="B34" s="69"/>
      <c r="C34" s="69"/>
      <c r="D34" s="4"/>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row>
    <row r="35" ht="15.75" customHeight="1">
      <c r="A35" s="69"/>
      <c r="B35" s="69"/>
      <c r="C35" s="69"/>
      <c r="D35" s="4"/>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row>
    <row r="36" ht="15.75" customHeight="1">
      <c r="A36" s="69"/>
      <c r="B36" s="69"/>
      <c r="C36" s="69"/>
      <c r="D36" s="4"/>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row>
    <row r="37" ht="15.75" customHeight="1">
      <c r="A37" s="69"/>
      <c r="B37" s="69"/>
      <c r="C37" s="69"/>
      <c r="D37" s="4"/>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row>
    <row r="38" ht="15.75" customHeight="1">
      <c r="A38" s="69"/>
      <c r="B38" s="69"/>
      <c r="C38" s="69"/>
      <c r="D38" s="4"/>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row>
    <row r="39" ht="15.75" customHeight="1">
      <c r="A39" s="69"/>
      <c r="B39" s="69"/>
      <c r="C39" s="69"/>
      <c r="D39" s="4"/>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row>
    <row r="40" ht="15.75" customHeight="1">
      <c r="A40" s="69"/>
      <c r="B40" s="69"/>
      <c r="C40" s="69"/>
      <c r="D40" s="4"/>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row>
    <row r="41" ht="15.75" customHeight="1">
      <c r="A41" s="69"/>
      <c r="B41" s="69"/>
      <c r="C41" s="69"/>
      <c r="D41" s="4"/>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row>
    <row r="42" ht="15.75" customHeight="1">
      <c r="A42" s="69"/>
      <c r="B42" s="69"/>
      <c r="C42" s="69"/>
      <c r="D42" s="4"/>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row>
    <row r="43" ht="15.75" customHeight="1">
      <c r="A43" s="69"/>
      <c r="B43" s="69"/>
      <c r="C43" s="69"/>
      <c r="D43" s="4"/>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row>
    <row r="44" ht="15.75" customHeight="1">
      <c r="A44" s="69"/>
      <c r="B44" s="69"/>
      <c r="C44" s="69"/>
      <c r="D44" s="4"/>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row>
    <row r="45" ht="15.75" customHeight="1">
      <c r="A45" s="69"/>
      <c r="B45" s="69"/>
      <c r="C45" s="69"/>
      <c r="D45" s="4"/>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row>
    <row r="46" ht="15.75" customHeight="1">
      <c r="A46" s="69"/>
      <c r="B46" s="69"/>
      <c r="C46" s="69"/>
      <c r="D46" s="4"/>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row>
    <row r="47" ht="15.75" customHeight="1">
      <c r="A47" s="69"/>
      <c r="B47" s="69"/>
      <c r="C47" s="69"/>
      <c r="D47" s="4"/>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row>
    <row r="48" ht="15.75" customHeight="1">
      <c r="A48" s="69"/>
      <c r="B48" s="69"/>
      <c r="C48" s="69"/>
      <c r="D48" s="4"/>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row>
    <row r="49" ht="15.75" customHeight="1">
      <c r="A49" s="69"/>
      <c r="B49" s="69"/>
      <c r="C49" s="69"/>
      <c r="D49" s="4"/>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row>
    <row r="50" ht="15.75" customHeight="1">
      <c r="A50" s="69"/>
      <c r="B50" s="69"/>
      <c r="C50" s="69"/>
      <c r="D50" s="4"/>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row>
    <row r="51" ht="15.75" customHeight="1">
      <c r="A51" s="69"/>
      <c r="B51" s="69"/>
      <c r="C51" s="69"/>
      <c r="D51" s="4"/>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row>
    <row r="52" ht="15.75" customHeight="1">
      <c r="A52" s="69"/>
      <c r="B52" s="69"/>
      <c r="C52" s="69"/>
      <c r="D52" s="4"/>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row>
    <row r="53" ht="15.75" customHeight="1">
      <c r="A53" s="69"/>
      <c r="B53" s="69"/>
      <c r="C53" s="69"/>
      <c r="D53" s="4"/>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row>
    <row r="54" ht="15.75" customHeight="1">
      <c r="A54" s="69"/>
      <c r="B54" s="69"/>
      <c r="C54" s="69"/>
      <c r="D54" s="4"/>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row>
    <row r="55" ht="15.75" customHeight="1">
      <c r="A55" s="69"/>
      <c r="B55" s="69"/>
      <c r="C55" s="69"/>
      <c r="D55" s="4"/>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row>
    <row r="56" ht="15.75" customHeight="1">
      <c r="A56" s="69"/>
      <c r="B56" s="69"/>
      <c r="C56" s="69"/>
      <c r="D56" s="4"/>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row>
    <row r="57" ht="15.75" customHeight="1">
      <c r="A57" s="69"/>
      <c r="B57" s="69"/>
      <c r="C57" s="69"/>
      <c r="D57" s="4"/>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row>
    <row r="58" ht="15.75" customHeight="1">
      <c r="A58" s="69"/>
      <c r="B58" s="69"/>
      <c r="C58" s="69"/>
      <c r="D58" s="4"/>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row>
    <row r="59" ht="15.75" customHeight="1">
      <c r="A59" s="69"/>
      <c r="B59" s="69"/>
      <c r="C59" s="69"/>
      <c r="D59" s="4"/>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row>
    <row r="60" ht="15.75" customHeight="1">
      <c r="A60" s="69"/>
      <c r="B60" s="69"/>
      <c r="C60" s="69"/>
      <c r="D60" s="4"/>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row>
    <row r="61" ht="15.75" customHeight="1">
      <c r="A61" s="69"/>
      <c r="B61" s="69"/>
      <c r="C61" s="69"/>
      <c r="D61" s="4"/>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row>
    <row r="62" ht="15.75" customHeight="1">
      <c r="A62" s="69"/>
      <c r="B62" s="69"/>
      <c r="C62" s="69"/>
      <c r="D62" s="4"/>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row>
    <row r="63" ht="15.75" customHeight="1">
      <c r="A63" s="69"/>
      <c r="B63" s="69"/>
      <c r="C63" s="69"/>
      <c r="D63" s="4"/>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row>
    <row r="64" ht="15.75" customHeight="1">
      <c r="A64" s="69"/>
      <c r="B64" s="69"/>
      <c r="C64" s="69"/>
      <c r="D64" s="4"/>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row>
    <row r="65" ht="15.75" customHeight="1">
      <c r="A65" s="69"/>
      <c r="B65" s="69"/>
      <c r="C65" s="69"/>
      <c r="D65" s="4"/>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row>
    <row r="66" ht="15.75" customHeight="1">
      <c r="A66" s="69"/>
      <c r="B66" s="69"/>
      <c r="C66" s="69"/>
      <c r="D66" s="4"/>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row>
    <row r="67" ht="15.75" customHeight="1">
      <c r="A67" s="69"/>
      <c r="B67" s="69"/>
      <c r="C67" s="69"/>
      <c r="D67" s="4"/>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row>
    <row r="68" ht="15.75" customHeight="1">
      <c r="A68" s="69"/>
      <c r="B68" s="69"/>
      <c r="C68" s="69"/>
      <c r="D68" s="4"/>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row>
    <row r="69" ht="15.75" customHeight="1">
      <c r="A69" s="69"/>
      <c r="B69" s="69"/>
      <c r="C69" s="69"/>
      <c r="D69" s="4"/>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row>
    <row r="70" ht="15.75" customHeight="1">
      <c r="A70" s="69"/>
      <c r="B70" s="69"/>
      <c r="C70" s="69"/>
      <c r="D70" s="4"/>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row>
    <row r="71" ht="15.75" customHeight="1">
      <c r="A71" s="69"/>
      <c r="B71" s="69"/>
      <c r="C71" s="69"/>
      <c r="D71" s="4"/>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row>
    <row r="72" ht="15.75" customHeight="1">
      <c r="A72" s="69"/>
      <c r="B72" s="69"/>
      <c r="C72" s="69"/>
      <c r="D72" s="4"/>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row>
    <row r="73" ht="15.75" customHeight="1">
      <c r="A73" s="69"/>
      <c r="B73" s="69"/>
      <c r="C73" s="69"/>
      <c r="D73" s="4"/>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row>
    <row r="74" ht="15.75" customHeight="1">
      <c r="A74" s="69"/>
      <c r="B74" s="69"/>
      <c r="C74" s="69"/>
      <c r="D74" s="4"/>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row>
    <row r="75" ht="15.75" customHeight="1">
      <c r="A75" s="69"/>
      <c r="B75" s="69"/>
      <c r="C75" s="69"/>
      <c r="D75" s="4"/>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row>
    <row r="76" ht="15.75" customHeight="1">
      <c r="A76" s="69"/>
      <c r="B76" s="69"/>
      <c r="C76" s="69"/>
      <c r="D76" s="4"/>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row>
    <row r="77" ht="15.75" customHeight="1">
      <c r="A77" s="69"/>
      <c r="B77" s="69"/>
      <c r="C77" s="69"/>
      <c r="D77" s="4"/>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row>
    <row r="78" ht="15.75" customHeight="1">
      <c r="A78" s="69"/>
      <c r="B78" s="69"/>
      <c r="C78" s="69"/>
      <c r="D78" s="4"/>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row>
    <row r="79" ht="15.75" customHeight="1">
      <c r="A79" s="69"/>
      <c r="B79" s="69"/>
      <c r="C79" s="69"/>
      <c r="D79" s="4"/>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row>
    <row r="80" ht="15.75" customHeight="1">
      <c r="A80" s="69"/>
      <c r="B80" s="69"/>
      <c r="C80" s="69"/>
      <c r="D80" s="4"/>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row>
    <row r="81" ht="15.75" customHeight="1">
      <c r="A81" s="69"/>
      <c r="B81" s="69"/>
      <c r="C81" s="69"/>
      <c r="D81" s="4"/>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row>
    <row r="82" ht="15.75" customHeight="1">
      <c r="A82" s="69"/>
      <c r="B82" s="69"/>
      <c r="C82" s="69"/>
      <c r="D82" s="4"/>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row>
    <row r="83" ht="15.75" customHeight="1">
      <c r="A83" s="69"/>
      <c r="B83" s="69"/>
      <c r="C83" s="69"/>
      <c r="D83" s="4"/>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row>
    <row r="84" ht="15.75" customHeight="1">
      <c r="A84" s="69"/>
      <c r="B84" s="69"/>
      <c r="C84" s="69"/>
      <c r="D84" s="4"/>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row>
    <row r="85" ht="15.75" customHeight="1">
      <c r="A85" s="69"/>
      <c r="B85" s="69"/>
      <c r="C85" s="69"/>
      <c r="D85" s="4"/>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row>
    <row r="86" ht="15.75" customHeight="1">
      <c r="A86" s="69"/>
      <c r="B86" s="69"/>
      <c r="C86" s="69"/>
      <c r="D86" s="4"/>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row>
    <row r="87" ht="15.75" customHeight="1">
      <c r="A87" s="69"/>
      <c r="B87" s="69"/>
      <c r="C87" s="69"/>
      <c r="D87" s="4"/>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row>
    <row r="88" ht="15.75" customHeight="1">
      <c r="A88" s="69"/>
      <c r="B88" s="69"/>
      <c r="C88" s="69"/>
      <c r="D88" s="4"/>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row>
    <row r="89" ht="15.75" customHeight="1">
      <c r="A89" s="69"/>
      <c r="B89" s="69"/>
      <c r="C89" s="69"/>
      <c r="D89" s="4"/>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row>
    <row r="90" ht="15.75" customHeight="1">
      <c r="A90" s="69"/>
      <c r="B90" s="69"/>
      <c r="C90" s="69"/>
      <c r="D90" s="4"/>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row>
    <row r="91" ht="15.75" customHeight="1">
      <c r="A91" s="69"/>
      <c r="B91" s="69"/>
      <c r="C91" s="69"/>
      <c r="D91" s="4"/>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row>
    <row r="92" ht="15.75" customHeight="1">
      <c r="A92" s="69"/>
      <c r="B92" s="69"/>
      <c r="C92" s="69"/>
      <c r="D92" s="4"/>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row>
    <row r="93" ht="15.75" customHeight="1">
      <c r="A93" s="69"/>
      <c r="B93" s="69"/>
      <c r="C93" s="69"/>
      <c r="D93" s="4"/>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row>
    <row r="94" ht="15.75" customHeight="1">
      <c r="A94" s="69"/>
      <c r="B94" s="69"/>
      <c r="C94" s="69"/>
      <c r="D94" s="4"/>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row>
    <row r="95" ht="15.75" customHeight="1">
      <c r="A95" s="69"/>
      <c r="B95" s="69"/>
      <c r="C95" s="69"/>
      <c r="D95" s="4"/>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row>
    <row r="96" ht="15.75" customHeight="1">
      <c r="A96" s="69"/>
      <c r="B96" s="69"/>
      <c r="C96" s="69"/>
      <c r="D96" s="4"/>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row>
    <row r="97" ht="15.75" customHeight="1">
      <c r="A97" s="69"/>
      <c r="B97" s="69"/>
      <c r="C97" s="69"/>
      <c r="D97" s="4"/>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row>
    <row r="98" ht="15.75" customHeight="1">
      <c r="A98" s="69"/>
      <c r="B98" s="69"/>
      <c r="C98" s="69"/>
      <c r="D98" s="4"/>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row>
    <row r="99" ht="15.75" customHeight="1">
      <c r="A99" s="69"/>
      <c r="B99" s="69"/>
      <c r="C99" s="69"/>
      <c r="D99" s="4"/>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row>
    <row r="100" ht="15.75" customHeight="1">
      <c r="A100" s="69"/>
      <c r="B100" s="69"/>
      <c r="C100" s="69"/>
      <c r="D100" s="4"/>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row>
    <row r="101" ht="15.75" customHeight="1">
      <c r="A101" s="69"/>
      <c r="B101" s="69"/>
      <c r="C101" s="69"/>
      <c r="D101" s="4"/>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row>
    <row r="102" ht="15.75" customHeight="1">
      <c r="A102" s="69"/>
      <c r="B102" s="69"/>
      <c r="C102" s="69"/>
      <c r="D102" s="4"/>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row>
    <row r="103" ht="15.75" customHeight="1">
      <c r="A103" s="69"/>
      <c r="B103" s="69"/>
      <c r="C103" s="69"/>
      <c r="D103" s="4"/>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row>
    <row r="104" ht="15.75" customHeight="1">
      <c r="A104" s="69"/>
      <c r="B104" s="69"/>
      <c r="C104" s="69"/>
      <c r="D104" s="4"/>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row>
    <row r="105" ht="15.75" customHeight="1">
      <c r="A105" s="69"/>
      <c r="B105" s="69"/>
      <c r="C105" s="69"/>
      <c r="D105" s="4"/>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row>
    <row r="106" ht="15.75" customHeight="1">
      <c r="A106" s="69"/>
      <c r="B106" s="69"/>
      <c r="C106" s="69"/>
      <c r="D106" s="4"/>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row>
    <row r="107" ht="15.75" customHeight="1">
      <c r="A107" s="69"/>
      <c r="B107" s="69"/>
      <c r="C107" s="69"/>
      <c r="D107" s="4"/>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row>
    <row r="108" ht="15.75" customHeight="1">
      <c r="A108" s="69"/>
      <c r="B108" s="69"/>
      <c r="C108" s="69"/>
      <c r="D108" s="4"/>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row>
    <row r="109" ht="15.75" customHeight="1">
      <c r="A109" s="69"/>
      <c r="B109" s="69"/>
      <c r="C109" s="69"/>
      <c r="D109" s="4"/>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row>
    <row r="110" ht="15.75" customHeight="1">
      <c r="A110" s="69"/>
      <c r="B110" s="69"/>
      <c r="C110" s="69"/>
      <c r="D110" s="4"/>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row>
    <row r="111" ht="15.75" customHeight="1">
      <c r="A111" s="69"/>
      <c r="B111" s="69"/>
      <c r="C111" s="69"/>
      <c r="D111" s="4"/>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row>
    <row r="112" ht="15.75" customHeight="1">
      <c r="A112" s="69"/>
      <c r="B112" s="69"/>
      <c r="C112" s="69"/>
      <c r="D112" s="4"/>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row>
    <row r="113" ht="15.75" customHeight="1">
      <c r="A113" s="69"/>
      <c r="B113" s="69"/>
      <c r="C113" s="69"/>
      <c r="D113" s="4"/>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row>
    <row r="114" ht="15.75" customHeight="1">
      <c r="A114" s="69"/>
      <c r="B114" s="69"/>
      <c r="C114" s="69"/>
      <c r="D114" s="4"/>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row>
    <row r="115" ht="15.75" customHeight="1">
      <c r="A115" s="69"/>
      <c r="B115" s="69"/>
      <c r="C115" s="69"/>
      <c r="D115" s="4"/>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row>
    <row r="116" ht="15.75" customHeight="1">
      <c r="A116" s="69"/>
      <c r="B116" s="69"/>
      <c r="C116" s="69"/>
      <c r="D116" s="4"/>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row>
    <row r="117" ht="15.75" customHeight="1">
      <c r="A117" s="69"/>
      <c r="B117" s="69"/>
      <c r="C117" s="69"/>
      <c r="D117" s="4"/>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row>
    <row r="118" ht="15.75" customHeight="1">
      <c r="A118" s="69"/>
      <c r="B118" s="69"/>
      <c r="C118" s="69"/>
      <c r="D118" s="4"/>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row>
    <row r="119" ht="15.75" customHeight="1">
      <c r="A119" s="69"/>
      <c r="B119" s="69"/>
      <c r="C119" s="69"/>
      <c r="D119" s="4"/>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row>
    <row r="120" ht="15.75" customHeight="1">
      <c r="A120" s="69"/>
      <c r="B120" s="69"/>
      <c r="C120" s="69"/>
      <c r="D120" s="4"/>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row>
    <row r="121" ht="15.75" customHeight="1">
      <c r="A121" s="69"/>
      <c r="B121" s="69"/>
      <c r="C121" s="69"/>
      <c r="D121" s="4"/>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row>
    <row r="122" ht="15.75" customHeight="1">
      <c r="A122" s="69"/>
      <c r="B122" s="69"/>
      <c r="C122" s="69"/>
      <c r="D122" s="4"/>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row>
    <row r="123" ht="15.75" customHeight="1">
      <c r="A123" s="69"/>
      <c r="B123" s="69"/>
      <c r="C123" s="69"/>
      <c r="D123" s="4"/>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row>
    <row r="124" ht="15.75" customHeight="1">
      <c r="A124" s="69"/>
      <c r="B124" s="69"/>
      <c r="C124" s="69"/>
      <c r="D124" s="4"/>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row>
    <row r="125" ht="15.75" customHeight="1">
      <c r="A125" s="69"/>
      <c r="B125" s="69"/>
      <c r="C125" s="69"/>
      <c r="D125" s="4"/>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row>
    <row r="126" ht="15.75" customHeight="1">
      <c r="A126" s="69"/>
      <c r="B126" s="69"/>
      <c r="C126" s="69"/>
      <c r="D126" s="4"/>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row>
    <row r="127" ht="15.75" customHeight="1">
      <c r="A127" s="69"/>
      <c r="B127" s="69"/>
      <c r="C127" s="69"/>
      <c r="D127" s="4"/>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row>
    <row r="128" ht="15.75" customHeight="1">
      <c r="A128" s="69"/>
      <c r="B128" s="69"/>
      <c r="C128" s="69"/>
      <c r="D128" s="4"/>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row>
    <row r="129" ht="15.75" customHeight="1">
      <c r="A129" s="69"/>
      <c r="B129" s="69"/>
      <c r="C129" s="69"/>
      <c r="D129" s="4"/>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row>
    <row r="130" ht="15.75" customHeight="1">
      <c r="A130" s="69"/>
      <c r="B130" s="69"/>
      <c r="C130" s="69"/>
      <c r="D130" s="4"/>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row>
    <row r="131" ht="15.75" customHeight="1">
      <c r="A131" s="69"/>
      <c r="B131" s="69"/>
      <c r="C131" s="69"/>
      <c r="D131" s="4"/>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row>
    <row r="132" ht="15.75" customHeight="1">
      <c r="A132" s="69"/>
      <c r="B132" s="69"/>
      <c r="C132" s="69"/>
      <c r="D132" s="4"/>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row>
    <row r="133" ht="15.75" customHeight="1">
      <c r="A133" s="69"/>
      <c r="B133" s="69"/>
      <c r="C133" s="69"/>
      <c r="D133" s="4"/>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row>
    <row r="134" ht="15.75" customHeight="1">
      <c r="A134" s="69"/>
      <c r="B134" s="69"/>
      <c r="C134" s="69"/>
      <c r="D134" s="4"/>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row>
    <row r="135" ht="15.75" customHeight="1">
      <c r="A135" s="69"/>
      <c r="B135" s="69"/>
      <c r="C135" s="69"/>
      <c r="D135" s="4"/>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row>
    <row r="136" ht="15.75" customHeight="1">
      <c r="A136" s="69"/>
      <c r="B136" s="69"/>
      <c r="C136" s="69"/>
      <c r="D136" s="4"/>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row>
    <row r="137" ht="15.75" customHeight="1">
      <c r="A137" s="69"/>
      <c r="B137" s="69"/>
      <c r="C137" s="69"/>
      <c r="D137" s="4"/>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row>
    <row r="138" ht="15.75" customHeight="1">
      <c r="A138" s="69"/>
      <c r="B138" s="69"/>
      <c r="C138" s="69"/>
      <c r="D138" s="4"/>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row>
    <row r="139" ht="15.75" customHeight="1">
      <c r="A139" s="69"/>
      <c r="B139" s="69"/>
      <c r="C139" s="69"/>
      <c r="D139" s="4"/>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row>
    <row r="140" ht="15.75" customHeight="1">
      <c r="A140" s="69"/>
      <c r="B140" s="69"/>
      <c r="C140" s="69"/>
      <c r="D140" s="4"/>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row>
    <row r="141" ht="15.75" customHeight="1">
      <c r="A141" s="69"/>
      <c r="B141" s="69"/>
      <c r="C141" s="69"/>
      <c r="D141" s="4"/>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row>
    <row r="142" ht="15.75" customHeight="1">
      <c r="A142" s="69"/>
      <c r="B142" s="69"/>
      <c r="C142" s="69"/>
      <c r="D142" s="4"/>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row>
    <row r="143" ht="15.75" customHeight="1">
      <c r="A143" s="69"/>
      <c r="B143" s="69"/>
      <c r="C143" s="69"/>
      <c r="D143" s="4"/>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row>
    <row r="144" ht="15.75" customHeight="1">
      <c r="A144" s="69"/>
      <c r="B144" s="69"/>
      <c r="C144" s="69"/>
      <c r="D144" s="4"/>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row>
    <row r="145" ht="15.75" customHeight="1">
      <c r="A145" s="69"/>
      <c r="B145" s="69"/>
      <c r="C145" s="69"/>
      <c r="D145" s="4"/>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row>
    <row r="146" ht="15.75" customHeight="1">
      <c r="A146" s="69"/>
      <c r="B146" s="69"/>
      <c r="C146" s="69"/>
      <c r="D146" s="4"/>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row>
    <row r="147" ht="15.75" customHeight="1">
      <c r="A147" s="69"/>
      <c r="B147" s="69"/>
      <c r="C147" s="69"/>
      <c r="D147" s="4"/>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row>
    <row r="148" ht="15.75" customHeight="1">
      <c r="A148" s="69"/>
      <c r="B148" s="69"/>
      <c r="C148" s="69"/>
      <c r="D148" s="4"/>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row>
    <row r="149" ht="15.75" customHeight="1">
      <c r="A149" s="69"/>
      <c r="B149" s="69"/>
      <c r="C149" s="69"/>
      <c r="D149" s="4"/>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row>
    <row r="150" ht="15.75" customHeight="1">
      <c r="A150" s="69"/>
      <c r="B150" s="69"/>
      <c r="C150" s="69"/>
      <c r="D150" s="4"/>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row>
    <row r="151" ht="15.75" customHeight="1">
      <c r="A151" s="69"/>
      <c r="B151" s="69"/>
      <c r="C151" s="69"/>
      <c r="D151" s="4"/>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row>
    <row r="152" ht="15.75" customHeight="1">
      <c r="A152" s="69"/>
      <c r="B152" s="69"/>
      <c r="C152" s="69"/>
      <c r="D152" s="4"/>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row>
    <row r="153" ht="15.75" customHeight="1">
      <c r="A153" s="69"/>
      <c r="B153" s="69"/>
      <c r="C153" s="69"/>
      <c r="D153" s="4"/>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row>
    <row r="154" ht="15.75" customHeight="1">
      <c r="A154" s="69"/>
      <c r="B154" s="69"/>
      <c r="C154" s="69"/>
      <c r="D154" s="4"/>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row>
    <row r="155" ht="15.75" customHeight="1">
      <c r="A155" s="69"/>
      <c r="B155" s="69"/>
      <c r="C155" s="69"/>
      <c r="D155" s="4"/>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row>
    <row r="156" ht="15.75" customHeight="1">
      <c r="A156" s="69"/>
      <c r="B156" s="69"/>
      <c r="C156" s="69"/>
      <c r="D156" s="4"/>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row>
    <row r="157" ht="15.75" customHeight="1">
      <c r="A157" s="69"/>
      <c r="B157" s="69"/>
      <c r="C157" s="69"/>
      <c r="D157" s="4"/>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row>
    <row r="158" ht="15.75" customHeight="1">
      <c r="A158" s="69"/>
      <c r="B158" s="69"/>
      <c r="C158" s="69"/>
      <c r="D158" s="4"/>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row>
    <row r="159" ht="15.75" customHeight="1">
      <c r="A159" s="69"/>
      <c r="B159" s="69"/>
      <c r="C159" s="69"/>
      <c r="D159" s="4"/>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row>
    <row r="160" ht="15.75" customHeight="1">
      <c r="A160" s="69"/>
      <c r="B160" s="69"/>
      <c r="C160" s="69"/>
      <c r="D160" s="4"/>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row>
    <row r="161" ht="15.75" customHeight="1">
      <c r="A161" s="69"/>
      <c r="B161" s="69"/>
      <c r="C161" s="69"/>
      <c r="D161" s="4"/>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row>
    <row r="162" ht="15.75" customHeight="1">
      <c r="A162" s="69"/>
      <c r="B162" s="69"/>
      <c r="C162" s="69"/>
      <c r="D162" s="4"/>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row>
    <row r="163" ht="15.75" customHeight="1">
      <c r="A163" s="69"/>
      <c r="B163" s="69"/>
      <c r="C163" s="69"/>
      <c r="D163" s="4"/>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row>
    <row r="164" ht="15.75" customHeight="1">
      <c r="A164" s="69"/>
      <c r="B164" s="69"/>
      <c r="C164" s="69"/>
      <c r="D164" s="4"/>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row>
    <row r="165" ht="15.75" customHeight="1">
      <c r="A165" s="69"/>
      <c r="B165" s="69"/>
      <c r="C165" s="69"/>
      <c r="D165" s="4"/>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row>
    <row r="166" ht="15.75" customHeight="1">
      <c r="A166" s="69"/>
      <c r="B166" s="69"/>
      <c r="C166" s="69"/>
      <c r="D166" s="4"/>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row>
    <row r="167" ht="15.75" customHeight="1">
      <c r="A167" s="69"/>
      <c r="B167" s="69"/>
      <c r="C167" s="69"/>
      <c r="D167" s="4"/>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row>
    <row r="168" ht="15.75" customHeight="1">
      <c r="A168" s="69"/>
      <c r="B168" s="69"/>
      <c r="C168" s="69"/>
      <c r="D168" s="4"/>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row>
    <row r="169" ht="15.75" customHeight="1">
      <c r="A169" s="69"/>
      <c r="B169" s="69"/>
      <c r="C169" s="69"/>
      <c r="D169" s="4"/>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row>
    <row r="170" ht="15.75" customHeight="1">
      <c r="A170" s="69"/>
      <c r="B170" s="69"/>
      <c r="C170" s="69"/>
      <c r="D170" s="4"/>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row>
    <row r="171" ht="15.75" customHeight="1">
      <c r="A171" s="69"/>
      <c r="B171" s="69"/>
      <c r="C171" s="69"/>
      <c r="D171" s="4"/>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row>
    <row r="172" ht="15.75" customHeight="1">
      <c r="A172" s="69"/>
      <c r="B172" s="69"/>
      <c r="C172" s="69"/>
      <c r="D172" s="4"/>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row>
    <row r="173" ht="15.75" customHeight="1">
      <c r="A173" s="69"/>
      <c r="B173" s="69"/>
      <c r="C173" s="69"/>
      <c r="D173" s="4"/>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row>
    <row r="174" ht="15.75" customHeight="1">
      <c r="A174" s="69"/>
      <c r="B174" s="69"/>
      <c r="C174" s="69"/>
      <c r="D174" s="4"/>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row>
    <row r="175" ht="15.75" customHeight="1">
      <c r="A175" s="69"/>
      <c r="B175" s="69"/>
      <c r="C175" s="69"/>
      <c r="D175" s="4"/>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row>
    <row r="176" ht="15.75" customHeight="1">
      <c r="A176" s="69"/>
      <c r="B176" s="69"/>
      <c r="C176" s="69"/>
      <c r="D176" s="4"/>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row>
    <row r="177" ht="15.75" customHeight="1">
      <c r="A177" s="69"/>
      <c r="B177" s="69"/>
      <c r="C177" s="69"/>
      <c r="D177" s="4"/>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row>
    <row r="178" ht="15.75" customHeight="1">
      <c r="A178" s="69"/>
      <c r="B178" s="69"/>
      <c r="C178" s="69"/>
      <c r="D178" s="4"/>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row>
    <row r="179" ht="15.75" customHeight="1">
      <c r="A179" s="69"/>
      <c r="B179" s="69"/>
      <c r="C179" s="69"/>
      <c r="D179" s="4"/>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row>
    <row r="180" ht="15.75" customHeight="1">
      <c r="A180" s="69"/>
      <c r="B180" s="69"/>
      <c r="C180" s="69"/>
      <c r="D180" s="4"/>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row>
    <row r="181" ht="15.75" customHeight="1">
      <c r="A181" s="69"/>
      <c r="B181" s="69"/>
      <c r="C181" s="69"/>
      <c r="D181" s="4"/>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row>
    <row r="182" ht="15.75" customHeight="1">
      <c r="A182" s="69"/>
      <c r="B182" s="69"/>
      <c r="C182" s="69"/>
      <c r="D182" s="4"/>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row>
    <row r="183" ht="15.75" customHeight="1">
      <c r="A183" s="69"/>
      <c r="B183" s="69"/>
      <c r="C183" s="69"/>
      <c r="D183" s="4"/>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row>
    <row r="184" ht="15.75" customHeight="1">
      <c r="A184" s="69"/>
      <c r="B184" s="69"/>
      <c r="C184" s="69"/>
      <c r="D184" s="4"/>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row>
    <row r="185" ht="15.75" customHeight="1">
      <c r="A185" s="69"/>
      <c r="B185" s="69"/>
      <c r="C185" s="69"/>
      <c r="D185" s="4"/>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row>
    <row r="186" ht="15.75" customHeight="1">
      <c r="A186" s="69"/>
      <c r="B186" s="69"/>
      <c r="C186" s="69"/>
      <c r="D186" s="4"/>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row>
    <row r="187" ht="15.75" customHeight="1">
      <c r="A187" s="69"/>
      <c r="B187" s="69"/>
      <c r="C187" s="69"/>
      <c r="D187" s="4"/>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row>
    <row r="188" ht="15.75" customHeight="1">
      <c r="A188" s="69"/>
      <c r="B188" s="69"/>
      <c r="C188" s="69"/>
      <c r="D188" s="4"/>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row>
    <row r="189" ht="15.75" customHeight="1">
      <c r="A189" s="69"/>
      <c r="B189" s="69"/>
      <c r="C189" s="69"/>
      <c r="D189" s="4"/>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row>
    <row r="190" ht="15.75" customHeight="1">
      <c r="A190" s="69"/>
      <c r="B190" s="69"/>
      <c r="C190" s="69"/>
      <c r="D190" s="4"/>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row>
    <row r="191" ht="15.75" customHeight="1">
      <c r="A191" s="69"/>
      <c r="B191" s="69"/>
      <c r="C191" s="69"/>
      <c r="D191" s="4"/>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row>
    <row r="192" ht="15.75" customHeight="1">
      <c r="A192" s="69"/>
      <c r="B192" s="69"/>
      <c r="C192" s="69"/>
      <c r="D192" s="4"/>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row>
    <row r="193" ht="15.75" customHeight="1">
      <c r="A193" s="69"/>
      <c r="B193" s="69"/>
      <c r="C193" s="69"/>
      <c r="D193" s="4"/>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row>
    <row r="194" ht="15.75" customHeight="1">
      <c r="A194" s="69"/>
      <c r="B194" s="69"/>
      <c r="C194" s="69"/>
      <c r="D194" s="4"/>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row>
    <row r="195" ht="15.75" customHeight="1">
      <c r="A195" s="69"/>
      <c r="B195" s="69"/>
      <c r="C195" s="69"/>
      <c r="D195" s="4"/>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row>
    <row r="196" ht="15.75" customHeight="1">
      <c r="A196" s="69"/>
      <c r="B196" s="69"/>
      <c r="C196" s="69"/>
      <c r="D196" s="4"/>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row>
    <row r="197" ht="15.75" customHeight="1">
      <c r="A197" s="69"/>
      <c r="B197" s="69"/>
      <c r="C197" s="69"/>
      <c r="D197" s="4"/>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row>
    <row r="198" ht="15.75" customHeight="1">
      <c r="A198" s="69"/>
      <c r="B198" s="69"/>
      <c r="C198" s="69"/>
      <c r="D198" s="4"/>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row>
    <row r="199" ht="15.75" customHeight="1">
      <c r="A199" s="69"/>
      <c r="B199" s="69"/>
      <c r="C199" s="69"/>
      <c r="D199" s="4"/>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row>
    <row r="200" ht="15.75" customHeight="1">
      <c r="A200" s="69"/>
      <c r="B200" s="69"/>
      <c r="C200" s="69"/>
      <c r="D200" s="4"/>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row>
    <row r="201" ht="15.75" customHeight="1">
      <c r="A201" s="69"/>
      <c r="B201" s="69"/>
      <c r="C201" s="69"/>
      <c r="D201" s="4"/>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row>
    <row r="202" ht="15.75" customHeight="1">
      <c r="A202" s="69"/>
      <c r="B202" s="69"/>
      <c r="C202" s="69"/>
      <c r="D202" s="4"/>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row>
    <row r="203" ht="15.75" customHeight="1">
      <c r="A203" s="69"/>
      <c r="B203" s="69"/>
      <c r="C203" s="69"/>
      <c r="D203" s="4"/>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row>
    <row r="204" ht="15.75" customHeight="1">
      <c r="A204" s="69"/>
      <c r="B204" s="69"/>
      <c r="C204" s="69"/>
      <c r="D204" s="4"/>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row>
    <row r="205" ht="15.75" customHeight="1">
      <c r="A205" s="69"/>
      <c r="B205" s="69"/>
      <c r="C205" s="69"/>
      <c r="D205" s="4"/>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row>
    <row r="206" ht="15.75" customHeight="1">
      <c r="A206" s="69"/>
      <c r="B206" s="69"/>
      <c r="C206" s="69"/>
      <c r="D206" s="4"/>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row>
    <row r="207" ht="15.75" customHeight="1">
      <c r="A207" s="69"/>
      <c r="B207" s="69"/>
      <c r="C207" s="69"/>
      <c r="D207" s="4"/>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row>
    <row r="208" ht="15.75" customHeight="1">
      <c r="A208" s="69"/>
      <c r="B208" s="69"/>
      <c r="C208" s="69"/>
      <c r="D208" s="4"/>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row>
    <row r="209" ht="15.75" customHeight="1">
      <c r="A209" s="69"/>
      <c r="B209" s="69"/>
      <c r="C209" s="69"/>
      <c r="D209" s="4"/>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row>
    <row r="210" ht="15.75" customHeight="1">
      <c r="A210" s="69"/>
      <c r="B210" s="69"/>
      <c r="C210" s="69"/>
      <c r="D210" s="4"/>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row>
    <row r="211" ht="15.75" customHeight="1">
      <c r="A211" s="69"/>
      <c r="B211" s="69"/>
      <c r="C211" s="69"/>
      <c r="D211" s="4"/>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row>
    <row r="212" ht="15.75" customHeight="1">
      <c r="A212" s="69"/>
      <c r="B212" s="69"/>
      <c r="C212" s="69"/>
      <c r="D212" s="4"/>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row>
    <row r="213" ht="15.75" customHeight="1">
      <c r="A213" s="69"/>
      <c r="B213" s="69"/>
      <c r="C213" s="69"/>
      <c r="D213" s="4"/>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row>
    <row r="214" ht="15.75" customHeight="1">
      <c r="A214" s="69"/>
      <c r="B214" s="69"/>
      <c r="C214" s="69"/>
      <c r="D214" s="4"/>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row>
    <row r="215" ht="15.75" customHeight="1">
      <c r="A215" s="69"/>
      <c r="B215" s="69"/>
      <c r="C215" s="69"/>
      <c r="D215" s="4"/>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row>
    <row r="216" ht="15.75" customHeight="1">
      <c r="A216" s="69"/>
      <c r="B216" s="69"/>
      <c r="C216" s="69"/>
      <c r="D216" s="4"/>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row>
    <row r="217" ht="15.75" customHeight="1">
      <c r="A217" s="69"/>
      <c r="B217" s="69"/>
      <c r="C217" s="69"/>
      <c r="D217" s="4"/>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row>
    <row r="218" ht="15.75" customHeight="1">
      <c r="A218" s="69"/>
      <c r="B218" s="69"/>
      <c r="C218" s="69"/>
      <c r="D218" s="4"/>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row>
    <row r="219" ht="15.75" customHeight="1">
      <c r="A219" s="69"/>
      <c r="B219" s="69"/>
      <c r="C219" s="69"/>
      <c r="D219" s="4"/>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row>
    <row r="220" ht="15.75" customHeight="1">
      <c r="A220" s="69"/>
      <c r="B220" s="69"/>
      <c r="C220" s="69"/>
      <c r="D220" s="4"/>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row>
    <row r="221" ht="15.75" customHeight="1">
      <c r="A221" s="69"/>
      <c r="B221" s="69"/>
      <c r="C221" s="69"/>
      <c r="D221" s="4"/>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row>
    <row r="222" ht="15.75" customHeight="1">
      <c r="A222" s="69"/>
      <c r="B222" s="69"/>
      <c r="C222" s="69"/>
      <c r="D222" s="4"/>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row>
    <row r="223" ht="15.75" customHeight="1">
      <c r="A223" s="69"/>
      <c r="B223" s="69"/>
      <c r="C223" s="69"/>
      <c r="D223" s="4"/>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row>
    <row r="224" ht="15.75" customHeight="1">
      <c r="A224" s="69"/>
      <c r="B224" s="69"/>
      <c r="C224" s="69"/>
      <c r="D224" s="4"/>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row>
    <row r="225" ht="15.75" customHeight="1">
      <c r="A225" s="69"/>
      <c r="B225" s="69"/>
      <c r="C225" s="69"/>
      <c r="D225" s="4"/>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row>
    <row r="226" ht="15.75" customHeight="1">
      <c r="A226" s="69"/>
      <c r="B226" s="69"/>
      <c r="C226" s="69"/>
      <c r="D226" s="4"/>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row>
    <row r="227" ht="15.75" customHeight="1">
      <c r="A227" s="69"/>
      <c r="B227" s="69"/>
      <c r="C227" s="69"/>
      <c r="D227" s="4"/>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row>
    <row r="228" ht="15.75" customHeight="1">
      <c r="A228" s="69"/>
      <c r="B228" s="69"/>
      <c r="C228" s="69"/>
      <c r="D228" s="4"/>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row>
    <row r="229" ht="15.75" customHeight="1">
      <c r="A229" s="69"/>
      <c r="B229" s="69"/>
      <c r="C229" s="69"/>
      <c r="D229" s="4"/>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row>
    <row r="230" ht="15.75" customHeight="1">
      <c r="A230" s="69"/>
      <c r="B230" s="69"/>
      <c r="C230" s="69"/>
      <c r="D230" s="4"/>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row>
    <row r="231" ht="15.75" customHeight="1">
      <c r="A231" s="69"/>
      <c r="B231" s="69"/>
      <c r="C231" s="69"/>
      <c r="D231" s="4"/>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row>
    <row r="232" ht="15.75" customHeight="1">
      <c r="A232" s="69"/>
      <c r="B232" s="69"/>
      <c r="C232" s="69"/>
      <c r="D232" s="4"/>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row>
    <row r="233" ht="15.75" customHeight="1">
      <c r="A233" s="69"/>
      <c r="B233" s="69"/>
      <c r="C233" s="69"/>
      <c r="D233" s="4"/>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row>
    <row r="234" ht="15.75" customHeight="1">
      <c r="A234" s="69"/>
      <c r="B234" s="69"/>
      <c r="C234" s="69"/>
      <c r="D234" s="4"/>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row>
    <row r="235" ht="15.75" customHeight="1">
      <c r="A235" s="69"/>
      <c r="B235" s="69"/>
      <c r="C235" s="69"/>
      <c r="D235" s="4"/>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row>
    <row r="236" ht="15.75" customHeight="1">
      <c r="A236" s="69"/>
      <c r="B236" s="69"/>
      <c r="C236" s="69"/>
      <c r="D236" s="4"/>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row>
    <row r="237" ht="15.75" customHeight="1">
      <c r="A237" s="69"/>
      <c r="B237" s="69"/>
      <c r="C237" s="69"/>
      <c r="D237" s="4"/>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row>
    <row r="238" ht="15.75" customHeight="1">
      <c r="A238" s="69"/>
      <c r="B238" s="69"/>
      <c r="C238" s="69"/>
      <c r="D238" s="4"/>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row>
    <row r="239" ht="15.75" customHeight="1">
      <c r="A239" s="69"/>
      <c r="B239" s="69"/>
      <c r="C239" s="69"/>
      <c r="D239" s="4"/>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row>
    <row r="240" ht="15.75" customHeight="1">
      <c r="A240" s="69"/>
      <c r="B240" s="69"/>
      <c r="C240" s="69"/>
      <c r="D240" s="4"/>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row>
    <row r="241" ht="15.75" customHeight="1">
      <c r="A241" s="69"/>
      <c r="B241" s="69"/>
      <c r="C241" s="69"/>
      <c r="D241" s="4"/>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row>
    <row r="242" ht="15.75" customHeight="1">
      <c r="A242" s="69"/>
      <c r="B242" s="69"/>
      <c r="C242" s="69"/>
      <c r="D242" s="4"/>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row>
    <row r="243" ht="15.75" customHeight="1">
      <c r="A243" s="69"/>
      <c r="B243" s="69"/>
      <c r="C243" s="69"/>
      <c r="D243" s="4"/>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row>
    <row r="244" ht="15.75" customHeight="1">
      <c r="A244" s="69"/>
      <c r="B244" s="69"/>
      <c r="C244" s="69"/>
      <c r="D244" s="4"/>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row>
    <row r="245" ht="15.75" customHeight="1">
      <c r="A245" s="69"/>
      <c r="B245" s="69"/>
      <c r="C245" s="69"/>
      <c r="D245" s="4"/>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row>
    <row r="246" ht="15.75" customHeight="1">
      <c r="A246" s="69"/>
      <c r="B246" s="69"/>
      <c r="C246" s="69"/>
      <c r="D246" s="4"/>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row>
    <row r="247" ht="15.75" customHeight="1">
      <c r="A247" s="69"/>
      <c r="B247" s="69"/>
      <c r="C247" s="69"/>
      <c r="D247" s="4"/>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row>
    <row r="248" ht="15.75" customHeight="1">
      <c r="A248" s="69"/>
      <c r="B248" s="69"/>
      <c r="C248" s="69"/>
      <c r="D248" s="4"/>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row>
    <row r="249" ht="15.75" customHeight="1">
      <c r="A249" s="69"/>
      <c r="B249" s="69"/>
      <c r="C249" s="69"/>
      <c r="D249" s="4"/>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row>
    <row r="250" ht="15.75" customHeight="1">
      <c r="A250" s="69"/>
      <c r="B250" s="69"/>
      <c r="C250" s="69"/>
      <c r="D250" s="4"/>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row>
    <row r="251" ht="15.75" customHeight="1">
      <c r="A251" s="69"/>
      <c r="B251" s="69"/>
      <c r="C251" s="69"/>
      <c r="D251" s="4"/>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row>
    <row r="252" ht="15.75" customHeight="1">
      <c r="A252" s="69"/>
      <c r="B252" s="69"/>
      <c r="C252" s="69"/>
      <c r="D252" s="4"/>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row>
    <row r="253" ht="15.75" customHeight="1">
      <c r="A253" s="69"/>
      <c r="B253" s="69"/>
      <c r="C253" s="69"/>
      <c r="D253" s="4"/>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row>
    <row r="254" ht="15.75" customHeight="1">
      <c r="A254" s="69"/>
      <c r="B254" s="69"/>
      <c r="C254" s="69"/>
      <c r="D254" s="4"/>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row>
    <row r="255" ht="15.75" customHeight="1">
      <c r="A255" s="69"/>
      <c r="B255" s="69"/>
      <c r="C255" s="69"/>
      <c r="D255" s="4"/>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row>
    <row r="256" ht="15.75" customHeight="1">
      <c r="A256" s="69"/>
      <c r="B256" s="69"/>
      <c r="C256" s="69"/>
      <c r="D256" s="4"/>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row>
    <row r="257" ht="15.75" customHeight="1">
      <c r="A257" s="69"/>
      <c r="B257" s="69"/>
      <c r="C257" s="69"/>
      <c r="D257" s="4"/>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row>
    <row r="258" ht="15.75" customHeight="1">
      <c r="A258" s="69"/>
      <c r="B258" s="69"/>
      <c r="C258" s="69"/>
      <c r="D258" s="4"/>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row>
    <row r="259" ht="15.75" customHeight="1">
      <c r="A259" s="69"/>
      <c r="B259" s="69"/>
      <c r="C259" s="69"/>
      <c r="D259" s="4"/>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row>
    <row r="260" ht="15.75" customHeight="1">
      <c r="A260" s="69"/>
      <c r="B260" s="69"/>
      <c r="C260" s="69"/>
      <c r="D260" s="4"/>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row>
    <row r="261" ht="15.75" customHeight="1">
      <c r="A261" s="69"/>
      <c r="B261" s="69"/>
      <c r="C261" s="69"/>
      <c r="D261" s="4"/>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row>
    <row r="262" ht="15.75" customHeight="1">
      <c r="A262" s="69"/>
      <c r="B262" s="69"/>
      <c r="C262" s="69"/>
      <c r="D262" s="4"/>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row>
    <row r="263" ht="15.75" customHeight="1">
      <c r="A263" s="69"/>
      <c r="B263" s="69"/>
      <c r="C263" s="69"/>
      <c r="D263" s="4"/>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row>
    <row r="264" ht="15.75" customHeight="1">
      <c r="A264" s="69"/>
      <c r="B264" s="69"/>
      <c r="C264" s="69"/>
      <c r="D264" s="4"/>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row>
    <row r="265" ht="15.75" customHeight="1">
      <c r="A265" s="69"/>
      <c r="B265" s="69"/>
      <c r="C265" s="69"/>
      <c r="D265" s="4"/>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row>
    <row r="266" ht="15.75" customHeight="1">
      <c r="A266" s="69"/>
      <c r="B266" s="69"/>
      <c r="C266" s="69"/>
      <c r="D266" s="4"/>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row>
    <row r="267" ht="15.75" customHeight="1">
      <c r="A267" s="69"/>
      <c r="B267" s="69"/>
      <c r="C267" s="69"/>
      <c r="D267" s="4"/>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row>
    <row r="268" ht="15.75" customHeight="1">
      <c r="A268" s="69"/>
      <c r="B268" s="69"/>
      <c r="C268" s="69"/>
      <c r="D268" s="4"/>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row>
    <row r="269" ht="15.75" customHeight="1">
      <c r="A269" s="69"/>
      <c r="B269" s="69"/>
      <c r="C269" s="69"/>
      <c r="D269" s="4"/>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row>
    <row r="270" ht="15.75" customHeight="1">
      <c r="A270" s="69"/>
      <c r="B270" s="69"/>
      <c r="C270" s="69"/>
      <c r="D270" s="4"/>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row>
    <row r="271" ht="15.75" customHeight="1">
      <c r="A271" s="69"/>
      <c r="B271" s="69"/>
      <c r="C271" s="69"/>
      <c r="D271" s="4"/>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row>
    <row r="272" ht="15.75" customHeight="1">
      <c r="A272" s="69"/>
      <c r="B272" s="69"/>
      <c r="C272" s="69"/>
      <c r="D272" s="4"/>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row>
    <row r="273" ht="15.75" customHeight="1">
      <c r="A273" s="69"/>
      <c r="B273" s="69"/>
      <c r="C273" s="69"/>
      <c r="D273" s="4"/>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row>
    <row r="274" ht="15.75" customHeight="1">
      <c r="A274" s="69"/>
      <c r="B274" s="69"/>
      <c r="C274" s="69"/>
      <c r="D274" s="4"/>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row>
    <row r="275" ht="15.75" customHeight="1">
      <c r="A275" s="69"/>
      <c r="B275" s="69"/>
      <c r="C275" s="69"/>
      <c r="D275" s="4"/>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row>
    <row r="276" ht="15.75" customHeight="1">
      <c r="A276" s="69"/>
      <c r="B276" s="69"/>
      <c r="C276" s="69"/>
      <c r="D276" s="4"/>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row>
    <row r="277" ht="15.75" customHeight="1">
      <c r="A277" s="69"/>
      <c r="B277" s="69"/>
      <c r="C277" s="69"/>
      <c r="D277" s="4"/>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row>
    <row r="278" ht="15.75" customHeight="1">
      <c r="A278" s="69"/>
      <c r="B278" s="69"/>
      <c r="C278" s="69"/>
      <c r="D278" s="4"/>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row>
    <row r="279" ht="15.75" customHeight="1">
      <c r="A279" s="69"/>
      <c r="B279" s="69"/>
      <c r="C279" s="69"/>
      <c r="D279" s="4"/>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row>
    <row r="280" ht="15.75" customHeight="1">
      <c r="A280" s="69"/>
      <c r="B280" s="69"/>
      <c r="C280" s="69"/>
      <c r="D280" s="4"/>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row>
    <row r="281" ht="15.75" customHeight="1">
      <c r="A281" s="69"/>
      <c r="B281" s="69"/>
      <c r="C281" s="69"/>
      <c r="D281" s="4"/>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row>
    <row r="282" ht="15.75" customHeight="1">
      <c r="A282" s="69"/>
      <c r="B282" s="69"/>
      <c r="C282" s="69"/>
      <c r="D282" s="4"/>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row>
    <row r="283" ht="15.75" customHeight="1">
      <c r="A283" s="69"/>
      <c r="B283" s="69"/>
      <c r="C283" s="69"/>
      <c r="D283" s="4"/>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row>
    <row r="284" ht="15.75" customHeight="1">
      <c r="A284" s="69"/>
      <c r="B284" s="69"/>
      <c r="C284" s="69"/>
      <c r="D284" s="4"/>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row>
    <row r="285" ht="15.75" customHeight="1">
      <c r="A285" s="69"/>
      <c r="B285" s="69"/>
      <c r="C285" s="69"/>
      <c r="D285" s="4"/>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row>
    <row r="286" ht="15.75" customHeight="1">
      <c r="A286" s="69"/>
      <c r="B286" s="69"/>
      <c r="C286" s="69"/>
      <c r="D286" s="4"/>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row>
    <row r="287" ht="15.75" customHeight="1">
      <c r="A287" s="69"/>
      <c r="B287" s="69"/>
      <c r="C287" s="69"/>
      <c r="D287" s="4"/>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row>
    <row r="288" ht="15.75" customHeight="1">
      <c r="A288" s="69"/>
      <c r="B288" s="69"/>
      <c r="C288" s="69"/>
      <c r="D288" s="4"/>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row>
    <row r="289" ht="15.75" customHeight="1">
      <c r="A289" s="69"/>
      <c r="B289" s="69"/>
      <c r="C289" s="69"/>
      <c r="D289" s="4"/>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row>
    <row r="290" ht="15.75" customHeight="1">
      <c r="A290" s="69"/>
      <c r="B290" s="69"/>
      <c r="C290" s="69"/>
      <c r="D290" s="4"/>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row>
    <row r="291" ht="15.75" customHeight="1">
      <c r="A291" s="69"/>
      <c r="B291" s="69"/>
      <c r="C291" s="69"/>
      <c r="D291" s="4"/>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row>
    <row r="292" ht="15.75" customHeight="1">
      <c r="A292" s="69"/>
      <c r="B292" s="69"/>
      <c r="C292" s="69"/>
      <c r="D292" s="4"/>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row>
    <row r="293" ht="15.75" customHeight="1">
      <c r="A293" s="69"/>
      <c r="B293" s="69"/>
      <c r="C293" s="69"/>
      <c r="D293" s="4"/>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row>
    <row r="294" ht="15.75" customHeight="1">
      <c r="A294" s="69"/>
      <c r="B294" s="69"/>
      <c r="C294" s="69"/>
      <c r="D294" s="4"/>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row>
    <row r="295" ht="15.75" customHeight="1">
      <c r="A295" s="69"/>
      <c r="B295" s="69"/>
      <c r="C295" s="69"/>
      <c r="D295" s="4"/>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row>
    <row r="296" ht="15.75" customHeight="1">
      <c r="A296" s="69"/>
      <c r="B296" s="69"/>
      <c r="C296" s="69"/>
      <c r="D296" s="4"/>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row>
    <row r="297" ht="15.75" customHeight="1">
      <c r="A297" s="69"/>
      <c r="B297" s="69"/>
      <c r="C297" s="69"/>
      <c r="D297" s="4"/>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row>
    <row r="298" ht="15.75" customHeight="1">
      <c r="A298" s="69"/>
      <c r="B298" s="69"/>
      <c r="C298" s="69"/>
      <c r="D298" s="4"/>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row>
    <row r="299" ht="15.75" customHeight="1">
      <c r="A299" s="69"/>
      <c r="B299" s="69"/>
      <c r="C299" s="69"/>
      <c r="D299" s="4"/>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row>
    <row r="300" ht="15.75" customHeight="1">
      <c r="A300" s="69"/>
      <c r="B300" s="69"/>
      <c r="C300" s="69"/>
      <c r="D300" s="4"/>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row>
    <row r="301" ht="15.75" customHeight="1">
      <c r="A301" s="69"/>
      <c r="B301" s="69"/>
      <c r="C301" s="69"/>
      <c r="D301" s="4"/>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row>
    <row r="302" ht="15.75" customHeight="1">
      <c r="A302" s="69"/>
      <c r="B302" s="69"/>
      <c r="C302" s="69"/>
      <c r="D302" s="4"/>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row>
    <row r="303" ht="15.75" customHeight="1">
      <c r="A303" s="69"/>
      <c r="B303" s="69"/>
      <c r="C303" s="69"/>
      <c r="D303" s="4"/>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row>
    <row r="304" ht="15.75" customHeight="1">
      <c r="A304" s="69"/>
      <c r="B304" s="69"/>
      <c r="C304" s="69"/>
      <c r="D304" s="4"/>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row>
    <row r="305" ht="15.75" customHeight="1">
      <c r="A305" s="69"/>
      <c r="B305" s="69"/>
      <c r="C305" s="69"/>
      <c r="D305" s="4"/>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row>
    <row r="306" ht="15.75" customHeight="1">
      <c r="A306" s="69"/>
      <c r="B306" s="69"/>
      <c r="C306" s="69"/>
      <c r="D306" s="4"/>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row>
    <row r="307" ht="15.75" customHeight="1">
      <c r="A307" s="69"/>
      <c r="B307" s="69"/>
      <c r="C307" s="69"/>
      <c r="D307" s="4"/>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row>
    <row r="308" ht="15.75" customHeight="1">
      <c r="A308" s="69"/>
      <c r="B308" s="69"/>
      <c r="C308" s="69"/>
      <c r="D308" s="4"/>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row>
    <row r="309" ht="15.75" customHeight="1">
      <c r="A309" s="69"/>
      <c r="B309" s="69"/>
      <c r="C309" s="69"/>
      <c r="D309" s="4"/>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row>
    <row r="310" ht="15.75" customHeight="1">
      <c r="A310" s="69"/>
      <c r="B310" s="69"/>
      <c r="C310" s="69"/>
      <c r="D310" s="4"/>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row>
    <row r="311" ht="15.75" customHeight="1">
      <c r="A311" s="69"/>
      <c r="B311" s="69"/>
      <c r="C311" s="69"/>
      <c r="D311" s="4"/>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row>
    <row r="312" ht="15.75" customHeight="1">
      <c r="A312" s="69"/>
      <c r="B312" s="69"/>
      <c r="C312" s="69"/>
      <c r="D312" s="4"/>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row>
    <row r="313" ht="15.75" customHeight="1">
      <c r="A313" s="69"/>
      <c r="B313" s="69"/>
      <c r="C313" s="69"/>
      <c r="D313" s="4"/>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row>
    <row r="314" ht="15.75" customHeight="1">
      <c r="A314" s="69"/>
      <c r="B314" s="69"/>
      <c r="C314" s="69"/>
      <c r="D314" s="4"/>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row>
    <row r="315" ht="15.75" customHeight="1">
      <c r="A315" s="69"/>
      <c r="B315" s="69"/>
      <c r="C315" s="69"/>
      <c r="D315" s="4"/>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row>
    <row r="316" ht="15.75" customHeight="1">
      <c r="A316" s="69"/>
      <c r="B316" s="69"/>
      <c r="C316" s="69"/>
      <c r="D316" s="4"/>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row>
    <row r="317" ht="15.75" customHeight="1">
      <c r="A317" s="69"/>
      <c r="B317" s="69"/>
      <c r="C317" s="69"/>
      <c r="D317" s="4"/>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row>
    <row r="318" ht="15.75" customHeight="1">
      <c r="A318" s="69"/>
      <c r="B318" s="69"/>
      <c r="C318" s="69"/>
      <c r="D318" s="4"/>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row>
    <row r="319" ht="15.75" customHeight="1">
      <c r="A319" s="69"/>
      <c r="B319" s="69"/>
      <c r="C319" s="69"/>
      <c r="D319" s="4"/>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row>
    <row r="320" ht="15.75" customHeight="1">
      <c r="A320" s="69"/>
      <c r="B320" s="69"/>
      <c r="C320" s="69"/>
      <c r="D320" s="4"/>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row>
    <row r="321" ht="15.75" customHeight="1">
      <c r="A321" s="69"/>
      <c r="B321" s="69"/>
      <c r="C321" s="69"/>
      <c r="D321" s="4"/>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row>
    <row r="322" ht="15.75" customHeight="1">
      <c r="A322" s="69"/>
      <c r="B322" s="69"/>
      <c r="C322" s="69"/>
      <c r="D322" s="4"/>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row>
    <row r="323" ht="15.75" customHeight="1">
      <c r="A323" s="69"/>
      <c r="B323" s="69"/>
      <c r="C323" s="69"/>
      <c r="D323" s="4"/>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row>
    <row r="324" ht="15.75" customHeight="1">
      <c r="A324" s="69"/>
      <c r="B324" s="69"/>
      <c r="C324" s="69"/>
      <c r="D324" s="4"/>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row>
    <row r="325" ht="15.75" customHeight="1">
      <c r="A325" s="69"/>
      <c r="B325" s="69"/>
      <c r="C325" s="69"/>
      <c r="D325" s="4"/>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row>
    <row r="326" ht="15.75" customHeight="1">
      <c r="A326" s="69"/>
      <c r="B326" s="69"/>
      <c r="C326" s="69"/>
      <c r="D326" s="4"/>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row>
    <row r="327" ht="15.75" customHeight="1">
      <c r="A327" s="69"/>
      <c r="B327" s="69"/>
      <c r="C327" s="69"/>
      <c r="D327" s="4"/>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row>
    <row r="328" ht="15.75" customHeight="1">
      <c r="A328" s="69"/>
      <c r="B328" s="69"/>
      <c r="C328" s="69"/>
      <c r="D328" s="4"/>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row>
    <row r="329" ht="15.75" customHeight="1">
      <c r="A329" s="69"/>
      <c r="B329" s="69"/>
      <c r="C329" s="69"/>
      <c r="D329" s="4"/>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row>
    <row r="330" ht="15.75" customHeight="1">
      <c r="A330" s="69"/>
      <c r="B330" s="69"/>
      <c r="C330" s="69"/>
      <c r="D330" s="4"/>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row>
    <row r="331" ht="15.75" customHeight="1">
      <c r="A331" s="69"/>
      <c r="B331" s="69"/>
      <c r="C331" s="69"/>
      <c r="D331" s="4"/>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row>
    <row r="332" ht="15.75" customHeight="1">
      <c r="A332" s="69"/>
      <c r="B332" s="69"/>
      <c r="C332" s="69"/>
      <c r="D332" s="4"/>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row>
    <row r="333" ht="15.75" customHeight="1">
      <c r="A333" s="69"/>
      <c r="B333" s="69"/>
      <c r="C333" s="69"/>
      <c r="D333" s="4"/>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row>
    <row r="334" ht="15.75" customHeight="1">
      <c r="A334" s="69"/>
      <c r="B334" s="69"/>
      <c r="C334" s="69"/>
      <c r="D334" s="4"/>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row>
    <row r="335" ht="15.75" customHeight="1">
      <c r="A335" s="69"/>
      <c r="B335" s="69"/>
      <c r="C335" s="69"/>
      <c r="D335" s="4"/>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row>
    <row r="336" ht="15.75" customHeight="1">
      <c r="A336" s="69"/>
      <c r="B336" s="69"/>
      <c r="C336" s="69"/>
      <c r="D336" s="4"/>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row>
    <row r="337" ht="15.75" customHeight="1">
      <c r="A337" s="69"/>
      <c r="B337" s="69"/>
      <c r="C337" s="69"/>
      <c r="D337" s="4"/>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row>
    <row r="338" ht="15.75" customHeight="1">
      <c r="A338" s="69"/>
      <c r="B338" s="69"/>
      <c r="C338" s="69"/>
      <c r="D338" s="4"/>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row>
    <row r="339" ht="15.75" customHeight="1">
      <c r="A339" s="69"/>
      <c r="B339" s="69"/>
      <c r="C339" s="69"/>
      <c r="D339" s="4"/>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row>
    <row r="340" ht="15.75" customHeight="1">
      <c r="A340" s="69"/>
      <c r="B340" s="69"/>
      <c r="C340" s="69"/>
      <c r="D340" s="4"/>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row>
    <row r="341" ht="15.75" customHeight="1">
      <c r="A341" s="69"/>
      <c r="B341" s="69"/>
      <c r="C341" s="69"/>
      <c r="D341" s="4"/>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row>
    <row r="342" ht="15.75" customHeight="1">
      <c r="A342" s="69"/>
      <c r="B342" s="69"/>
      <c r="C342" s="69"/>
      <c r="D342" s="4"/>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row>
    <row r="343" ht="15.75" customHeight="1">
      <c r="A343" s="69"/>
      <c r="B343" s="69"/>
      <c r="C343" s="69"/>
      <c r="D343" s="4"/>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row>
    <row r="344" ht="15.75" customHeight="1">
      <c r="A344" s="69"/>
      <c r="B344" s="69"/>
      <c r="C344" s="69"/>
      <c r="D344" s="4"/>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row>
    <row r="345" ht="15.75" customHeight="1">
      <c r="A345" s="69"/>
      <c r="B345" s="69"/>
      <c r="C345" s="69"/>
      <c r="D345" s="4"/>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row>
    <row r="346" ht="15.75" customHeight="1">
      <c r="A346" s="69"/>
      <c r="B346" s="69"/>
      <c r="C346" s="69"/>
      <c r="D346" s="4"/>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row>
    <row r="347" ht="15.75" customHeight="1">
      <c r="A347" s="69"/>
      <c r="B347" s="69"/>
      <c r="C347" s="69"/>
      <c r="D347" s="4"/>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row>
    <row r="348" ht="15.75" customHeight="1">
      <c r="A348" s="69"/>
      <c r="B348" s="69"/>
      <c r="C348" s="69"/>
      <c r="D348" s="4"/>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row>
    <row r="349" ht="15.75" customHeight="1">
      <c r="A349" s="69"/>
      <c r="B349" s="69"/>
      <c r="C349" s="69"/>
      <c r="D349" s="4"/>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row>
    <row r="350" ht="15.75" customHeight="1">
      <c r="A350" s="69"/>
      <c r="B350" s="69"/>
      <c r="C350" s="69"/>
      <c r="D350" s="4"/>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row>
    <row r="351" ht="15.75" customHeight="1">
      <c r="A351" s="69"/>
      <c r="B351" s="69"/>
      <c r="C351" s="69"/>
      <c r="D351" s="4"/>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row>
    <row r="352" ht="15.75" customHeight="1">
      <c r="A352" s="69"/>
      <c r="B352" s="69"/>
      <c r="C352" s="69"/>
      <c r="D352" s="4"/>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row>
    <row r="353" ht="15.75" customHeight="1">
      <c r="A353" s="69"/>
      <c r="B353" s="69"/>
      <c r="C353" s="69"/>
      <c r="D353" s="4"/>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row>
    <row r="354" ht="15.75" customHeight="1">
      <c r="A354" s="69"/>
      <c r="B354" s="69"/>
      <c r="C354" s="69"/>
      <c r="D354" s="4"/>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row>
    <row r="355" ht="15.75" customHeight="1">
      <c r="A355" s="69"/>
      <c r="B355" s="69"/>
      <c r="C355" s="69"/>
      <c r="D355" s="4"/>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row>
    <row r="356" ht="15.75" customHeight="1">
      <c r="A356" s="69"/>
      <c r="B356" s="69"/>
      <c r="C356" s="69"/>
      <c r="D356" s="4"/>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row>
    <row r="357" ht="15.75" customHeight="1">
      <c r="A357" s="69"/>
      <c r="B357" s="69"/>
      <c r="C357" s="69"/>
      <c r="D357" s="4"/>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row>
    <row r="358" ht="15.75" customHeight="1">
      <c r="A358" s="69"/>
      <c r="B358" s="69"/>
      <c r="C358" s="69"/>
      <c r="D358" s="4"/>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row>
    <row r="359" ht="15.75" customHeight="1">
      <c r="A359" s="69"/>
      <c r="B359" s="69"/>
      <c r="C359" s="69"/>
      <c r="D359" s="4"/>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row>
    <row r="360" ht="15.75" customHeight="1">
      <c r="A360" s="69"/>
      <c r="B360" s="69"/>
      <c r="C360" s="69"/>
      <c r="D360" s="4"/>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row>
    <row r="361" ht="15.75" customHeight="1">
      <c r="A361" s="69"/>
      <c r="B361" s="69"/>
      <c r="C361" s="69"/>
      <c r="D361" s="4"/>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row>
    <row r="362" ht="15.75" customHeight="1">
      <c r="A362" s="69"/>
      <c r="B362" s="69"/>
      <c r="C362" s="69"/>
      <c r="D362" s="4"/>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row>
    <row r="363" ht="15.75" customHeight="1">
      <c r="A363" s="69"/>
      <c r="B363" s="69"/>
      <c r="C363" s="69"/>
      <c r="D363" s="4"/>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row>
    <row r="364" ht="15.75" customHeight="1">
      <c r="A364" s="69"/>
      <c r="B364" s="69"/>
      <c r="C364" s="69"/>
      <c r="D364" s="4"/>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row>
    <row r="365" ht="15.75" customHeight="1">
      <c r="A365" s="69"/>
      <c r="B365" s="69"/>
      <c r="C365" s="69"/>
      <c r="D365" s="4"/>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row>
    <row r="366" ht="15.75" customHeight="1">
      <c r="A366" s="69"/>
      <c r="B366" s="69"/>
      <c r="C366" s="69"/>
      <c r="D366" s="4"/>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row>
    <row r="367" ht="15.75" customHeight="1">
      <c r="A367" s="69"/>
      <c r="B367" s="69"/>
      <c r="C367" s="69"/>
      <c r="D367" s="4"/>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row>
    <row r="368" ht="15.75" customHeight="1">
      <c r="A368" s="69"/>
      <c r="B368" s="69"/>
      <c r="C368" s="69"/>
      <c r="D368" s="4"/>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row>
    <row r="369" ht="15.75" customHeight="1">
      <c r="A369" s="69"/>
      <c r="B369" s="69"/>
      <c r="C369" s="69"/>
      <c r="D369" s="4"/>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row>
    <row r="370" ht="15.75" customHeight="1">
      <c r="A370" s="69"/>
      <c r="B370" s="69"/>
      <c r="C370" s="69"/>
      <c r="D370" s="4"/>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row>
    <row r="371" ht="15.75" customHeight="1">
      <c r="A371" s="69"/>
      <c r="B371" s="69"/>
      <c r="C371" s="69"/>
      <c r="D371" s="4"/>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row>
    <row r="372" ht="15.75" customHeight="1">
      <c r="A372" s="69"/>
      <c r="B372" s="69"/>
      <c r="C372" s="69"/>
      <c r="D372" s="4"/>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row>
    <row r="373" ht="15.75" customHeight="1">
      <c r="A373" s="69"/>
      <c r="B373" s="69"/>
      <c r="C373" s="69"/>
      <c r="D373" s="4"/>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row>
    <row r="374" ht="15.75" customHeight="1">
      <c r="A374" s="69"/>
      <c r="B374" s="69"/>
      <c r="C374" s="69"/>
      <c r="D374" s="4"/>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row>
    <row r="375" ht="15.75" customHeight="1">
      <c r="A375" s="69"/>
      <c r="B375" s="69"/>
      <c r="C375" s="69"/>
      <c r="D375" s="4"/>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row>
    <row r="376" ht="15.75" customHeight="1">
      <c r="A376" s="69"/>
      <c r="B376" s="69"/>
      <c r="C376" s="69"/>
      <c r="D376" s="4"/>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row>
    <row r="377" ht="15.75" customHeight="1">
      <c r="A377" s="69"/>
      <c r="B377" s="69"/>
      <c r="C377" s="69"/>
      <c r="D377" s="4"/>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row>
    <row r="378" ht="15.75" customHeight="1">
      <c r="A378" s="69"/>
      <c r="B378" s="69"/>
      <c r="C378" s="69"/>
      <c r="D378" s="4"/>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row>
    <row r="379" ht="15.75" customHeight="1">
      <c r="A379" s="69"/>
      <c r="B379" s="69"/>
      <c r="C379" s="69"/>
      <c r="D379" s="4"/>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row>
    <row r="380" ht="15.75" customHeight="1">
      <c r="A380" s="69"/>
      <c r="B380" s="69"/>
      <c r="C380" s="69"/>
      <c r="D380" s="4"/>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row>
    <row r="381" ht="15.75" customHeight="1">
      <c r="A381" s="69"/>
      <c r="B381" s="69"/>
      <c r="C381" s="69"/>
      <c r="D381" s="4"/>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row>
    <row r="382" ht="15.75" customHeight="1">
      <c r="A382" s="69"/>
      <c r="B382" s="69"/>
      <c r="C382" s="69"/>
      <c r="D382" s="4"/>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row>
    <row r="383" ht="15.75" customHeight="1">
      <c r="A383" s="69"/>
      <c r="B383" s="69"/>
      <c r="C383" s="69"/>
      <c r="D383" s="4"/>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row>
    <row r="384" ht="15.75" customHeight="1">
      <c r="A384" s="69"/>
      <c r="B384" s="69"/>
      <c r="C384" s="69"/>
      <c r="D384" s="4"/>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row>
    <row r="385" ht="15.75" customHeight="1">
      <c r="A385" s="69"/>
      <c r="B385" s="69"/>
      <c r="C385" s="69"/>
      <c r="D385" s="4"/>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row>
    <row r="386" ht="15.75" customHeight="1">
      <c r="A386" s="69"/>
      <c r="B386" s="69"/>
      <c r="C386" s="69"/>
      <c r="D386" s="4"/>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row>
    <row r="387" ht="15.75" customHeight="1">
      <c r="A387" s="69"/>
      <c r="B387" s="69"/>
      <c r="C387" s="69"/>
      <c r="D387" s="4"/>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row>
    <row r="388" ht="15.75" customHeight="1">
      <c r="A388" s="69"/>
      <c r="B388" s="69"/>
      <c r="C388" s="69"/>
      <c r="D388" s="4"/>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row>
    <row r="389" ht="15.75" customHeight="1">
      <c r="A389" s="69"/>
      <c r="B389" s="69"/>
      <c r="C389" s="69"/>
      <c r="D389" s="4"/>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69"/>
      <c r="AS389" s="69"/>
      <c r="AT389" s="69"/>
      <c r="AU389" s="69"/>
      <c r="AV389" s="69"/>
    </row>
    <row r="390" ht="15.75" customHeight="1">
      <c r="A390" s="69"/>
      <c r="B390" s="69"/>
      <c r="C390" s="69"/>
      <c r="D390" s="4"/>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row>
    <row r="391" ht="15.75" customHeight="1">
      <c r="A391" s="69"/>
      <c r="B391" s="69"/>
      <c r="C391" s="69"/>
      <c r="D391" s="4"/>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c r="AP391" s="69"/>
      <c r="AQ391" s="69"/>
      <c r="AR391" s="69"/>
      <c r="AS391" s="69"/>
      <c r="AT391" s="69"/>
      <c r="AU391" s="69"/>
      <c r="AV391" s="69"/>
    </row>
    <row r="392" ht="15.75" customHeight="1">
      <c r="A392" s="69"/>
      <c r="B392" s="69"/>
      <c r="C392" s="69"/>
      <c r="D392" s="4"/>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row>
    <row r="393" ht="15.75" customHeight="1">
      <c r="A393" s="69"/>
      <c r="B393" s="69"/>
      <c r="C393" s="69"/>
      <c r="D393" s="4"/>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c r="AP393" s="69"/>
      <c r="AQ393" s="69"/>
      <c r="AR393" s="69"/>
      <c r="AS393" s="69"/>
      <c r="AT393" s="69"/>
      <c r="AU393" s="69"/>
      <c r="AV393" s="69"/>
    </row>
    <row r="394" ht="15.75" customHeight="1">
      <c r="A394" s="69"/>
      <c r="B394" s="69"/>
      <c r="C394" s="69"/>
      <c r="D394" s="4"/>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row>
    <row r="395" ht="15.75" customHeight="1">
      <c r="A395" s="69"/>
      <c r="B395" s="69"/>
      <c r="C395" s="69"/>
      <c r="D395" s="4"/>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c r="AP395" s="69"/>
      <c r="AQ395" s="69"/>
      <c r="AR395" s="69"/>
      <c r="AS395" s="69"/>
      <c r="AT395" s="69"/>
      <c r="AU395" s="69"/>
      <c r="AV395" s="69"/>
    </row>
    <row r="396" ht="15.75" customHeight="1">
      <c r="A396" s="69"/>
      <c r="B396" s="69"/>
      <c r="C396" s="69"/>
      <c r="D396" s="4"/>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row>
    <row r="397" ht="15.75" customHeight="1">
      <c r="A397" s="69"/>
      <c r="B397" s="69"/>
      <c r="C397" s="69"/>
      <c r="D397" s="4"/>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c r="AP397" s="69"/>
      <c r="AQ397" s="69"/>
      <c r="AR397" s="69"/>
      <c r="AS397" s="69"/>
      <c r="AT397" s="69"/>
      <c r="AU397" s="69"/>
      <c r="AV397" s="69"/>
    </row>
    <row r="398" ht="15.75" customHeight="1">
      <c r="A398" s="69"/>
      <c r="B398" s="69"/>
      <c r="C398" s="69"/>
      <c r="D398" s="4"/>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row>
    <row r="399" ht="15.75" customHeight="1">
      <c r="A399" s="69"/>
      <c r="B399" s="69"/>
      <c r="C399" s="69"/>
      <c r="D399" s="4"/>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c r="AP399" s="69"/>
      <c r="AQ399" s="69"/>
      <c r="AR399" s="69"/>
      <c r="AS399" s="69"/>
      <c r="AT399" s="69"/>
      <c r="AU399" s="69"/>
      <c r="AV399" s="69"/>
    </row>
    <row r="400" ht="15.75" customHeight="1">
      <c r="A400" s="69"/>
      <c r="B400" s="69"/>
      <c r="C400" s="69"/>
      <c r="D400" s="4"/>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row>
    <row r="401" ht="15.75" customHeight="1">
      <c r="A401" s="69"/>
      <c r="B401" s="69"/>
      <c r="C401" s="69"/>
      <c r="D401" s="4"/>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69"/>
      <c r="AO401" s="69"/>
      <c r="AP401" s="69"/>
      <c r="AQ401" s="69"/>
      <c r="AR401" s="69"/>
      <c r="AS401" s="69"/>
      <c r="AT401" s="69"/>
      <c r="AU401" s="69"/>
      <c r="AV401" s="69"/>
    </row>
    <row r="402" ht="15.75" customHeight="1">
      <c r="A402" s="69"/>
      <c r="B402" s="69"/>
      <c r="C402" s="69"/>
      <c r="D402" s="4"/>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c r="AP402" s="69"/>
      <c r="AQ402" s="69"/>
      <c r="AR402" s="69"/>
      <c r="AS402" s="69"/>
      <c r="AT402" s="69"/>
      <c r="AU402" s="69"/>
      <c r="AV402" s="69"/>
    </row>
    <row r="403" ht="15.75" customHeight="1">
      <c r="A403" s="69"/>
      <c r="B403" s="69"/>
      <c r="C403" s="69"/>
      <c r="D403" s="4"/>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69"/>
      <c r="AO403" s="69"/>
      <c r="AP403" s="69"/>
      <c r="AQ403" s="69"/>
      <c r="AR403" s="69"/>
      <c r="AS403" s="69"/>
      <c r="AT403" s="69"/>
      <c r="AU403" s="69"/>
      <c r="AV403" s="69"/>
    </row>
    <row r="404" ht="15.75" customHeight="1">
      <c r="A404" s="69"/>
      <c r="B404" s="69"/>
      <c r="C404" s="69"/>
      <c r="D404" s="4"/>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c r="AP404" s="69"/>
      <c r="AQ404" s="69"/>
      <c r="AR404" s="69"/>
      <c r="AS404" s="69"/>
      <c r="AT404" s="69"/>
      <c r="AU404" s="69"/>
      <c r="AV404" s="69"/>
    </row>
    <row r="405" ht="15.75" customHeight="1">
      <c r="A405" s="69"/>
      <c r="B405" s="69"/>
      <c r="C405" s="69"/>
      <c r="D405" s="4"/>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69"/>
      <c r="AO405" s="69"/>
      <c r="AP405" s="69"/>
      <c r="AQ405" s="69"/>
      <c r="AR405" s="69"/>
      <c r="AS405" s="69"/>
      <c r="AT405" s="69"/>
      <c r="AU405" s="69"/>
      <c r="AV405" s="69"/>
    </row>
    <row r="406" ht="15.75" customHeight="1">
      <c r="A406" s="69"/>
      <c r="B406" s="69"/>
      <c r="C406" s="69"/>
      <c r="D406" s="4"/>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69"/>
      <c r="AO406" s="69"/>
      <c r="AP406" s="69"/>
      <c r="AQ406" s="69"/>
      <c r="AR406" s="69"/>
      <c r="AS406" s="69"/>
      <c r="AT406" s="69"/>
      <c r="AU406" s="69"/>
      <c r="AV406" s="69"/>
    </row>
    <row r="407" ht="15.75" customHeight="1">
      <c r="A407" s="69"/>
      <c r="B407" s="69"/>
      <c r="C407" s="69"/>
      <c r="D407" s="4"/>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69"/>
      <c r="AO407" s="69"/>
      <c r="AP407" s="69"/>
      <c r="AQ407" s="69"/>
      <c r="AR407" s="69"/>
      <c r="AS407" s="69"/>
      <c r="AT407" s="69"/>
      <c r="AU407" s="69"/>
      <c r="AV407" s="69"/>
    </row>
    <row r="408" ht="15.75" customHeight="1">
      <c r="A408" s="69"/>
      <c r="B408" s="69"/>
      <c r="C408" s="69"/>
      <c r="D408" s="4"/>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69"/>
      <c r="AO408" s="69"/>
      <c r="AP408" s="69"/>
      <c r="AQ408" s="69"/>
      <c r="AR408" s="69"/>
      <c r="AS408" s="69"/>
      <c r="AT408" s="69"/>
      <c r="AU408" s="69"/>
      <c r="AV408" s="69"/>
    </row>
    <row r="409" ht="15.75" customHeight="1">
      <c r="A409" s="69"/>
      <c r="B409" s="69"/>
      <c r="C409" s="69"/>
      <c r="D409" s="4"/>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69"/>
      <c r="AO409" s="69"/>
      <c r="AP409" s="69"/>
      <c r="AQ409" s="69"/>
      <c r="AR409" s="69"/>
      <c r="AS409" s="69"/>
      <c r="AT409" s="69"/>
      <c r="AU409" s="69"/>
      <c r="AV409" s="69"/>
    </row>
    <row r="410" ht="15.75" customHeight="1">
      <c r="A410" s="69"/>
      <c r="B410" s="69"/>
      <c r="C410" s="69"/>
      <c r="D410" s="4"/>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row>
    <row r="411" ht="15.75" customHeight="1">
      <c r="A411" s="69"/>
      <c r="B411" s="69"/>
      <c r="C411" s="69"/>
      <c r="D411" s="4"/>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c r="AN411" s="69"/>
      <c r="AO411" s="69"/>
      <c r="AP411" s="69"/>
      <c r="AQ411" s="69"/>
      <c r="AR411" s="69"/>
      <c r="AS411" s="69"/>
      <c r="AT411" s="69"/>
      <c r="AU411" s="69"/>
      <c r="AV411" s="69"/>
    </row>
    <row r="412" ht="15.75" customHeight="1">
      <c r="A412" s="69"/>
      <c r="B412" s="69"/>
      <c r="C412" s="69"/>
      <c r="D412" s="4"/>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c r="AP412" s="69"/>
      <c r="AQ412" s="69"/>
      <c r="AR412" s="69"/>
      <c r="AS412" s="69"/>
      <c r="AT412" s="69"/>
      <c r="AU412" s="69"/>
      <c r="AV412" s="69"/>
    </row>
    <row r="413" ht="15.75" customHeight="1">
      <c r="A413" s="69"/>
      <c r="B413" s="69"/>
      <c r="C413" s="69"/>
      <c r="D413" s="4"/>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69"/>
      <c r="AO413" s="69"/>
      <c r="AP413" s="69"/>
      <c r="AQ413" s="69"/>
      <c r="AR413" s="69"/>
      <c r="AS413" s="69"/>
      <c r="AT413" s="69"/>
      <c r="AU413" s="69"/>
      <c r="AV413" s="69"/>
    </row>
    <row r="414" ht="15.75" customHeight="1">
      <c r="A414" s="69"/>
      <c r="B414" s="69"/>
      <c r="C414" s="69"/>
      <c r="D414" s="4"/>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69"/>
      <c r="AO414" s="69"/>
      <c r="AP414" s="69"/>
      <c r="AQ414" s="69"/>
      <c r="AR414" s="69"/>
      <c r="AS414" s="69"/>
      <c r="AT414" s="69"/>
      <c r="AU414" s="69"/>
      <c r="AV414" s="69"/>
    </row>
    <row r="415" ht="15.75" customHeight="1">
      <c r="A415" s="69"/>
      <c r="B415" s="69"/>
      <c r="C415" s="69"/>
      <c r="D415" s="4"/>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69"/>
      <c r="AO415" s="69"/>
      <c r="AP415" s="69"/>
      <c r="AQ415" s="69"/>
      <c r="AR415" s="69"/>
      <c r="AS415" s="69"/>
      <c r="AT415" s="69"/>
      <c r="AU415" s="69"/>
      <c r="AV415" s="69"/>
    </row>
    <row r="416" ht="15.75" customHeight="1">
      <c r="A416" s="69"/>
      <c r="B416" s="69"/>
      <c r="C416" s="69"/>
      <c r="D416" s="4"/>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69"/>
      <c r="AO416" s="69"/>
      <c r="AP416" s="69"/>
      <c r="AQ416" s="69"/>
      <c r="AR416" s="69"/>
      <c r="AS416" s="69"/>
      <c r="AT416" s="69"/>
      <c r="AU416" s="69"/>
      <c r="AV416" s="69"/>
    </row>
    <row r="417" ht="15.75" customHeight="1">
      <c r="A417" s="69"/>
      <c r="B417" s="69"/>
      <c r="C417" s="69"/>
      <c r="D417" s="4"/>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69"/>
      <c r="AO417" s="69"/>
      <c r="AP417" s="69"/>
      <c r="AQ417" s="69"/>
      <c r="AR417" s="69"/>
      <c r="AS417" s="69"/>
      <c r="AT417" s="69"/>
      <c r="AU417" s="69"/>
      <c r="AV417" s="69"/>
    </row>
    <row r="418" ht="15.75" customHeight="1">
      <c r="A418" s="69"/>
      <c r="B418" s="69"/>
      <c r="C418" s="69"/>
      <c r="D418" s="4"/>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c r="AP418" s="69"/>
      <c r="AQ418" s="69"/>
      <c r="AR418" s="69"/>
      <c r="AS418" s="69"/>
      <c r="AT418" s="69"/>
      <c r="AU418" s="69"/>
      <c r="AV418" s="69"/>
    </row>
    <row r="419" ht="15.75" customHeight="1">
      <c r="A419" s="69"/>
      <c r="B419" s="69"/>
      <c r="C419" s="69"/>
      <c r="D419" s="4"/>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c r="AP419" s="69"/>
      <c r="AQ419" s="69"/>
      <c r="AR419" s="69"/>
      <c r="AS419" s="69"/>
      <c r="AT419" s="69"/>
      <c r="AU419" s="69"/>
      <c r="AV419" s="69"/>
    </row>
    <row r="420" ht="15.75" customHeight="1">
      <c r="A420" s="69"/>
      <c r="B420" s="69"/>
      <c r="C420" s="69"/>
      <c r="D420" s="4"/>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row>
    <row r="421" ht="15.75" customHeight="1">
      <c r="A421" s="69"/>
      <c r="B421" s="69"/>
      <c r="C421" s="69"/>
      <c r="D421" s="4"/>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c r="AP421" s="69"/>
      <c r="AQ421" s="69"/>
      <c r="AR421" s="69"/>
      <c r="AS421" s="69"/>
      <c r="AT421" s="69"/>
      <c r="AU421" s="69"/>
      <c r="AV421" s="69"/>
    </row>
    <row r="422" ht="15.75" customHeight="1">
      <c r="A422" s="69"/>
      <c r="B422" s="69"/>
      <c r="C422" s="69"/>
      <c r="D422" s="4"/>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row>
    <row r="423" ht="15.75" customHeight="1">
      <c r="A423" s="69"/>
      <c r="B423" s="69"/>
      <c r="C423" s="69"/>
      <c r="D423" s="4"/>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c r="AP423" s="69"/>
      <c r="AQ423" s="69"/>
      <c r="AR423" s="69"/>
      <c r="AS423" s="69"/>
      <c r="AT423" s="69"/>
      <c r="AU423" s="69"/>
      <c r="AV423" s="69"/>
    </row>
    <row r="424" ht="15.75" customHeight="1">
      <c r="A424" s="69"/>
      <c r="B424" s="69"/>
      <c r="C424" s="69"/>
      <c r="D424" s="4"/>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row>
    <row r="425" ht="15.75" customHeight="1">
      <c r="A425" s="69"/>
      <c r="B425" s="69"/>
      <c r="C425" s="69"/>
      <c r="D425" s="4"/>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c r="AN425" s="69"/>
      <c r="AO425" s="69"/>
      <c r="AP425" s="69"/>
      <c r="AQ425" s="69"/>
      <c r="AR425" s="69"/>
      <c r="AS425" s="69"/>
      <c r="AT425" s="69"/>
      <c r="AU425" s="69"/>
      <c r="AV425" s="69"/>
    </row>
    <row r="426" ht="15.75" customHeight="1">
      <c r="A426" s="69"/>
      <c r="B426" s="69"/>
      <c r="C426" s="69"/>
      <c r="D426" s="4"/>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c r="AP426" s="69"/>
      <c r="AQ426" s="69"/>
      <c r="AR426" s="69"/>
      <c r="AS426" s="69"/>
      <c r="AT426" s="69"/>
      <c r="AU426" s="69"/>
      <c r="AV426" s="69"/>
    </row>
    <row r="427" ht="15.75" customHeight="1">
      <c r="A427" s="69"/>
      <c r="B427" s="69"/>
      <c r="C427" s="69"/>
      <c r="D427" s="4"/>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69"/>
      <c r="AO427" s="69"/>
      <c r="AP427" s="69"/>
      <c r="AQ427" s="69"/>
      <c r="AR427" s="69"/>
      <c r="AS427" s="69"/>
      <c r="AT427" s="69"/>
      <c r="AU427" s="69"/>
      <c r="AV427" s="69"/>
    </row>
    <row r="428" ht="15.75" customHeight="1">
      <c r="A428" s="69"/>
      <c r="B428" s="69"/>
      <c r="C428" s="69"/>
      <c r="D428" s="4"/>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c r="AP428" s="69"/>
      <c r="AQ428" s="69"/>
      <c r="AR428" s="69"/>
      <c r="AS428" s="69"/>
      <c r="AT428" s="69"/>
      <c r="AU428" s="69"/>
      <c r="AV428" s="69"/>
    </row>
    <row r="429" ht="15.75" customHeight="1">
      <c r="A429" s="69"/>
      <c r="B429" s="69"/>
      <c r="C429" s="69"/>
      <c r="D429" s="4"/>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69"/>
      <c r="AO429" s="69"/>
      <c r="AP429" s="69"/>
      <c r="AQ429" s="69"/>
      <c r="AR429" s="69"/>
      <c r="AS429" s="69"/>
      <c r="AT429" s="69"/>
      <c r="AU429" s="69"/>
      <c r="AV429" s="69"/>
    </row>
    <row r="430" ht="15.75" customHeight="1">
      <c r="A430" s="69"/>
      <c r="B430" s="69"/>
      <c r="C430" s="69"/>
      <c r="D430" s="4"/>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69"/>
      <c r="AO430" s="69"/>
      <c r="AP430" s="69"/>
      <c r="AQ430" s="69"/>
      <c r="AR430" s="69"/>
      <c r="AS430" s="69"/>
      <c r="AT430" s="69"/>
      <c r="AU430" s="69"/>
      <c r="AV430" s="69"/>
    </row>
    <row r="431" ht="15.75" customHeight="1">
      <c r="A431" s="69"/>
      <c r="B431" s="69"/>
      <c r="C431" s="69"/>
      <c r="D431" s="4"/>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c r="AP431" s="69"/>
      <c r="AQ431" s="69"/>
      <c r="AR431" s="69"/>
      <c r="AS431" s="69"/>
      <c r="AT431" s="69"/>
      <c r="AU431" s="69"/>
      <c r="AV431" s="69"/>
    </row>
    <row r="432" ht="15.75" customHeight="1">
      <c r="A432" s="69"/>
      <c r="B432" s="69"/>
      <c r="C432" s="69"/>
      <c r="D432" s="4"/>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row>
    <row r="433" ht="15.75" customHeight="1">
      <c r="A433" s="69"/>
      <c r="B433" s="69"/>
      <c r="C433" s="69"/>
      <c r="D433" s="4"/>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c r="AP433" s="69"/>
      <c r="AQ433" s="69"/>
      <c r="AR433" s="69"/>
      <c r="AS433" s="69"/>
      <c r="AT433" s="69"/>
      <c r="AU433" s="69"/>
      <c r="AV433" s="69"/>
    </row>
    <row r="434" ht="15.75" customHeight="1">
      <c r="A434" s="69"/>
      <c r="B434" s="69"/>
      <c r="C434" s="69"/>
      <c r="D434" s="4"/>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row>
    <row r="435" ht="15.75" customHeight="1">
      <c r="A435" s="69"/>
      <c r="B435" s="69"/>
      <c r="C435" s="69"/>
      <c r="D435" s="4"/>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row>
    <row r="436" ht="15.75" customHeight="1">
      <c r="A436" s="69"/>
      <c r="B436" s="69"/>
      <c r="C436" s="69"/>
      <c r="D436" s="4"/>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row>
    <row r="437" ht="15.75" customHeight="1">
      <c r="A437" s="69"/>
      <c r="B437" s="69"/>
      <c r="C437" s="69"/>
      <c r="D437" s="4"/>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69"/>
      <c r="AS437" s="69"/>
      <c r="AT437" s="69"/>
      <c r="AU437" s="69"/>
      <c r="AV437" s="69"/>
    </row>
    <row r="438" ht="15.75" customHeight="1">
      <c r="A438" s="69"/>
      <c r="B438" s="69"/>
      <c r="C438" s="69"/>
      <c r="D438" s="4"/>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row>
    <row r="439" ht="15.75" customHeight="1">
      <c r="A439" s="69"/>
      <c r="B439" s="69"/>
      <c r="C439" s="69"/>
      <c r="D439" s="4"/>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c r="AP439" s="69"/>
      <c r="AQ439" s="69"/>
      <c r="AR439" s="69"/>
      <c r="AS439" s="69"/>
      <c r="AT439" s="69"/>
      <c r="AU439" s="69"/>
      <c r="AV439" s="69"/>
    </row>
    <row r="440" ht="15.75" customHeight="1">
      <c r="A440" s="69"/>
      <c r="B440" s="69"/>
      <c r="C440" s="69"/>
      <c r="D440" s="4"/>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row>
    <row r="441" ht="15.75" customHeight="1">
      <c r="A441" s="69"/>
      <c r="B441" s="69"/>
      <c r="C441" s="69"/>
      <c r="D441" s="4"/>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c r="AP441" s="69"/>
      <c r="AQ441" s="69"/>
      <c r="AR441" s="69"/>
      <c r="AS441" s="69"/>
      <c r="AT441" s="69"/>
      <c r="AU441" s="69"/>
      <c r="AV441" s="69"/>
    </row>
    <row r="442" ht="15.75" customHeight="1">
      <c r="A442" s="69"/>
      <c r="B442" s="69"/>
      <c r="C442" s="69"/>
      <c r="D442" s="4"/>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row>
    <row r="443" ht="15.75" customHeight="1">
      <c r="A443" s="69"/>
      <c r="B443" s="69"/>
      <c r="C443" s="69"/>
      <c r="D443" s="4"/>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c r="AP443" s="69"/>
      <c r="AQ443" s="69"/>
      <c r="AR443" s="69"/>
      <c r="AS443" s="69"/>
      <c r="AT443" s="69"/>
      <c r="AU443" s="69"/>
      <c r="AV443" s="69"/>
    </row>
    <row r="444" ht="15.75" customHeight="1">
      <c r="A444" s="69"/>
      <c r="B444" s="69"/>
      <c r="C444" s="69"/>
      <c r="D444" s="4"/>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row>
    <row r="445" ht="15.75" customHeight="1">
      <c r="A445" s="69"/>
      <c r="B445" s="69"/>
      <c r="C445" s="69"/>
      <c r="D445" s="4"/>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c r="AP445" s="69"/>
      <c r="AQ445" s="69"/>
      <c r="AR445" s="69"/>
      <c r="AS445" s="69"/>
      <c r="AT445" s="69"/>
      <c r="AU445" s="69"/>
      <c r="AV445" s="69"/>
    </row>
    <row r="446" ht="15.75" customHeight="1">
      <c r="A446" s="69"/>
      <c r="B446" s="69"/>
      <c r="C446" s="69"/>
      <c r="D446" s="4"/>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row>
    <row r="447" ht="15.75" customHeight="1">
      <c r="A447" s="69"/>
      <c r="B447" s="69"/>
      <c r="C447" s="69"/>
      <c r="D447" s="4"/>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c r="AP447" s="69"/>
      <c r="AQ447" s="69"/>
      <c r="AR447" s="69"/>
      <c r="AS447" s="69"/>
      <c r="AT447" s="69"/>
      <c r="AU447" s="69"/>
      <c r="AV447" s="69"/>
    </row>
    <row r="448" ht="15.75" customHeight="1">
      <c r="A448" s="69"/>
      <c r="B448" s="69"/>
      <c r="C448" s="69"/>
      <c r="D448" s="4"/>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row>
    <row r="449" ht="15.75" customHeight="1">
      <c r="A449" s="69"/>
      <c r="B449" s="69"/>
      <c r="C449" s="69"/>
      <c r="D449" s="4"/>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69"/>
      <c r="AO449" s="69"/>
      <c r="AP449" s="69"/>
      <c r="AQ449" s="69"/>
      <c r="AR449" s="69"/>
      <c r="AS449" s="69"/>
      <c r="AT449" s="69"/>
      <c r="AU449" s="69"/>
      <c r="AV449" s="69"/>
    </row>
    <row r="450" ht="15.75" customHeight="1">
      <c r="A450" s="69"/>
      <c r="B450" s="69"/>
      <c r="C450" s="69"/>
      <c r="D450" s="4"/>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c r="AP450" s="69"/>
      <c r="AQ450" s="69"/>
      <c r="AR450" s="69"/>
      <c r="AS450" s="69"/>
      <c r="AT450" s="69"/>
      <c r="AU450" s="69"/>
      <c r="AV450" s="69"/>
    </row>
    <row r="451" ht="15.75" customHeight="1">
      <c r="A451" s="69"/>
      <c r="B451" s="69"/>
      <c r="C451" s="69"/>
      <c r="D451" s="4"/>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c r="AP451" s="69"/>
      <c r="AQ451" s="69"/>
      <c r="AR451" s="69"/>
      <c r="AS451" s="69"/>
      <c r="AT451" s="69"/>
      <c r="AU451" s="69"/>
      <c r="AV451" s="69"/>
    </row>
    <row r="452" ht="15.75" customHeight="1">
      <c r="A452" s="69"/>
      <c r="B452" s="69"/>
      <c r="C452" s="69"/>
      <c r="D452" s="4"/>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row>
    <row r="453" ht="15.75" customHeight="1">
      <c r="A453" s="69"/>
      <c r="B453" s="69"/>
      <c r="C453" s="69"/>
      <c r="D453" s="4"/>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c r="AP453" s="69"/>
      <c r="AQ453" s="69"/>
      <c r="AR453" s="69"/>
      <c r="AS453" s="69"/>
      <c r="AT453" s="69"/>
      <c r="AU453" s="69"/>
      <c r="AV453" s="69"/>
    </row>
    <row r="454" ht="15.75" customHeight="1">
      <c r="A454" s="69"/>
      <c r="B454" s="69"/>
      <c r="C454" s="69"/>
      <c r="D454" s="4"/>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row>
    <row r="455" ht="15.75" customHeight="1">
      <c r="A455" s="69"/>
      <c r="B455" s="69"/>
      <c r="C455" s="69"/>
      <c r="D455" s="4"/>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c r="AP455" s="69"/>
      <c r="AQ455" s="69"/>
      <c r="AR455" s="69"/>
      <c r="AS455" s="69"/>
      <c r="AT455" s="69"/>
      <c r="AU455" s="69"/>
      <c r="AV455" s="69"/>
    </row>
    <row r="456" ht="15.75" customHeight="1">
      <c r="A456" s="69"/>
      <c r="B456" s="69"/>
      <c r="C456" s="69"/>
      <c r="D456" s="4"/>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row>
    <row r="457" ht="15.75" customHeight="1">
      <c r="A457" s="69"/>
      <c r="B457" s="69"/>
      <c r="C457" s="69"/>
      <c r="D457" s="4"/>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c r="AP457" s="69"/>
      <c r="AQ457" s="69"/>
      <c r="AR457" s="69"/>
      <c r="AS457" s="69"/>
      <c r="AT457" s="69"/>
      <c r="AU457" s="69"/>
      <c r="AV457" s="69"/>
    </row>
    <row r="458" ht="15.75" customHeight="1">
      <c r="A458" s="69"/>
      <c r="B458" s="69"/>
      <c r="C458" s="69"/>
      <c r="D458" s="4"/>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row>
    <row r="459" ht="15.75" customHeight="1">
      <c r="A459" s="69"/>
      <c r="B459" s="69"/>
      <c r="C459" s="69"/>
      <c r="D459" s="4"/>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c r="AP459" s="69"/>
      <c r="AQ459" s="69"/>
      <c r="AR459" s="69"/>
      <c r="AS459" s="69"/>
      <c r="AT459" s="69"/>
      <c r="AU459" s="69"/>
      <c r="AV459" s="69"/>
    </row>
    <row r="460" ht="15.75" customHeight="1">
      <c r="A460" s="69"/>
      <c r="B460" s="69"/>
      <c r="C460" s="69"/>
      <c r="D460" s="4"/>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row>
    <row r="461" ht="15.75" customHeight="1">
      <c r="A461" s="69"/>
      <c r="B461" s="69"/>
      <c r="C461" s="69"/>
      <c r="D461" s="4"/>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c r="AP461" s="69"/>
      <c r="AQ461" s="69"/>
      <c r="AR461" s="69"/>
      <c r="AS461" s="69"/>
      <c r="AT461" s="69"/>
      <c r="AU461" s="69"/>
      <c r="AV461" s="69"/>
    </row>
    <row r="462" ht="15.75" customHeight="1">
      <c r="A462" s="69"/>
      <c r="B462" s="69"/>
      <c r="C462" s="69"/>
      <c r="D462" s="4"/>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row>
    <row r="463" ht="15.75" customHeight="1">
      <c r="A463" s="69"/>
      <c r="B463" s="69"/>
      <c r="C463" s="69"/>
      <c r="D463" s="4"/>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c r="AP463" s="69"/>
      <c r="AQ463" s="69"/>
      <c r="AR463" s="69"/>
      <c r="AS463" s="69"/>
      <c r="AT463" s="69"/>
      <c r="AU463" s="69"/>
      <c r="AV463" s="69"/>
    </row>
    <row r="464" ht="15.75" customHeight="1">
      <c r="A464" s="69"/>
      <c r="B464" s="69"/>
      <c r="C464" s="69"/>
      <c r="D464" s="4"/>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row>
    <row r="465" ht="15.75" customHeight="1">
      <c r="A465" s="69"/>
      <c r="B465" s="69"/>
      <c r="C465" s="69"/>
      <c r="D465" s="4"/>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c r="AP465" s="69"/>
      <c r="AQ465" s="69"/>
      <c r="AR465" s="69"/>
      <c r="AS465" s="69"/>
      <c r="AT465" s="69"/>
      <c r="AU465" s="69"/>
      <c r="AV465" s="69"/>
    </row>
    <row r="466" ht="15.75" customHeight="1">
      <c r="A466" s="69"/>
      <c r="B466" s="69"/>
      <c r="C466" s="69"/>
      <c r="D466" s="4"/>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row>
    <row r="467" ht="15.75" customHeight="1">
      <c r="A467" s="69"/>
      <c r="B467" s="69"/>
      <c r="C467" s="69"/>
      <c r="D467" s="4"/>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c r="AP467" s="69"/>
      <c r="AQ467" s="69"/>
      <c r="AR467" s="69"/>
      <c r="AS467" s="69"/>
      <c r="AT467" s="69"/>
      <c r="AU467" s="69"/>
      <c r="AV467" s="69"/>
    </row>
    <row r="468" ht="15.75" customHeight="1">
      <c r="A468" s="69"/>
      <c r="B468" s="69"/>
      <c r="C468" s="69"/>
      <c r="D468" s="4"/>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row>
    <row r="469" ht="15.75" customHeight="1">
      <c r="A469" s="69"/>
      <c r="B469" s="69"/>
      <c r="C469" s="69"/>
      <c r="D469" s="4"/>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c r="AP469" s="69"/>
      <c r="AQ469" s="69"/>
      <c r="AR469" s="69"/>
      <c r="AS469" s="69"/>
      <c r="AT469" s="69"/>
      <c r="AU469" s="69"/>
      <c r="AV469" s="69"/>
    </row>
    <row r="470" ht="15.75" customHeight="1">
      <c r="A470" s="69"/>
      <c r="B470" s="69"/>
      <c r="C470" s="69"/>
      <c r="D470" s="4"/>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69"/>
      <c r="AO470" s="69"/>
      <c r="AP470" s="69"/>
      <c r="AQ470" s="69"/>
      <c r="AR470" s="69"/>
      <c r="AS470" s="69"/>
      <c r="AT470" s="69"/>
      <c r="AU470" s="69"/>
      <c r="AV470" s="69"/>
    </row>
    <row r="471" ht="15.75" customHeight="1">
      <c r="A471" s="69"/>
      <c r="B471" s="69"/>
      <c r="C471" s="69"/>
      <c r="D471" s="4"/>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c r="AN471" s="69"/>
      <c r="AO471" s="69"/>
      <c r="AP471" s="69"/>
      <c r="AQ471" s="69"/>
      <c r="AR471" s="69"/>
      <c r="AS471" s="69"/>
      <c r="AT471" s="69"/>
      <c r="AU471" s="69"/>
      <c r="AV471" s="69"/>
    </row>
    <row r="472" ht="15.75" customHeight="1">
      <c r="A472" s="69"/>
      <c r="B472" s="69"/>
      <c r="C472" s="69"/>
      <c r="D472" s="4"/>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c r="AP472" s="69"/>
      <c r="AQ472" s="69"/>
      <c r="AR472" s="69"/>
      <c r="AS472" s="69"/>
      <c r="AT472" s="69"/>
      <c r="AU472" s="69"/>
      <c r="AV472" s="69"/>
    </row>
    <row r="473" ht="15.75" customHeight="1">
      <c r="A473" s="69"/>
      <c r="B473" s="69"/>
      <c r="C473" s="69"/>
      <c r="D473" s="4"/>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69"/>
      <c r="AO473" s="69"/>
      <c r="AP473" s="69"/>
      <c r="AQ473" s="69"/>
      <c r="AR473" s="69"/>
      <c r="AS473" s="69"/>
      <c r="AT473" s="69"/>
      <c r="AU473" s="69"/>
      <c r="AV473" s="69"/>
    </row>
    <row r="474" ht="15.75" customHeight="1">
      <c r="A474" s="69"/>
      <c r="B474" s="69"/>
      <c r="C474" s="69"/>
      <c r="D474" s="4"/>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c r="AP474" s="69"/>
      <c r="AQ474" s="69"/>
      <c r="AR474" s="69"/>
      <c r="AS474" s="69"/>
      <c r="AT474" s="69"/>
      <c r="AU474" s="69"/>
      <c r="AV474" s="69"/>
    </row>
    <row r="475" ht="15.75" customHeight="1">
      <c r="A475" s="69"/>
      <c r="B475" s="69"/>
      <c r="C475" s="69"/>
      <c r="D475" s="4"/>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69"/>
      <c r="AO475" s="69"/>
      <c r="AP475" s="69"/>
      <c r="AQ475" s="69"/>
      <c r="AR475" s="69"/>
      <c r="AS475" s="69"/>
      <c r="AT475" s="69"/>
      <c r="AU475" s="69"/>
      <c r="AV475" s="69"/>
    </row>
    <row r="476" ht="15.75" customHeight="1">
      <c r="A476" s="69"/>
      <c r="B476" s="69"/>
      <c r="C476" s="69"/>
      <c r="D476" s="4"/>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69"/>
      <c r="AS476" s="69"/>
      <c r="AT476" s="69"/>
      <c r="AU476" s="69"/>
      <c r="AV476" s="69"/>
    </row>
    <row r="477" ht="15.75" customHeight="1">
      <c r="A477" s="69"/>
      <c r="B477" s="69"/>
      <c r="C477" s="69"/>
      <c r="D477" s="4"/>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69"/>
      <c r="AO477" s="69"/>
      <c r="AP477" s="69"/>
      <c r="AQ477" s="69"/>
      <c r="AR477" s="69"/>
      <c r="AS477" s="69"/>
      <c r="AT477" s="69"/>
      <c r="AU477" s="69"/>
      <c r="AV477" s="69"/>
    </row>
    <row r="478" ht="15.75" customHeight="1">
      <c r="A478" s="69"/>
      <c r="B478" s="69"/>
      <c r="C478" s="69"/>
      <c r="D478" s="4"/>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69"/>
      <c r="AO478" s="69"/>
      <c r="AP478" s="69"/>
      <c r="AQ478" s="69"/>
      <c r="AR478" s="69"/>
      <c r="AS478" s="69"/>
      <c r="AT478" s="69"/>
      <c r="AU478" s="69"/>
      <c r="AV478" s="69"/>
    </row>
    <row r="479" ht="15.75" customHeight="1">
      <c r="A479" s="69"/>
      <c r="B479" s="69"/>
      <c r="C479" s="69"/>
      <c r="D479" s="4"/>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69"/>
      <c r="AO479" s="69"/>
      <c r="AP479" s="69"/>
      <c r="AQ479" s="69"/>
      <c r="AR479" s="69"/>
      <c r="AS479" s="69"/>
      <c r="AT479" s="69"/>
      <c r="AU479" s="69"/>
      <c r="AV479" s="69"/>
    </row>
    <row r="480" ht="15.75" customHeight="1">
      <c r="A480" s="69"/>
      <c r="B480" s="69"/>
      <c r="C480" s="69"/>
      <c r="D480" s="4"/>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c r="AP480" s="69"/>
      <c r="AQ480" s="69"/>
      <c r="AR480" s="69"/>
      <c r="AS480" s="69"/>
      <c r="AT480" s="69"/>
      <c r="AU480" s="69"/>
      <c r="AV480" s="69"/>
    </row>
    <row r="481" ht="15.75" customHeight="1">
      <c r="A481" s="69"/>
      <c r="B481" s="69"/>
      <c r="C481" s="69"/>
      <c r="D481" s="4"/>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c r="AN481" s="69"/>
      <c r="AO481" s="69"/>
      <c r="AP481" s="69"/>
      <c r="AQ481" s="69"/>
      <c r="AR481" s="69"/>
      <c r="AS481" s="69"/>
      <c r="AT481" s="69"/>
      <c r="AU481" s="69"/>
      <c r="AV481" s="69"/>
    </row>
    <row r="482" ht="15.75" customHeight="1">
      <c r="A482" s="69"/>
      <c r="B482" s="69"/>
      <c r="C482" s="69"/>
      <c r="D482" s="4"/>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c r="AP482" s="69"/>
      <c r="AQ482" s="69"/>
      <c r="AR482" s="69"/>
      <c r="AS482" s="69"/>
      <c r="AT482" s="69"/>
      <c r="AU482" s="69"/>
      <c r="AV482" s="69"/>
    </row>
    <row r="483" ht="15.75" customHeight="1">
      <c r="A483" s="69"/>
      <c r="B483" s="69"/>
      <c r="C483" s="69"/>
      <c r="D483" s="4"/>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c r="AP483" s="69"/>
      <c r="AQ483" s="69"/>
      <c r="AR483" s="69"/>
      <c r="AS483" s="69"/>
      <c r="AT483" s="69"/>
      <c r="AU483" s="69"/>
      <c r="AV483" s="69"/>
    </row>
    <row r="484" ht="15.75" customHeight="1">
      <c r="A484" s="69"/>
      <c r="B484" s="69"/>
      <c r="C484" s="69"/>
      <c r="D484" s="4"/>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row>
    <row r="485" ht="15.75" customHeight="1">
      <c r="A485" s="69"/>
      <c r="B485" s="69"/>
      <c r="C485" s="69"/>
      <c r="D485" s="4"/>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c r="AP485" s="69"/>
      <c r="AQ485" s="69"/>
      <c r="AR485" s="69"/>
      <c r="AS485" s="69"/>
      <c r="AT485" s="69"/>
      <c r="AU485" s="69"/>
      <c r="AV485" s="69"/>
    </row>
    <row r="486" ht="15.75" customHeight="1">
      <c r="A486" s="69"/>
      <c r="B486" s="69"/>
      <c r="C486" s="69"/>
      <c r="D486" s="4"/>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c r="AN486" s="69"/>
      <c r="AO486" s="69"/>
      <c r="AP486" s="69"/>
      <c r="AQ486" s="69"/>
      <c r="AR486" s="69"/>
      <c r="AS486" s="69"/>
      <c r="AT486" s="69"/>
      <c r="AU486" s="69"/>
      <c r="AV486" s="69"/>
    </row>
    <row r="487" ht="15.75" customHeight="1">
      <c r="A487" s="69"/>
      <c r="B487" s="69"/>
      <c r="C487" s="69"/>
      <c r="D487" s="4"/>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69"/>
      <c r="AO487" s="69"/>
      <c r="AP487" s="69"/>
      <c r="AQ487" s="69"/>
      <c r="AR487" s="69"/>
      <c r="AS487" s="69"/>
      <c r="AT487" s="69"/>
      <c r="AU487" s="69"/>
      <c r="AV487" s="69"/>
    </row>
    <row r="488" ht="15.75" customHeight="1">
      <c r="A488" s="69"/>
      <c r="B488" s="69"/>
      <c r="C488" s="69"/>
      <c r="D488" s="4"/>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row>
    <row r="489" ht="15.75" customHeight="1">
      <c r="A489" s="69"/>
      <c r="B489" s="69"/>
      <c r="C489" s="69"/>
      <c r="D489" s="4"/>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69"/>
      <c r="AO489" s="69"/>
      <c r="AP489" s="69"/>
      <c r="AQ489" s="69"/>
      <c r="AR489" s="69"/>
      <c r="AS489" s="69"/>
      <c r="AT489" s="69"/>
      <c r="AU489" s="69"/>
      <c r="AV489" s="69"/>
    </row>
    <row r="490" ht="15.75" customHeight="1">
      <c r="A490" s="69"/>
      <c r="B490" s="69"/>
      <c r="C490" s="69"/>
      <c r="D490" s="4"/>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row>
    <row r="491" ht="15.75" customHeight="1">
      <c r="A491" s="69"/>
      <c r="B491" s="69"/>
      <c r="C491" s="69"/>
      <c r="D491" s="4"/>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69"/>
      <c r="AO491" s="69"/>
      <c r="AP491" s="69"/>
      <c r="AQ491" s="69"/>
      <c r="AR491" s="69"/>
      <c r="AS491" s="69"/>
      <c r="AT491" s="69"/>
      <c r="AU491" s="69"/>
      <c r="AV491" s="69"/>
    </row>
    <row r="492" ht="15.75" customHeight="1">
      <c r="A492" s="69"/>
      <c r="B492" s="69"/>
      <c r="C492" s="69"/>
      <c r="D492" s="4"/>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row>
    <row r="493" ht="15.75" customHeight="1">
      <c r="A493" s="69"/>
      <c r="B493" s="69"/>
      <c r="C493" s="69"/>
      <c r="D493" s="4"/>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69"/>
      <c r="AO493" s="69"/>
      <c r="AP493" s="69"/>
      <c r="AQ493" s="69"/>
      <c r="AR493" s="69"/>
      <c r="AS493" s="69"/>
      <c r="AT493" s="69"/>
      <c r="AU493" s="69"/>
      <c r="AV493" s="69"/>
    </row>
    <row r="494" ht="15.75" customHeight="1">
      <c r="A494" s="69"/>
      <c r="B494" s="69"/>
      <c r="C494" s="69"/>
      <c r="D494" s="4"/>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row>
    <row r="495" ht="15.75" customHeight="1">
      <c r="A495" s="69"/>
      <c r="B495" s="69"/>
      <c r="C495" s="69"/>
      <c r="D495" s="4"/>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c r="AN495" s="69"/>
      <c r="AO495" s="69"/>
      <c r="AP495" s="69"/>
      <c r="AQ495" s="69"/>
      <c r="AR495" s="69"/>
      <c r="AS495" s="69"/>
      <c r="AT495" s="69"/>
      <c r="AU495" s="69"/>
      <c r="AV495" s="69"/>
    </row>
    <row r="496" ht="15.75" customHeight="1">
      <c r="A496" s="69"/>
      <c r="B496" s="69"/>
      <c r="C496" s="69"/>
      <c r="D496" s="4"/>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row>
    <row r="497" ht="15.75" customHeight="1">
      <c r="A497" s="69"/>
      <c r="B497" s="69"/>
      <c r="C497" s="69"/>
      <c r="D497" s="4"/>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69"/>
      <c r="AO497" s="69"/>
      <c r="AP497" s="69"/>
      <c r="AQ497" s="69"/>
      <c r="AR497" s="69"/>
      <c r="AS497" s="69"/>
      <c r="AT497" s="69"/>
      <c r="AU497" s="69"/>
      <c r="AV497" s="69"/>
    </row>
    <row r="498" ht="15.75" customHeight="1">
      <c r="A498" s="69"/>
      <c r="B498" s="69"/>
      <c r="C498" s="69"/>
      <c r="D498" s="4"/>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row>
    <row r="499" ht="15.75" customHeight="1">
      <c r="A499" s="69"/>
      <c r="B499" s="69"/>
      <c r="C499" s="69"/>
      <c r="D499" s="4"/>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69"/>
      <c r="AO499" s="69"/>
      <c r="AP499" s="69"/>
      <c r="AQ499" s="69"/>
      <c r="AR499" s="69"/>
      <c r="AS499" s="69"/>
      <c r="AT499" s="69"/>
      <c r="AU499" s="69"/>
      <c r="AV499" s="69"/>
    </row>
    <row r="500" ht="15.75" customHeight="1">
      <c r="A500" s="69"/>
      <c r="B500" s="69"/>
      <c r="C500" s="69"/>
      <c r="D500" s="4"/>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row>
    <row r="501" ht="15.75" customHeight="1">
      <c r="A501" s="69"/>
      <c r="B501" s="69"/>
      <c r="C501" s="69"/>
      <c r="D501" s="4"/>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69"/>
      <c r="AO501" s="69"/>
      <c r="AP501" s="69"/>
      <c r="AQ501" s="69"/>
      <c r="AR501" s="69"/>
      <c r="AS501" s="69"/>
      <c r="AT501" s="69"/>
      <c r="AU501" s="69"/>
      <c r="AV501" s="69"/>
    </row>
    <row r="502" ht="15.75" customHeight="1">
      <c r="A502" s="69"/>
      <c r="B502" s="69"/>
      <c r="C502" s="69"/>
      <c r="D502" s="4"/>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69"/>
      <c r="AO502" s="69"/>
      <c r="AP502" s="69"/>
      <c r="AQ502" s="69"/>
      <c r="AR502" s="69"/>
      <c r="AS502" s="69"/>
      <c r="AT502" s="69"/>
      <c r="AU502" s="69"/>
      <c r="AV502" s="69"/>
    </row>
    <row r="503" ht="15.75" customHeight="1">
      <c r="A503" s="69"/>
      <c r="B503" s="69"/>
      <c r="C503" s="69"/>
      <c r="D503" s="4"/>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c r="AP503" s="69"/>
      <c r="AQ503" s="69"/>
      <c r="AR503" s="69"/>
      <c r="AS503" s="69"/>
      <c r="AT503" s="69"/>
      <c r="AU503" s="69"/>
      <c r="AV503" s="69"/>
    </row>
    <row r="504" ht="15.75" customHeight="1">
      <c r="A504" s="69"/>
      <c r="B504" s="69"/>
      <c r="C504" s="69"/>
      <c r="D504" s="4"/>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c r="AP504" s="69"/>
      <c r="AQ504" s="69"/>
      <c r="AR504" s="69"/>
      <c r="AS504" s="69"/>
      <c r="AT504" s="69"/>
      <c r="AU504" s="69"/>
      <c r="AV504" s="69"/>
    </row>
    <row r="505" ht="15.75" customHeight="1">
      <c r="A505" s="69"/>
      <c r="B505" s="69"/>
      <c r="C505" s="69"/>
      <c r="D505" s="4"/>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69"/>
      <c r="AO505" s="69"/>
      <c r="AP505" s="69"/>
      <c r="AQ505" s="69"/>
      <c r="AR505" s="69"/>
      <c r="AS505" s="69"/>
      <c r="AT505" s="69"/>
      <c r="AU505" s="69"/>
      <c r="AV505" s="69"/>
    </row>
    <row r="506" ht="15.75" customHeight="1">
      <c r="A506" s="69"/>
      <c r="B506" s="69"/>
      <c r="C506" s="69"/>
      <c r="D506" s="4"/>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c r="AP506" s="69"/>
      <c r="AQ506" s="69"/>
      <c r="AR506" s="69"/>
      <c r="AS506" s="69"/>
      <c r="AT506" s="69"/>
      <c r="AU506" s="69"/>
      <c r="AV506" s="69"/>
    </row>
    <row r="507" ht="15.75" customHeight="1">
      <c r="A507" s="69"/>
      <c r="B507" s="69"/>
      <c r="C507" s="69"/>
      <c r="D507" s="4"/>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c r="AN507" s="69"/>
      <c r="AO507" s="69"/>
      <c r="AP507" s="69"/>
      <c r="AQ507" s="69"/>
      <c r="AR507" s="69"/>
      <c r="AS507" s="69"/>
      <c r="AT507" s="69"/>
      <c r="AU507" s="69"/>
      <c r="AV507" s="69"/>
    </row>
    <row r="508" ht="15.75" customHeight="1">
      <c r="A508" s="69"/>
      <c r="B508" s="69"/>
      <c r="C508" s="69"/>
      <c r="D508" s="4"/>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c r="AN508" s="69"/>
      <c r="AO508" s="69"/>
      <c r="AP508" s="69"/>
      <c r="AQ508" s="69"/>
      <c r="AR508" s="69"/>
      <c r="AS508" s="69"/>
      <c r="AT508" s="69"/>
      <c r="AU508" s="69"/>
      <c r="AV508" s="69"/>
    </row>
    <row r="509" ht="15.75" customHeight="1">
      <c r="A509" s="69"/>
      <c r="B509" s="69"/>
      <c r="C509" s="69"/>
      <c r="D509" s="4"/>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row>
    <row r="510" ht="15.75" customHeight="1">
      <c r="A510" s="69"/>
      <c r="B510" s="69"/>
      <c r="C510" s="69"/>
      <c r="D510" s="4"/>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row>
    <row r="511" ht="15.75" customHeight="1">
      <c r="A511" s="69"/>
      <c r="B511" s="69"/>
      <c r="C511" s="69"/>
      <c r="D511" s="4"/>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c r="AP511" s="69"/>
      <c r="AQ511" s="69"/>
      <c r="AR511" s="69"/>
      <c r="AS511" s="69"/>
      <c r="AT511" s="69"/>
      <c r="AU511" s="69"/>
      <c r="AV511" s="69"/>
    </row>
    <row r="512" ht="15.75" customHeight="1">
      <c r="A512" s="69"/>
      <c r="B512" s="69"/>
      <c r="C512" s="69"/>
      <c r="D512" s="4"/>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c r="AP512" s="69"/>
      <c r="AQ512" s="69"/>
      <c r="AR512" s="69"/>
      <c r="AS512" s="69"/>
      <c r="AT512" s="69"/>
      <c r="AU512" s="69"/>
      <c r="AV512" s="69"/>
    </row>
    <row r="513" ht="15.75" customHeight="1">
      <c r="A513" s="69"/>
      <c r="B513" s="69"/>
      <c r="C513" s="69"/>
      <c r="D513" s="4"/>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c r="AN513" s="69"/>
      <c r="AO513" s="69"/>
      <c r="AP513" s="69"/>
      <c r="AQ513" s="69"/>
      <c r="AR513" s="69"/>
      <c r="AS513" s="69"/>
      <c r="AT513" s="69"/>
      <c r="AU513" s="69"/>
      <c r="AV513" s="69"/>
    </row>
    <row r="514" ht="15.75" customHeight="1">
      <c r="A514" s="69"/>
      <c r="B514" s="69"/>
      <c r="C514" s="69"/>
      <c r="D514" s="4"/>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c r="AP514" s="69"/>
      <c r="AQ514" s="69"/>
      <c r="AR514" s="69"/>
      <c r="AS514" s="69"/>
      <c r="AT514" s="69"/>
      <c r="AU514" s="69"/>
      <c r="AV514" s="69"/>
    </row>
    <row r="515" ht="15.75" customHeight="1">
      <c r="A515" s="69"/>
      <c r="B515" s="69"/>
      <c r="C515" s="69"/>
      <c r="D515" s="4"/>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c r="AN515" s="69"/>
      <c r="AO515" s="69"/>
      <c r="AP515" s="69"/>
      <c r="AQ515" s="69"/>
      <c r="AR515" s="69"/>
      <c r="AS515" s="69"/>
      <c r="AT515" s="69"/>
      <c r="AU515" s="69"/>
      <c r="AV515" s="69"/>
    </row>
    <row r="516" ht="15.75" customHeight="1">
      <c r="A516" s="69"/>
      <c r="B516" s="69"/>
      <c r="C516" s="69"/>
      <c r="D516" s="4"/>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row>
    <row r="517" ht="15.75" customHeight="1">
      <c r="A517" s="69"/>
      <c r="B517" s="69"/>
      <c r="C517" s="69"/>
      <c r="D517" s="4"/>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c r="AN517" s="69"/>
      <c r="AO517" s="69"/>
      <c r="AP517" s="69"/>
      <c r="AQ517" s="69"/>
      <c r="AR517" s="69"/>
      <c r="AS517" s="69"/>
      <c r="AT517" s="69"/>
      <c r="AU517" s="69"/>
      <c r="AV517" s="69"/>
    </row>
    <row r="518" ht="15.75" customHeight="1">
      <c r="A518" s="69"/>
      <c r="B518" s="69"/>
      <c r="C518" s="69"/>
      <c r="D518" s="4"/>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row>
    <row r="519" ht="15.75" customHeight="1">
      <c r="A519" s="69"/>
      <c r="B519" s="69"/>
      <c r="C519" s="69"/>
      <c r="D519" s="4"/>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c r="AN519" s="69"/>
      <c r="AO519" s="69"/>
      <c r="AP519" s="69"/>
      <c r="AQ519" s="69"/>
      <c r="AR519" s="69"/>
      <c r="AS519" s="69"/>
      <c r="AT519" s="69"/>
      <c r="AU519" s="69"/>
      <c r="AV519" s="69"/>
    </row>
    <row r="520" ht="15.75" customHeight="1">
      <c r="A520" s="69"/>
      <c r="B520" s="69"/>
      <c r="C520" s="69"/>
      <c r="D520" s="4"/>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row>
    <row r="521" ht="15.75" customHeight="1">
      <c r="A521" s="69"/>
      <c r="B521" s="69"/>
      <c r="C521" s="69"/>
      <c r="D521" s="4"/>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c r="AN521" s="69"/>
      <c r="AO521" s="69"/>
      <c r="AP521" s="69"/>
      <c r="AQ521" s="69"/>
      <c r="AR521" s="69"/>
      <c r="AS521" s="69"/>
      <c r="AT521" s="69"/>
      <c r="AU521" s="69"/>
      <c r="AV521" s="69"/>
    </row>
    <row r="522" ht="15.75" customHeight="1">
      <c r="A522" s="69"/>
      <c r="B522" s="69"/>
      <c r="C522" s="69"/>
      <c r="D522" s="4"/>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row>
    <row r="523" ht="15.75" customHeight="1">
      <c r="A523" s="69"/>
      <c r="B523" s="69"/>
      <c r="C523" s="69"/>
      <c r="D523" s="4"/>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c r="AN523" s="69"/>
      <c r="AO523" s="69"/>
      <c r="AP523" s="69"/>
      <c r="AQ523" s="69"/>
      <c r="AR523" s="69"/>
      <c r="AS523" s="69"/>
      <c r="AT523" s="69"/>
      <c r="AU523" s="69"/>
      <c r="AV523" s="69"/>
    </row>
    <row r="524" ht="15.75" customHeight="1">
      <c r="A524" s="69"/>
      <c r="B524" s="69"/>
      <c r="C524" s="69"/>
      <c r="D524" s="4"/>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row>
    <row r="525" ht="15.75" customHeight="1">
      <c r="A525" s="69"/>
      <c r="B525" s="69"/>
      <c r="C525" s="69"/>
      <c r="D525" s="4"/>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c r="AN525" s="69"/>
      <c r="AO525" s="69"/>
      <c r="AP525" s="69"/>
      <c r="AQ525" s="69"/>
      <c r="AR525" s="69"/>
      <c r="AS525" s="69"/>
      <c r="AT525" s="69"/>
      <c r="AU525" s="69"/>
      <c r="AV525" s="69"/>
    </row>
    <row r="526" ht="15.75" customHeight="1">
      <c r="A526" s="69"/>
      <c r="B526" s="69"/>
      <c r="C526" s="69"/>
      <c r="D526" s="4"/>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row>
    <row r="527" ht="15.75" customHeight="1">
      <c r="A527" s="69"/>
      <c r="B527" s="69"/>
      <c r="C527" s="69"/>
      <c r="D527" s="4"/>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c r="AN527" s="69"/>
      <c r="AO527" s="69"/>
      <c r="AP527" s="69"/>
      <c r="AQ527" s="69"/>
      <c r="AR527" s="69"/>
      <c r="AS527" s="69"/>
      <c r="AT527" s="69"/>
      <c r="AU527" s="69"/>
      <c r="AV527" s="69"/>
    </row>
    <row r="528" ht="15.75" customHeight="1">
      <c r="A528" s="69"/>
      <c r="B528" s="69"/>
      <c r="C528" s="69"/>
      <c r="D528" s="4"/>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row>
    <row r="529" ht="15.75" customHeight="1">
      <c r="A529" s="69"/>
      <c r="B529" s="69"/>
      <c r="C529" s="69"/>
      <c r="D529" s="4"/>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c r="AN529" s="69"/>
      <c r="AO529" s="69"/>
      <c r="AP529" s="69"/>
      <c r="AQ529" s="69"/>
      <c r="AR529" s="69"/>
      <c r="AS529" s="69"/>
      <c r="AT529" s="69"/>
      <c r="AU529" s="69"/>
      <c r="AV529" s="69"/>
    </row>
    <row r="530" ht="15.75" customHeight="1">
      <c r="A530" s="69"/>
      <c r="B530" s="69"/>
      <c r="C530" s="69"/>
      <c r="D530" s="4"/>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row>
    <row r="531" ht="15.75" customHeight="1">
      <c r="A531" s="69"/>
      <c r="B531" s="69"/>
      <c r="C531" s="69"/>
      <c r="D531" s="4"/>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c r="AN531" s="69"/>
      <c r="AO531" s="69"/>
      <c r="AP531" s="69"/>
      <c r="AQ531" s="69"/>
      <c r="AR531" s="69"/>
      <c r="AS531" s="69"/>
      <c r="AT531" s="69"/>
      <c r="AU531" s="69"/>
      <c r="AV531" s="69"/>
    </row>
    <row r="532" ht="15.75" customHeight="1">
      <c r="A532" s="69"/>
      <c r="B532" s="69"/>
      <c r="C532" s="69"/>
      <c r="D532" s="4"/>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row>
    <row r="533" ht="15.75" customHeight="1">
      <c r="A533" s="69"/>
      <c r="B533" s="69"/>
      <c r="C533" s="69"/>
      <c r="D533" s="4"/>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c r="AN533" s="69"/>
      <c r="AO533" s="69"/>
      <c r="AP533" s="69"/>
      <c r="AQ533" s="69"/>
      <c r="AR533" s="69"/>
      <c r="AS533" s="69"/>
      <c r="AT533" s="69"/>
      <c r="AU533" s="69"/>
      <c r="AV533" s="69"/>
    </row>
    <row r="534" ht="15.75" customHeight="1">
      <c r="A534" s="69"/>
      <c r="B534" s="69"/>
      <c r="C534" s="69"/>
      <c r="D534" s="4"/>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c r="AN534" s="69"/>
      <c r="AO534" s="69"/>
      <c r="AP534" s="69"/>
      <c r="AQ534" s="69"/>
      <c r="AR534" s="69"/>
      <c r="AS534" s="69"/>
      <c r="AT534" s="69"/>
      <c r="AU534" s="69"/>
      <c r="AV534" s="69"/>
    </row>
    <row r="535" ht="15.75" customHeight="1">
      <c r="A535" s="69"/>
      <c r="B535" s="69"/>
      <c r="C535" s="69"/>
      <c r="D535" s="4"/>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c r="AN535" s="69"/>
      <c r="AO535" s="69"/>
      <c r="AP535" s="69"/>
      <c r="AQ535" s="69"/>
      <c r="AR535" s="69"/>
      <c r="AS535" s="69"/>
      <c r="AT535" s="69"/>
      <c r="AU535" s="69"/>
      <c r="AV535" s="69"/>
    </row>
    <row r="536" ht="15.75" customHeight="1">
      <c r="A536" s="69"/>
      <c r="B536" s="69"/>
      <c r="C536" s="69"/>
      <c r="D536" s="4"/>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row>
    <row r="537" ht="15.75" customHeight="1">
      <c r="A537" s="69"/>
      <c r="B537" s="69"/>
      <c r="C537" s="69"/>
      <c r="D537" s="4"/>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c r="AN537" s="69"/>
      <c r="AO537" s="69"/>
      <c r="AP537" s="69"/>
      <c r="AQ537" s="69"/>
      <c r="AR537" s="69"/>
      <c r="AS537" s="69"/>
      <c r="AT537" s="69"/>
      <c r="AU537" s="69"/>
      <c r="AV537" s="69"/>
    </row>
    <row r="538" ht="15.75" customHeight="1">
      <c r="A538" s="69"/>
      <c r="B538" s="69"/>
      <c r="C538" s="69"/>
      <c r="D538" s="4"/>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row>
    <row r="539" ht="15.75" customHeight="1">
      <c r="A539" s="69"/>
      <c r="B539" s="69"/>
      <c r="C539" s="69"/>
      <c r="D539" s="4"/>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c r="AN539" s="69"/>
      <c r="AO539" s="69"/>
      <c r="AP539" s="69"/>
      <c r="AQ539" s="69"/>
      <c r="AR539" s="69"/>
      <c r="AS539" s="69"/>
      <c r="AT539" s="69"/>
      <c r="AU539" s="69"/>
      <c r="AV539" s="69"/>
    </row>
    <row r="540" ht="15.75" customHeight="1">
      <c r="A540" s="69"/>
      <c r="B540" s="69"/>
      <c r="C540" s="69"/>
      <c r="D540" s="4"/>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row>
    <row r="541" ht="15.75" customHeight="1">
      <c r="A541" s="69"/>
      <c r="B541" s="69"/>
      <c r="C541" s="69"/>
      <c r="D541" s="4"/>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c r="AN541" s="69"/>
      <c r="AO541" s="69"/>
      <c r="AP541" s="69"/>
      <c r="AQ541" s="69"/>
      <c r="AR541" s="69"/>
      <c r="AS541" s="69"/>
      <c r="AT541" s="69"/>
      <c r="AU541" s="69"/>
      <c r="AV541" s="69"/>
    </row>
    <row r="542" ht="15.75" customHeight="1">
      <c r="A542" s="69"/>
      <c r="B542" s="69"/>
      <c r="C542" s="69"/>
      <c r="D542" s="4"/>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row>
    <row r="543" ht="15.75" customHeight="1">
      <c r="A543" s="69"/>
      <c r="B543" s="69"/>
      <c r="C543" s="69"/>
      <c r="D543" s="4"/>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c r="AN543" s="69"/>
      <c r="AO543" s="69"/>
      <c r="AP543" s="69"/>
      <c r="AQ543" s="69"/>
      <c r="AR543" s="69"/>
      <c r="AS543" s="69"/>
      <c r="AT543" s="69"/>
      <c r="AU543" s="69"/>
      <c r="AV543" s="69"/>
    </row>
    <row r="544" ht="15.75" customHeight="1">
      <c r="A544" s="69"/>
      <c r="B544" s="69"/>
      <c r="C544" s="69"/>
      <c r="D544" s="4"/>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c r="AP544" s="69"/>
      <c r="AQ544" s="69"/>
      <c r="AR544" s="69"/>
      <c r="AS544" s="69"/>
      <c r="AT544" s="69"/>
      <c r="AU544" s="69"/>
      <c r="AV544" s="69"/>
    </row>
    <row r="545" ht="15.75" customHeight="1">
      <c r="A545" s="69"/>
      <c r="B545" s="69"/>
      <c r="C545" s="69"/>
      <c r="D545" s="4"/>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c r="AN545" s="69"/>
      <c r="AO545" s="69"/>
      <c r="AP545" s="69"/>
      <c r="AQ545" s="69"/>
      <c r="AR545" s="69"/>
      <c r="AS545" s="69"/>
      <c r="AT545" s="69"/>
      <c r="AU545" s="69"/>
      <c r="AV545" s="69"/>
    </row>
    <row r="546" ht="15.75" customHeight="1">
      <c r="A546" s="69"/>
      <c r="B546" s="69"/>
      <c r="C546" s="69"/>
      <c r="D546" s="4"/>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c r="AP546" s="69"/>
      <c r="AQ546" s="69"/>
      <c r="AR546" s="69"/>
      <c r="AS546" s="69"/>
      <c r="AT546" s="69"/>
      <c r="AU546" s="69"/>
      <c r="AV546" s="69"/>
    </row>
    <row r="547" ht="15.75" customHeight="1">
      <c r="A547" s="69"/>
      <c r="B547" s="69"/>
      <c r="C547" s="69"/>
      <c r="D547" s="4"/>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c r="AN547" s="69"/>
      <c r="AO547" s="69"/>
      <c r="AP547" s="69"/>
      <c r="AQ547" s="69"/>
      <c r="AR547" s="69"/>
      <c r="AS547" s="69"/>
      <c r="AT547" s="69"/>
      <c r="AU547" s="69"/>
      <c r="AV547" s="69"/>
    </row>
    <row r="548" ht="15.75" customHeight="1">
      <c r="A548" s="69"/>
      <c r="B548" s="69"/>
      <c r="C548" s="69"/>
      <c r="D548" s="4"/>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c r="AN548" s="69"/>
      <c r="AO548" s="69"/>
      <c r="AP548" s="69"/>
      <c r="AQ548" s="69"/>
      <c r="AR548" s="69"/>
      <c r="AS548" s="69"/>
      <c r="AT548" s="69"/>
      <c r="AU548" s="69"/>
      <c r="AV548" s="69"/>
    </row>
    <row r="549" ht="15.75" customHeight="1">
      <c r="A549" s="69"/>
      <c r="B549" s="69"/>
      <c r="C549" s="69"/>
      <c r="D549" s="4"/>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c r="AP549" s="69"/>
      <c r="AQ549" s="69"/>
      <c r="AR549" s="69"/>
      <c r="AS549" s="69"/>
      <c r="AT549" s="69"/>
      <c r="AU549" s="69"/>
      <c r="AV549" s="69"/>
    </row>
    <row r="550" ht="15.75" customHeight="1">
      <c r="A550" s="69"/>
      <c r="B550" s="69"/>
      <c r="C550" s="69"/>
      <c r="D550" s="4"/>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c r="AN550" s="69"/>
      <c r="AO550" s="69"/>
      <c r="AP550" s="69"/>
      <c r="AQ550" s="69"/>
      <c r="AR550" s="69"/>
      <c r="AS550" s="69"/>
      <c r="AT550" s="69"/>
      <c r="AU550" s="69"/>
      <c r="AV550" s="69"/>
    </row>
    <row r="551" ht="15.75" customHeight="1">
      <c r="A551" s="69"/>
      <c r="B551" s="69"/>
      <c r="C551" s="69"/>
      <c r="D551" s="4"/>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c r="AN551" s="69"/>
      <c r="AO551" s="69"/>
      <c r="AP551" s="69"/>
      <c r="AQ551" s="69"/>
      <c r="AR551" s="69"/>
      <c r="AS551" s="69"/>
      <c r="AT551" s="69"/>
      <c r="AU551" s="69"/>
      <c r="AV551" s="69"/>
    </row>
    <row r="552" ht="15.75" customHeight="1">
      <c r="A552" s="69"/>
      <c r="B552" s="69"/>
      <c r="C552" s="69"/>
      <c r="D552" s="4"/>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c r="AP552" s="69"/>
      <c r="AQ552" s="69"/>
      <c r="AR552" s="69"/>
      <c r="AS552" s="69"/>
      <c r="AT552" s="69"/>
      <c r="AU552" s="69"/>
      <c r="AV552" s="69"/>
    </row>
    <row r="553" ht="15.75" customHeight="1">
      <c r="A553" s="69"/>
      <c r="B553" s="69"/>
      <c r="C553" s="69"/>
      <c r="D553" s="4"/>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c r="AN553" s="69"/>
      <c r="AO553" s="69"/>
      <c r="AP553" s="69"/>
      <c r="AQ553" s="69"/>
      <c r="AR553" s="69"/>
      <c r="AS553" s="69"/>
      <c r="AT553" s="69"/>
      <c r="AU553" s="69"/>
      <c r="AV553" s="69"/>
    </row>
    <row r="554" ht="15.75" customHeight="1">
      <c r="A554" s="69"/>
      <c r="B554" s="69"/>
      <c r="C554" s="69"/>
      <c r="D554" s="4"/>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c r="AP554" s="69"/>
      <c r="AQ554" s="69"/>
      <c r="AR554" s="69"/>
      <c r="AS554" s="69"/>
      <c r="AT554" s="69"/>
      <c r="AU554" s="69"/>
      <c r="AV554" s="69"/>
    </row>
    <row r="555" ht="15.75" customHeight="1">
      <c r="A555" s="69"/>
      <c r="B555" s="69"/>
      <c r="C555" s="69"/>
      <c r="D555" s="4"/>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c r="AN555" s="69"/>
      <c r="AO555" s="69"/>
      <c r="AP555" s="69"/>
      <c r="AQ555" s="69"/>
      <c r="AR555" s="69"/>
      <c r="AS555" s="69"/>
      <c r="AT555" s="69"/>
      <c r="AU555" s="69"/>
      <c r="AV555" s="69"/>
    </row>
    <row r="556" ht="15.75" customHeight="1">
      <c r="A556" s="69"/>
      <c r="B556" s="69"/>
      <c r="C556" s="69"/>
      <c r="D556" s="4"/>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c r="AN556" s="69"/>
      <c r="AO556" s="69"/>
      <c r="AP556" s="69"/>
      <c r="AQ556" s="69"/>
      <c r="AR556" s="69"/>
      <c r="AS556" s="69"/>
      <c r="AT556" s="69"/>
      <c r="AU556" s="69"/>
      <c r="AV556" s="69"/>
    </row>
    <row r="557" ht="15.75" customHeight="1">
      <c r="A557" s="69"/>
      <c r="B557" s="69"/>
      <c r="C557" s="69"/>
      <c r="D557" s="4"/>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c r="AN557" s="69"/>
      <c r="AO557" s="69"/>
      <c r="AP557" s="69"/>
      <c r="AQ557" s="69"/>
      <c r="AR557" s="69"/>
      <c r="AS557" s="69"/>
      <c r="AT557" s="69"/>
      <c r="AU557" s="69"/>
      <c r="AV557" s="69"/>
    </row>
    <row r="558" ht="15.75" customHeight="1">
      <c r="A558" s="69"/>
      <c r="B558" s="69"/>
      <c r="C558" s="69"/>
      <c r="D558" s="4"/>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c r="AN558" s="69"/>
      <c r="AO558" s="69"/>
      <c r="AP558" s="69"/>
      <c r="AQ558" s="69"/>
      <c r="AR558" s="69"/>
      <c r="AS558" s="69"/>
      <c r="AT558" s="69"/>
      <c r="AU558" s="69"/>
      <c r="AV558" s="69"/>
    </row>
    <row r="559" ht="15.75" customHeight="1">
      <c r="A559" s="69"/>
      <c r="B559" s="69"/>
      <c r="C559" s="69"/>
      <c r="D559" s="4"/>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c r="AN559" s="69"/>
      <c r="AO559" s="69"/>
      <c r="AP559" s="69"/>
      <c r="AQ559" s="69"/>
      <c r="AR559" s="69"/>
      <c r="AS559" s="69"/>
      <c r="AT559" s="69"/>
      <c r="AU559" s="69"/>
      <c r="AV559" s="69"/>
    </row>
    <row r="560" ht="15.75" customHeight="1">
      <c r="A560" s="69"/>
      <c r="B560" s="69"/>
      <c r="C560" s="69"/>
      <c r="D560" s="4"/>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c r="AP560" s="69"/>
      <c r="AQ560" s="69"/>
      <c r="AR560" s="69"/>
      <c r="AS560" s="69"/>
      <c r="AT560" s="69"/>
      <c r="AU560" s="69"/>
      <c r="AV560" s="69"/>
    </row>
    <row r="561" ht="15.75" customHeight="1">
      <c r="A561" s="69"/>
      <c r="B561" s="69"/>
      <c r="C561" s="69"/>
      <c r="D561" s="4"/>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c r="AN561" s="69"/>
      <c r="AO561" s="69"/>
      <c r="AP561" s="69"/>
      <c r="AQ561" s="69"/>
      <c r="AR561" s="69"/>
      <c r="AS561" s="69"/>
      <c r="AT561" s="69"/>
      <c r="AU561" s="69"/>
      <c r="AV561" s="69"/>
    </row>
    <row r="562" ht="15.75" customHeight="1">
      <c r="A562" s="69"/>
      <c r="B562" s="69"/>
      <c r="C562" s="69"/>
      <c r="D562" s="4"/>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c r="AV562" s="69"/>
    </row>
    <row r="563" ht="15.75" customHeight="1">
      <c r="A563" s="69"/>
      <c r="B563" s="69"/>
      <c r="C563" s="69"/>
      <c r="D563" s="4"/>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c r="AN563" s="69"/>
      <c r="AO563" s="69"/>
      <c r="AP563" s="69"/>
      <c r="AQ563" s="69"/>
      <c r="AR563" s="69"/>
      <c r="AS563" s="69"/>
      <c r="AT563" s="69"/>
      <c r="AU563" s="69"/>
      <c r="AV563" s="69"/>
    </row>
    <row r="564" ht="15.75" customHeight="1">
      <c r="A564" s="69"/>
      <c r="B564" s="69"/>
      <c r="C564" s="69"/>
      <c r="D564" s="4"/>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c r="AN564" s="69"/>
      <c r="AO564" s="69"/>
      <c r="AP564" s="69"/>
      <c r="AQ564" s="69"/>
      <c r="AR564" s="69"/>
      <c r="AS564" s="69"/>
      <c r="AT564" s="69"/>
      <c r="AU564" s="69"/>
      <c r="AV564" s="69"/>
    </row>
    <row r="565" ht="15.75" customHeight="1">
      <c r="A565" s="69"/>
      <c r="B565" s="69"/>
      <c r="C565" s="69"/>
      <c r="D565" s="4"/>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c r="AN565" s="69"/>
      <c r="AO565" s="69"/>
      <c r="AP565" s="69"/>
      <c r="AQ565" s="69"/>
      <c r="AR565" s="69"/>
      <c r="AS565" s="69"/>
      <c r="AT565" s="69"/>
      <c r="AU565" s="69"/>
      <c r="AV565" s="69"/>
    </row>
    <row r="566" ht="15.75" customHeight="1">
      <c r="A566" s="69"/>
      <c r="B566" s="69"/>
      <c r="C566" s="69"/>
      <c r="D566" s="4"/>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c r="AN566" s="69"/>
      <c r="AO566" s="69"/>
      <c r="AP566" s="69"/>
      <c r="AQ566" s="69"/>
      <c r="AR566" s="69"/>
      <c r="AS566" s="69"/>
      <c r="AT566" s="69"/>
      <c r="AU566" s="69"/>
      <c r="AV566" s="69"/>
    </row>
    <row r="567" ht="15.75" customHeight="1">
      <c r="A567" s="69"/>
      <c r="B567" s="69"/>
      <c r="C567" s="69"/>
      <c r="D567" s="4"/>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c r="AN567" s="69"/>
      <c r="AO567" s="69"/>
      <c r="AP567" s="69"/>
      <c r="AQ567" s="69"/>
      <c r="AR567" s="69"/>
      <c r="AS567" s="69"/>
      <c r="AT567" s="69"/>
      <c r="AU567" s="69"/>
      <c r="AV567" s="69"/>
    </row>
    <row r="568" ht="15.75" customHeight="1">
      <c r="A568" s="69"/>
      <c r="B568" s="69"/>
      <c r="C568" s="69"/>
      <c r="D568" s="4"/>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c r="AP568" s="69"/>
      <c r="AQ568" s="69"/>
      <c r="AR568" s="69"/>
      <c r="AS568" s="69"/>
      <c r="AT568" s="69"/>
      <c r="AU568" s="69"/>
      <c r="AV568" s="69"/>
    </row>
    <row r="569" ht="15.75" customHeight="1">
      <c r="A569" s="69"/>
      <c r="B569" s="69"/>
      <c r="C569" s="69"/>
      <c r="D569" s="4"/>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c r="AN569" s="69"/>
      <c r="AO569" s="69"/>
      <c r="AP569" s="69"/>
      <c r="AQ569" s="69"/>
      <c r="AR569" s="69"/>
      <c r="AS569" s="69"/>
      <c r="AT569" s="69"/>
      <c r="AU569" s="69"/>
      <c r="AV569" s="69"/>
    </row>
    <row r="570" ht="15.75" customHeight="1">
      <c r="A570" s="69"/>
      <c r="B570" s="69"/>
      <c r="C570" s="69"/>
      <c r="D570" s="4"/>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c r="AP570" s="69"/>
      <c r="AQ570" s="69"/>
      <c r="AR570" s="69"/>
      <c r="AS570" s="69"/>
      <c r="AT570" s="69"/>
      <c r="AU570" s="69"/>
      <c r="AV570" s="69"/>
    </row>
    <row r="571" ht="15.75" customHeight="1">
      <c r="A571" s="69"/>
      <c r="B571" s="69"/>
      <c r="C571" s="69"/>
      <c r="D571" s="4"/>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c r="AN571" s="69"/>
      <c r="AO571" s="69"/>
      <c r="AP571" s="69"/>
      <c r="AQ571" s="69"/>
      <c r="AR571" s="69"/>
      <c r="AS571" s="69"/>
      <c r="AT571" s="69"/>
      <c r="AU571" s="69"/>
      <c r="AV571" s="69"/>
    </row>
    <row r="572" ht="15.75" customHeight="1">
      <c r="A572" s="69"/>
      <c r="B572" s="69"/>
      <c r="C572" s="69"/>
      <c r="D572" s="4"/>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c r="AN572" s="69"/>
      <c r="AO572" s="69"/>
      <c r="AP572" s="69"/>
      <c r="AQ572" s="69"/>
      <c r="AR572" s="69"/>
      <c r="AS572" s="69"/>
      <c r="AT572" s="69"/>
      <c r="AU572" s="69"/>
      <c r="AV572" s="69"/>
    </row>
    <row r="573" ht="15.75" customHeight="1">
      <c r="A573" s="69"/>
      <c r="B573" s="69"/>
      <c r="C573" s="69"/>
      <c r="D573" s="4"/>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c r="AN573" s="69"/>
      <c r="AO573" s="69"/>
      <c r="AP573" s="69"/>
      <c r="AQ573" s="69"/>
      <c r="AR573" s="69"/>
      <c r="AS573" s="69"/>
      <c r="AT573" s="69"/>
      <c r="AU573" s="69"/>
      <c r="AV573" s="69"/>
    </row>
    <row r="574" ht="15.75" customHeight="1">
      <c r="A574" s="69"/>
      <c r="B574" s="69"/>
      <c r="C574" s="69"/>
      <c r="D574" s="4"/>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c r="AN574" s="69"/>
      <c r="AO574" s="69"/>
      <c r="AP574" s="69"/>
      <c r="AQ574" s="69"/>
      <c r="AR574" s="69"/>
      <c r="AS574" s="69"/>
      <c r="AT574" s="69"/>
      <c r="AU574" s="69"/>
      <c r="AV574" s="69"/>
    </row>
    <row r="575" ht="15.75" customHeight="1">
      <c r="A575" s="69"/>
      <c r="B575" s="69"/>
      <c r="C575" s="69"/>
      <c r="D575" s="4"/>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c r="AN575" s="69"/>
      <c r="AO575" s="69"/>
      <c r="AP575" s="69"/>
      <c r="AQ575" s="69"/>
      <c r="AR575" s="69"/>
      <c r="AS575" s="69"/>
      <c r="AT575" s="69"/>
      <c r="AU575" s="69"/>
      <c r="AV575" s="69"/>
    </row>
    <row r="576" ht="15.75" customHeight="1">
      <c r="A576" s="69"/>
      <c r="B576" s="69"/>
      <c r="C576" s="69"/>
      <c r="D576" s="4"/>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c r="AP576" s="69"/>
      <c r="AQ576" s="69"/>
      <c r="AR576" s="69"/>
      <c r="AS576" s="69"/>
      <c r="AT576" s="69"/>
      <c r="AU576" s="69"/>
      <c r="AV576" s="69"/>
    </row>
    <row r="577" ht="15.75" customHeight="1">
      <c r="A577" s="69"/>
      <c r="B577" s="69"/>
      <c r="C577" s="69"/>
      <c r="D577" s="4"/>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c r="AN577" s="69"/>
      <c r="AO577" s="69"/>
      <c r="AP577" s="69"/>
      <c r="AQ577" s="69"/>
      <c r="AR577" s="69"/>
      <c r="AS577" s="69"/>
      <c r="AT577" s="69"/>
      <c r="AU577" s="69"/>
      <c r="AV577" s="69"/>
    </row>
    <row r="578" ht="15.75" customHeight="1">
      <c r="A578" s="69"/>
      <c r="B578" s="69"/>
      <c r="C578" s="69"/>
      <c r="D578" s="4"/>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c r="AP578" s="69"/>
      <c r="AQ578" s="69"/>
      <c r="AR578" s="69"/>
      <c r="AS578" s="69"/>
      <c r="AT578" s="69"/>
      <c r="AU578" s="69"/>
      <c r="AV578" s="69"/>
    </row>
    <row r="579" ht="15.75" customHeight="1">
      <c r="A579" s="69"/>
      <c r="B579" s="69"/>
      <c r="C579" s="69"/>
      <c r="D579" s="4"/>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c r="AN579" s="69"/>
      <c r="AO579" s="69"/>
      <c r="AP579" s="69"/>
      <c r="AQ579" s="69"/>
      <c r="AR579" s="69"/>
      <c r="AS579" s="69"/>
      <c r="AT579" s="69"/>
      <c r="AU579" s="69"/>
      <c r="AV579" s="69"/>
    </row>
    <row r="580" ht="15.75" customHeight="1">
      <c r="A580" s="69"/>
      <c r="B580" s="69"/>
      <c r="C580" s="69"/>
      <c r="D580" s="4"/>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c r="AN580" s="69"/>
      <c r="AO580" s="69"/>
      <c r="AP580" s="69"/>
      <c r="AQ580" s="69"/>
      <c r="AR580" s="69"/>
      <c r="AS580" s="69"/>
      <c r="AT580" s="69"/>
      <c r="AU580" s="69"/>
      <c r="AV580" s="69"/>
    </row>
    <row r="581" ht="15.75" customHeight="1">
      <c r="A581" s="69"/>
      <c r="B581" s="69"/>
      <c r="C581" s="69"/>
      <c r="D581" s="4"/>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c r="AN581" s="69"/>
      <c r="AO581" s="69"/>
      <c r="AP581" s="69"/>
      <c r="AQ581" s="69"/>
      <c r="AR581" s="69"/>
      <c r="AS581" s="69"/>
      <c r="AT581" s="69"/>
      <c r="AU581" s="69"/>
      <c r="AV581" s="69"/>
    </row>
    <row r="582" ht="15.75" customHeight="1">
      <c r="A582" s="69"/>
      <c r="B582" s="69"/>
      <c r="C582" s="69"/>
      <c r="D582" s="4"/>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c r="AO582" s="69"/>
      <c r="AP582" s="69"/>
      <c r="AQ582" s="69"/>
      <c r="AR582" s="69"/>
      <c r="AS582" s="69"/>
      <c r="AT582" s="69"/>
      <c r="AU582" s="69"/>
      <c r="AV582" s="69"/>
    </row>
    <row r="583" ht="15.75" customHeight="1">
      <c r="A583" s="69"/>
      <c r="B583" s="69"/>
      <c r="C583" s="69"/>
      <c r="D583" s="4"/>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c r="AO583" s="69"/>
      <c r="AP583" s="69"/>
      <c r="AQ583" s="69"/>
      <c r="AR583" s="69"/>
      <c r="AS583" s="69"/>
      <c r="AT583" s="69"/>
      <c r="AU583" s="69"/>
      <c r="AV583" s="69"/>
    </row>
    <row r="584" ht="15.75" customHeight="1">
      <c r="A584" s="69"/>
      <c r="B584" s="69"/>
      <c r="C584" s="69"/>
      <c r="D584" s="4"/>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c r="AP584" s="69"/>
      <c r="AQ584" s="69"/>
      <c r="AR584" s="69"/>
      <c r="AS584" s="69"/>
      <c r="AT584" s="69"/>
      <c r="AU584" s="69"/>
      <c r="AV584" s="69"/>
    </row>
    <row r="585" ht="15.75" customHeight="1">
      <c r="A585" s="69"/>
      <c r="B585" s="69"/>
      <c r="C585" s="69"/>
      <c r="D585" s="4"/>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c r="AN585" s="69"/>
      <c r="AO585" s="69"/>
      <c r="AP585" s="69"/>
      <c r="AQ585" s="69"/>
      <c r="AR585" s="69"/>
      <c r="AS585" s="69"/>
      <c r="AT585" s="69"/>
      <c r="AU585" s="69"/>
      <c r="AV585" s="69"/>
    </row>
    <row r="586" ht="15.75" customHeight="1">
      <c r="A586" s="69"/>
      <c r="B586" s="69"/>
      <c r="C586" s="69"/>
      <c r="D586" s="4"/>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c r="AP586" s="69"/>
      <c r="AQ586" s="69"/>
      <c r="AR586" s="69"/>
      <c r="AS586" s="69"/>
      <c r="AT586" s="69"/>
      <c r="AU586" s="69"/>
      <c r="AV586" s="69"/>
    </row>
    <row r="587" ht="15.75" customHeight="1">
      <c r="A587" s="69"/>
      <c r="B587" s="69"/>
      <c r="C587" s="69"/>
      <c r="D587" s="4"/>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c r="AN587" s="69"/>
      <c r="AO587" s="69"/>
      <c r="AP587" s="69"/>
      <c r="AQ587" s="69"/>
      <c r="AR587" s="69"/>
      <c r="AS587" s="69"/>
      <c r="AT587" s="69"/>
      <c r="AU587" s="69"/>
      <c r="AV587" s="69"/>
    </row>
    <row r="588" ht="15.75" customHeight="1">
      <c r="A588" s="69"/>
      <c r="B588" s="69"/>
      <c r="C588" s="69"/>
      <c r="D588" s="4"/>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c r="AN588" s="69"/>
      <c r="AO588" s="69"/>
      <c r="AP588" s="69"/>
      <c r="AQ588" s="69"/>
      <c r="AR588" s="69"/>
      <c r="AS588" s="69"/>
      <c r="AT588" s="69"/>
      <c r="AU588" s="69"/>
      <c r="AV588" s="69"/>
    </row>
    <row r="589" ht="15.75" customHeight="1">
      <c r="A589" s="69"/>
      <c r="B589" s="69"/>
      <c r="C589" s="69"/>
      <c r="D589" s="4"/>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c r="AN589" s="69"/>
      <c r="AO589" s="69"/>
      <c r="AP589" s="69"/>
      <c r="AQ589" s="69"/>
      <c r="AR589" s="69"/>
      <c r="AS589" s="69"/>
      <c r="AT589" s="69"/>
      <c r="AU589" s="69"/>
      <c r="AV589" s="69"/>
    </row>
    <row r="590" ht="15.75" customHeight="1">
      <c r="A590" s="69"/>
      <c r="B590" s="69"/>
      <c r="C590" s="69"/>
      <c r="D590" s="4"/>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c r="AN590" s="69"/>
      <c r="AO590" s="69"/>
      <c r="AP590" s="69"/>
      <c r="AQ590" s="69"/>
      <c r="AR590" s="69"/>
      <c r="AS590" s="69"/>
      <c r="AT590" s="69"/>
      <c r="AU590" s="69"/>
      <c r="AV590" s="69"/>
    </row>
    <row r="591" ht="15.75" customHeight="1">
      <c r="A591" s="69"/>
      <c r="B591" s="69"/>
      <c r="C591" s="69"/>
      <c r="D591" s="4"/>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c r="AN591" s="69"/>
      <c r="AO591" s="69"/>
      <c r="AP591" s="69"/>
      <c r="AQ591" s="69"/>
      <c r="AR591" s="69"/>
      <c r="AS591" s="69"/>
      <c r="AT591" s="69"/>
      <c r="AU591" s="69"/>
      <c r="AV591" s="69"/>
    </row>
    <row r="592" ht="15.75" customHeight="1">
      <c r="A592" s="69"/>
      <c r="B592" s="69"/>
      <c r="C592" s="69"/>
      <c r="D592" s="4"/>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c r="AP592" s="69"/>
      <c r="AQ592" s="69"/>
      <c r="AR592" s="69"/>
      <c r="AS592" s="69"/>
      <c r="AT592" s="69"/>
      <c r="AU592" s="69"/>
      <c r="AV592" s="69"/>
    </row>
    <row r="593" ht="15.75" customHeight="1">
      <c r="A593" s="69"/>
      <c r="B593" s="69"/>
      <c r="C593" s="69"/>
      <c r="D593" s="4"/>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c r="AN593" s="69"/>
      <c r="AO593" s="69"/>
      <c r="AP593" s="69"/>
      <c r="AQ593" s="69"/>
      <c r="AR593" s="69"/>
      <c r="AS593" s="69"/>
      <c r="AT593" s="69"/>
      <c r="AU593" s="69"/>
      <c r="AV593" s="69"/>
    </row>
    <row r="594" ht="15.75" customHeight="1">
      <c r="A594" s="69"/>
      <c r="B594" s="69"/>
      <c r="C594" s="69"/>
      <c r="D594" s="4"/>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c r="AP594" s="69"/>
      <c r="AQ594" s="69"/>
      <c r="AR594" s="69"/>
      <c r="AS594" s="69"/>
      <c r="AT594" s="69"/>
      <c r="AU594" s="69"/>
      <c r="AV594" s="69"/>
    </row>
    <row r="595" ht="15.75" customHeight="1">
      <c r="A595" s="69"/>
      <c r="B595" s="69"/>
      <c r="C595" s="69"/>
      <c r="D595" s="4"/>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c r="AN595" s="69"/>
      <c r="AO595" s="69"/>
      <c r="AP595" s="69"/>
      <c r="AQ595" s="69"/>
      <c r="AR595" s="69"/>
      <c r="AS595" s="69"/>
      <c r="AT595" s="69"/>
      <c r="AU595" s="69"/>
      <c r="AV595" s="69"/>
    </row>
    <row r="596" ht="15.75" customHeight="1">
      <c r="A596" s="69"/>
      <c r="B596" s="69"/>
      <c r="C596" s="69"/>
      <c r="D596" s="4"/>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c r="AN596" s="69"/>
      <c r="AO596" s="69"/>
      <c r="AP596" s="69"/>
      <c r="AQ596" s="69"/>
      <c r="AR596" s="69"/>
      <c r="AS596" s="69"/>
      <c r="AT596" s="69"/>
      <c r="AU596" s="69"/>
      <c r="AV596" s="69"/>
    </row>
    <row r="597" ht="15.75" customHeight="1">
      <c r="A597" s="69"/>
      <c r="B597" s="69"/>
      <c r="C597" s="69"/>
      <c r="D597" s="4"/>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c r="AN597" s="69"/>
      <c r="AO597" s="69"/>
      <c r="AP597" s="69"/>
      <c r="AQ597" s="69"/>
      <c r="AR597" s="69"/>
      <c r="AS597" s="69"/>
      <c r="AT597" s="69"/>
      <c r="AU597" s="69"/>
      <c r="AV597" s="69"/>
    </row>
    <row r="598" ht="15.75" customHeight="1">
      <c r="A598" s="69"/>
      <c r="B598" s="69"/>
      <c r="C598" s="69"/>
      <c r="D598" s="4"/>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c r="AN598" s="69"/>
      <c r="AO598" s="69"/>
      <c r="AP598" s="69"/>
      <c r="AQ598" s="69"/>
      <c r="AR598" s="69"/>
      <c r="AS598" s="69"/>
      <c r="AT598" s="69"/>
      <c r="AU598" s="69"/>
      <c r="AV598" s="69"/>
    </row>
    <row r="599" ht="15.75" customHeight="1">
      <c r="A599" s="69"/>
      <c r="B599" s="69"/>
      <c r="C599" s="69"/>
      <c r="D599" s="4"/>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c r="AN599" s="69"/>
      <c r="AO599" s="69"/>
      <c r="AP599" s="69"/>
      <c r="AQ599" s="69"/>
      <c r="AR599" s="69"/>
      <c r="AS599" s="69"/>
      <c r="AT599" s="69"/>
      <c r="AU599" s="69"/>
      <c r="AV599" s="69"/>
    </row>
    <row r="600" ht="15.75" customHeight="1">
      <c r="A600" s="69"/>
      <c r="B600" s="69"/>
      <c r="C600" s="69"/>
      <c r="D600" s="4"/>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c r="AP600" s="69"/>
      <c r="AQ600" s="69"/>
      <c r="AR600" s="69"/>
      <c r="AS600" s="69"/>
      <c r="AT600" s="69"/>
      <c r="AU600" s="69"/>
      <c r="AV600" s="69"/>
    </row>
    <row r="601" ht="15.75" customHeight="1">
      <c r="A601" s="69"/>
      <c r="B601" s="69"/>
      <c r="C601" s="69"/>
      <c r="D601" s="4"/>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c r="AN601" s="69"/>
      <c r="AO601" s="69"/>
      <c r="AP601" s="69"/>
      <c r="AQ601" s="69"/>
      <c r="AR601" s="69"/>
      <c r="AS601" s="69"/>
      <c r="AT601" s="69"/>
      <c r="AU601" s="69"/>
      <c r="AV601" s="69"/>
    </row>
    <row r="602" ht="15.75" customHeight="1">
      <c r="A602" s="69"/>
      <c r="B602" s="69"/>
      <c r="C602" s="69"/>
      <c r="D602" s="4"/>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c r="AP602" s="69"/>
      <c r="AQ602" s="69"/>
      <c r="AR602" s="69"/>
      <c r="AS602" s="69"/>
      <c r="AT602" s="69"/>
      <c r="AU602" s="69"/>
      <c r="AV602" s="69"/>
    </row>
    <row r="603" ht="15.75" customHeight="1">
      <c r="A603" s="69"/>
      <c r="B603" s="69"/>
      <c r="C603" s="69"/>
      <c r="D603" s="4"/>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c r="AN603" s="69"/>
      <c r="AO603" s="69"/>
      <c r="AP603" s="69"/>
      <c r="AQ603" s="69"/>
      <c r="AR603" s="69"/>
      <c r="AS603" s="69"/>
      <c r="AT603" s="69"/>
      <c r="AU603" s="69"/>
      <c r="AV603" s="69"/>
    </row>
    <row r="604" ht="15.75" customHeight="1">
      <c r="A604" s="69"/>
      <c r="B604" s="69"/>
      <c r="C604" s="69"/>
      <c r="D604" s="4"/>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c r="AN604" s="69"/>
      <c r="AO604" s="69"/>
      <c r="AP604" s="69"/>
      <c r="AQ604" s="69"/>
      <c r="AR604" s="69"/>
      <c r="AS604" s="69"/>
      <c r="AT604" s="69"/>
      <c r="AU604" s="69"/>
      <c r="AV604" s="69"/>
    </row>
    <row r="605" ht="15.75" customHeight="1">
      <c r="A605" s="69"/>
      <c r="B605" s="69"/>
      <c r="C605" s="69"/>
      <c r="D605" s="4"/>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c r="AN605" s="69"/>
      <c r="AO605" s="69"/>
      <c r="AP605" s="69"/>
      <c r="AQ605" s="69"/>
      <c r="AR605" s="69"/>
      <c r="AS605" s="69"/>
      <c r="AT605" s="69"/>
      <c r="AU605" s="69"/>
      <c r="AV605" s="69"/>
    </row>
    <row r="606" ht="15.75" customHeight="1">
      <c r="A606" s="69"/>
      <c r="B606" s="69"/>
      <c r="C606" s="69"/>
      <c r="D606" s="4"/>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c r="AN606" s="69"/>
      <c r="AO606" s="69"/>
      <c r="AP606" s="69"/>
      <c r="AQ606" s="69"/>
      <c r="AR606" s="69"/>
      <c r="AS606" s="69"/>
      <c r="AT606" s="69"/>
      <c r="AU606" s="69"/>
      <c r="AV606" s="69"/>
    </row>
    <row r="607" ht="15.75" customHeight="1">
      <c r="A607" s="69"/>
      <c r="B607" s="69"/>
      <c r="C607" s="69"/>
      <c r="D607" s="4"/>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c r="AN607" s="69"/>
      <c r="AO607" s="69"/>
      <c r="AP607" s="69"/>
      <c r="AQ607" s="69"/>
      <c r="AR607" s="69"/>
      <c r="AS607" s="69"/>
      <c r="AT607" s="69"/>
      <c r="AU607" s="69"/>
      <c r="AV607" s="69"/>
    </row>
    <row r="608" ht="15.75" customHeight="1">
      <c r="A608" s="69"/>
      <c r="B608" s="69"/>
      <c r="C608" s="69"/>
      <c r="D608" s="4"/>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c r="AP608" s="69"/>
      <c r="AQ608" s="69"/>
      <c r="AR608" s="69"/>
      <c r="AS608" s="69"/>
      <c r="AT608" s="69"/>
      <c r="AU608" s="69"/>
      <c r="AV608" s="69"/>
    </row>
    <row r="609" ht="15.75" customHeight="1">
      <c r="A609" s="69"/>
      <c r="B609" s="69"/>
      <c r="C609" s="69"/>
      <c r="D609" s="4"/>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c r="AN609" s="69"/>
      <c r="AO609" s="69"/>
      <c r="AP609" s="69"/>
      <c r="AQ609" s="69"/>
      <c r="AR609" s="69"/>
      <c r="AS609" s="69"/>
      <c r="AT609" s="69"/>
      <c r="AU609" s="69"/>
      <c r="AV609" s="69"/>
    </row>
    <row r="610" ht="15.75" customHeight="1">
      <c r="A610" s="69"/>
      <c r="B610" s="69"/>
      <c r="C610" s="69"/>
      <c r="D610" s="4"/>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c r="AP610" s="69"/>
      <c r="AQ610" s="69"/>
      <c r="AR610" s="69"/>
      <c r="AS610" s="69"/>
      <c r="AT610" s="69"/>
      <c r="AU610" s="69"/>
      <c r="AV610" s="69"/>
    </row>
    <row r="611" ht="15.75" customHeight="1">
      <c r="A611" s="69"/>
      <c r="B611" s="69"/>
      <c r="C611" s="69"/>
      <c r="D611" s="4"/>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c r="AN611" s="69"/>
      <c r="AO611" s="69"/>
      <c r="AP611" s="69"/>
      <c r="AQ611" s="69"/>
      <c r="AR611" s="69"/>
      <c r="AS611" s="69"/>
      <c r="AT611" s="69"/>
      <c r="AU611" s="69"/>
      <c r="AV611" s="69"/>
    </row>
    <row r="612" ht="15.75" customHeight="1">
      <c r="A612" s="69"/>
      <c r="B612" s="69"/>
      <c r="C612" s="69"/>
      <c r="D612" s="4"/>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c r="AO612" s="69"/>
      <c r="AP612" s="69"/>
      <c r="AQ612" s="69"/>
      <c r="AR612" s="69"/>
      <c r="AS612" s="69"/>
      <c r="AT612" s="69"/>
      <c r="AU612" s="69"/>
      <c r="AV612" s="69"/>
    </row>
    <row r="613" ht="15.75" customHeight="1">
      <c r="A613" s="69"/>
      <c r="B613" s="69"/>
      <c r="C613" s="69"/>
      <c r="D613" s="4"/>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c r="AN613" s="69"/>
      <c r="AO613" s="69"/>
      <c r="AP613" s="69"/>
      <c r="AQ613" s="69"/>
      <c r="AR613" s="69"/>
      <c r="AS613" s="69"/>
      <c r="AT613" s="69"/>
      <c r="AU613" s="69"/>
      <c r="AV613" s="69"/>
    </row>
    <row r="614" ht="15.75" customHeight="1">
      <c r="A614" s="69"/>
      <c r="B614" s="69"/>
      <c r="C614" s="69"/>
      <c r="D614" s="4"/>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c r="AN614" s="69"/>
      <c r="AO614" s="69"/>
      <c r="AP614" s="69"/>
      <c r="AQ614" s="69"/>
      <c r="AR614" s="69"/>
      <c r="AS614" s="69"/>
      <c r="AT614" s="69"/>
      <c r="AU614" s="69"/>
      <c r="AV614" s="69"/>
    </row>
    <row r="615" ht="15.75" customHeight="1">
      <c r="A615" s="69"/>
      <c r="B615" s="69"/>
      <c r="C615" s="69"/>
      <c r="D615" s="4"/>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c r="AN615" s="69"/>
      <c r="AO615" s="69"/>
      <c r="AP615" s="69"/>
      <c r="AQ615" s="69"/>
      <c r="AR615" s="69"/>
      <c r="AS615" s="69"/>
      <c r="AT615" s="69"/>
      <c r="AU615" s="69"/>
      <c r="AV615" s="69"/>
    </row>
    <row r="616" ht="15.75" customHeight="1">
      <c r="A616" s="69"/>
      <c r="B616" s="69"/>
      <c r="C616" s="69"/>
      <c r="D616" s="4"/>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row>
    <row r="617" ht="15.75" customHeight="1">
      <c r="A617" s="69"/>
      <c r="B617" s="69"/>
      <c r="C617" s="69"/>
      <c r="D617" s="4"/>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c r="AN617" s="69"/>
      <c r="AO617" s="69"/>
      <c r="AP617" s="69"/>
      <c r="AQ617" s="69"/>
      <c r="AR617" s="69"/>
      <c r="AS617" s="69"/>
      <c r="AT617" s="69"/>
      <c r="AU617" s="69"/>
      <c r="AV617" s="69"/>
    </row>
    <row r="618" ht="15.75" customHeight="1">
      <c r="A618" s="69"/>
      <c r="B618" s="69"/>
      <c r="C618" s="69"/>
      <c r="D618" s="4"/>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c r="AP618" s="69"/>
      <c r="AQ618" s="69"/>
      <c r="AR618" s="69"/>
      <c r="AS618" s="69"/>
      <c r="AT618" s="69"/>
      <c r="AU618" s="69"/>
      <c r="AV618" s="69"/>
    </row>
    <row r="619" ht="15.75" customHeight="1">
      <c r="A619" s="69"/>
      <c r="B619" s="69"/>
      <c r="C619" s="69"/>
      <c r="D619" s="4"/>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c r="AN619" s="69"/>
      <c r="AO619" s="69"/>
      <c r="AP619" s="69"/>
      <c r="AQ619" s="69"/>
      <c r="AR619" s="69"/>
      <c r="AS619" s="69"/>
      <c r="AT619" s="69"/>
      <c r="AU619" s="69"/>
      <c r="AV619" s="69"/>
    </row>
    <row r="620" ht="15.75" customHeight="1">
      <c r="A620" s="69"/>
      <c r="B620" s="69"/>
      <c r="C620" s="69"/>
      <c r="D620" s="4"/>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c r="AN620" s="69"/>
      <c r="AO620" s="69"/>
      <c r="AP620" s="69"/>
      <c r="AQ620" s="69"/>
      <c r="AR620" s="69"/>
      <c r="AS620" s="69"/>
      <c r="AT620" s="69"/>
      <c r="AU620" s="69"/>
      <c r="AV620" s="69"/>
    </row>
    <row r="621" ht="15.75" customHeight="1">
      <c r="A621" s="69"/>
      <c r="B621" s="69"/>
      <c r="C621" s="69"/>
      <c r="D621" s="4"/>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c r="AN621" s="69"/>
      <c r="AO621" s="69"/>
      <c r="AP621" s="69"/>
      <c r="AQ621" s="69"/>
      <c r="AR621" s="69"/>
      <c r="AS621" s="69"/>
      <c r="AT621" s="69"/>
      <c r="AU621" s="69"/>
      <c r="AV621" s="69"/>
    </row>
    <row r="622" ht="15.75" customHeight="1">
      <c r="A622" s="69"/>
      <c r="B622" s="69"/>
      <c r="C622" s="69"/>
      <c r="D622" s="4"/>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c r="AN622" s="69"/>
      <c r="AO622" s="69"/>
      <c r="AP622" s="69"/>
      <c r="AQ622" s="69"/>
      <c r="AR622" s="69"/>
      <c r="AS622" s="69"/>
      <c r="AT622" s="69"/>
      <c r="AU622" s="69"/>
      <c r="AV622" s="69"/>
    </row>
    <row r="623" ht="15.75" customHeight="1">
      <c r="A623" s="69"/>
      <c r="B623" s="69"/>
      <c r="C623" s="69"/>
      <c r="D623" s="4"/>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c r="AN623" s="69"/>
      <c r="AO623" s="69"/>
      <c r="AP623" s="69"/>
      <c r="AQ623" s="69"/>
      <c r="AR623" s="69"/>
      <c r="AS623" s="69"/>
      <c r="AT623" s="69"/>
      <c r="AU623" s="69"/>
      <c r="AV623" s="69"/>
    </row>
    <row r="624" ht="15.75" customHeight="1">
      <c r="A624" s="69"/>
      <c r="B624" s="69"/>
      <c r="C624" s="69"/>
      <c r="D624" s="4"/>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c r="AP624" s="69"/>
      <c r="AQ624" s="69"/>
      <c r="AR624" s="69"/>
      <c r="AS624" s="69"/>
      <c r="AT624" s="69"/>
      <c r="AU624" s="69"/>
      <c r="AV624" s="69"/>
    </row>
    <row r="625" ht="15.75" customHeight="1">
      <c r="A625" s="69"/>
      <c r="B625" s="69"/>
      <c r="C625" s="69"/>
      <c r="D625" s="4"/>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c r="AN625" s="69"/>
      <c r="AO625" s="69"/>
      <c r="AP625" s="69"/>
      <c r="AQ625" s="69"/>
      <c r="AR625" s="69"/>
      <c r="AS625" s="69"/>
      <c r="AT625" s="69"/>
      <c r="AU625" s="69"/>
      <c r="AV625" s="69"/>
    </row>
    <row r="626" ht="15.75" customHeight="1">
      <c r="A626" s="69"/>
      <c r="B626" s="69"/>
      <c r="C626" s="69"/>
      <c r="D626" s="4"/>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c r="AP626" s="69"/>
      <c r="AQ626" s="69"/>
      <c r="AR626" s="69"/>
      <c r="AS626" s="69"/>
      <c r="AT626" s="69"/>
      <c r="AU626" s="69"/>
      <c r="AV626" s="69"/>
    </row>
    <row r="627" ht="15.75" customHeight="1">
      <c r="A627" s="69"/>
      <c r="B627" s="69"/>
      <c r="C627" s="69"/>
      <c r="D627" s="4"/>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c r="AN627" s="69"/>
      <c r="AO627" s="69"/>
      <c r="AP627" s="69"/>
      <c r="AQ627" s="69"/>
      <c r="AR627" s="69"/>
      <c r="AS627" s="69"/>
      <c r="AT627" s="69"/>
      <c r="AU627" s="69"/>
      <c r="AV627" s="69"/>
    </row>
    <row r="628" ht="15.75" customHeight="1">
      <c r="A628" s="69"/>
      <c r="B628" s="69"/>
      <c r="C628" s="69"/>
      <c r="D628" s="4"/>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c r="AN628" s="69"/>
      <c r="AO628" s="69"/>
      <c r="AP628" s="69"/>
      <c r="AQ628" s="69"/>
      <c r="AR628" s="69"/>
      <c r="AS628" s="69"/>
      <c r="AT628" s="69"/>
      <c r="AU628" s="69"/>
      <c r="AV628" s="69"/>
    </row>
    <row r="629" ht="15.75" customHeight="1">
      <c r="A629" s="69"/>
      <c r="B629" s="69"/>
      <c r="C629" s="69"/>
      <c r="D629" s="4"/>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c r="AN629" s="69"/>
      <c r="AO629" s="69"/>
      <c r="AP629" s="69"/>
      <c r="AQ629" s="69"/>
      <c r="AR629" s="69"/>
      <c r="AS629" s="69"/>
      <c r="AT629" s="69"/>
      <c r="AU629" s="69"/>
      <c r="AV629" s="69"/>
    </row>
    <row r="630" ht="15.75" customHeight="1">
      <c r="A630" s="69"/>
      <c r="B630" s="69"/>
      <c r="C630" s="69"/>
      <c r="D630" s="4"/>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c r="AN630" s="69"/>
      <c r="AO630" s="69"/>
      <c r="AP630" s="69"/>
      <c r="AQ630" s="69"/>
      <c r="AR630" s="69"/>
      <c r="AS630" s="69"/>
      <c r="AT630" s="69"/>
      <c r="AU630" s="69"/>
      <c r="AV630" s="69"/>
    </row>
    <row r="631" ht="15.75" customHeight="1">
      <c r="A631" s="69"/>
      <c r="B631" s="69"/>
      <c r="C631" s="69"/>
      <c r="D631" s="4"/>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c r="AN631" s="69"/>
      <c r="AO631" s="69"/>
      <c r="AP631" s="69"/>
      <c r="AQ631" s="69"/>
      <c r="AR631" s="69"/>
      <c r="AS631" s="69"/>
      <c r="AT631" s="69"/>
      <c r="AU631" s="69"/>
      <c r="AV631" s="69"/>
    </row>
    <row r="632" ht="15.75" customHeight="1">
      <c r="A632" s="69"/>
      <c r="B632" s="69"/>
      <c r="C632" s="69"/>
      <c r="D632" s="4"/>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c r="AP632" s="69"/>
      <c r="AQ632" s="69"/>
      <c r="AR632" s="69"/>
      <c r="AS632" s="69"/>
      <c r="AT632" s="69"/>
      <c r="AU632" s="69"/>
      <c r="AV632" s="69"/>
    </row>
    <row r="633" ht="15.75" customHeight="1">
      <c r="A633" s="69"/>
      <c r="B633" s="69"/>
      <c r="C633" s="69"/>
      <c r="D633" s="4"/>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c r="AN633" s="69"/>
      <c r="AO633" s="69"/>
      <c r="AP633" s="69"/>
      <c r="AQ633" s="69"/>
      <c r="AR633" s="69"/>
      <c r="AS633" s="69"/>
      <c r="AT633" s="69"/>
      <c r="AU633" s="69"/>
      <c r="AV633" s="69"/>
    </row>
    <row r="634" ht="15.75" customHeight="1">
      <c r="A634" s="69"/>
      <c r="B634" s="69"/>
      <c r="C634" s="69"/>
      <c r="D634" s="4"/>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c r="AP634" s="69"/>
      <c r="AQ634" s="69"/>
      <c r="AR634" s="69"/>
      <c r="AS634" s="69"/>
      <c r="AT634" s="69"/>
      <c r="AU634" s="69"/>
      <c r="AV634" s="69"/>
    </row>
    <row r="635" ht="15.75" customHeight="1">
      <c r="A635" s="69"/>
      <c r="B635" s="69"/>
      <c r="C635" s="69"/>
      <c r="D635" s="4"/>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c r="AN635" s="69"/>
      <c r="AO635" s="69"/>
      <c r="AP635" s="69"/>
      <c r="AQ635" s="69"/>
      <c r="AR635" s="69"/>
      <c r="AS635" s="69"/>
      <c r="AT635" s="69"/>
      <c r="AU635" s="69"/>
      <c r="AV635" s="69"/>
    </row>
    <row r="636" ht="15.75" customHeight="1">
      <c r="A636" s="69"/>
      <c r="B636" s="69"/>
      <c r="C636" s="69"/>
      <c r="D636" s="4"/>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c r="AN636" s="69"/>
      <c r="AO636" s="69"/>
      <c r="AP636" s="69"/>
      <c r="AQ636" s="69"/>
      <c r="AR636" s="69"/>
      <c r="AS636" s="69"/>
      <c r="AT636" s="69"/>
      <c r="AU636" s="69"/>
      <c r="AV636" s="69"/>
    </row>
    <row r="637" ht="15.75" customHeight="1">
      <c r="A637" s="69"/>
      <c r="B637" s="69"/>
      <c r="C637" s="69"/>
      <c r="D637" s="4"/>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c r="AN637" s="69"/>
      <c r="AO637" s="69"/>
      <c r="AP637" s="69"/>
      <c r="AQ637" s="69"/>
      <c r="AR637" s="69"/>
      <c r="AS637" s="69"/>
      <c r="AT637" s="69"/>
      <c r="AU637" s="69"/>
      <c r="AV637" s="69"/>
    </row>
    <row r="638" ht="15.75" customHeight="1">
      <c r="A638" s="69"/>
      <c r="B638" s="69"/>
      <c r="C638" s="69"/>
      <c r="D638" s="4"/>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c r="AN638" s="69"/>
      <c r="AO638" s="69"/>
      <c r="AP638" s="69"/>
      <c r="AQ638" s="69"/>
      <c r="AR638" s="69"/>
      <c r="AS638" s="69"/>
      <c r="AT638" s="69"/>
      <c r="AU638" s="69"/>
      <c r="AV638" s="69"/>
    </row>
    <row r="639" ht="15.75" customHeight="1">
      <c r="A639" s="69"/>
      <c r="B639" s="69"/>
      <c r="C639" s="69"/>
      <c r="D639" s="4"/>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c r="AN639" s="69"/>
      <c r="AO639" s="69"/>
      <c r="AP639" s="69"/>
      <c r="AQ639" s="69"/>
      <c r="AR639" s="69"/>
      <c r="AS639" s="69"/>
      <c r="AT639" s="69"/>
      <c r="AU639" s="69"/>
      <c r="AV639" s="69"/>
    </row>
    <row r="640" ht="15.75" customHeight="1">
      <c r="A640" s="69"/>
      <c r="B640" s="69"/>
      <c r="C640" s="69"/>
      <c r="D640" s="4"/>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c r="AP640" s="69"/>
      <c r="AQ640" s="69"/>
      <c r="AR640" s="69"/>
      <c r="AS640" s="69"/>
      <c r="AT640" s="69"/>
      <c r="AU640" s="69"/>
      <c r="AV640" s="69"/>
    </row>
    <row r="641" ht="15.75" customHeight="1">
      <c r="A641" s="69"/>
      <c r="B641" s="69"/>
      <c r="C641" s="69"/>
      <c r="D641" s="4"/>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c r="AP641" s="69"/>
      <c r="AQ641" s="69"/>
      <c r="AR641" s="69"/>
      <c r="AS641" s="69"/>
      <c r="AT641" s="69"/>
      <c r="AU641" s="69"/>
      <c r="AV641" s="69"/>
    </row>
    <row r="642" ht="15.75" customHeight="1">
      <c r="A642" s="69"/>
      <c r="B642" s="69"/>
      <c r="C642" s="69"/>
      <c r="D642" s="4"/>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c r="AP642" s="69"/>
      <c r="AQ642" s="69"/>
      <c r="AR642" s="69"/>
      <c r="AS642" s="69"/>
      <c r="AT642" s="69"/>
      <c r="AU642" s="69"/>
      <c r="AV642" s="69"/>
    </row>
    <row r="643" ht="15.75" customHeight="1">
      <c r="A643" s="69"/>
      <c r="B643" s="69"/>
      <c r="C643" s="69"/>
      <c r="D643" s="4"/>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c r="AN643" s="69"/>
      <c r="AO643" s="69"/>
      <c r="AP643" s="69"/>
      <c r="AQ643" s="69"/>
      <c r="AR643" s="69"/>
      <c r="AS643" s="69"/>
      <c r="AT643" s="69"/>
      <c r="AU643" s="69"/>
      <c r="AV643" s="69"/>
    </row>
    <row r="644" ht="15.75" customHeight="1">
      <c r="A644" s="69"/>
      <c r="B644" s="69"/>
      <c r="C644" s="69"/>
      <c r="D644" s="4"/>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c r="AN644" s="69"/>
      <c r="AO644" s="69"/>
      <c r="AP644" s="69"/>
      <c r="AQ644" s="69"/>
      <c r="AR644" s="69"/>
      <c r="AS644" s="69"/>
      <c r="AT644" s="69"/>
      <c r="AU644" s="69"/>
      <c r="AV644" s="69"/>
    </row>
    <row r="645" ht="15.75" customHeight="1">
      <c r="A645" s="69"/>
      <c r="B645" s="69"/>
      <c r="C645" s="69"/>
      <c r="D645" s="4"/>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c r="AN645" s="69"/>
      <c r="AO645" s="69"/>
      <c r="AP645" s="69"/>
      <c r="AQ645" s="69"/>
      <c r="AR645" s="69"/>
      <c r="AS645" s="69"/>
      <c r="AT645" s="69"/>
      <c r="AU645" s="69"/>
      <c r="AV645" s="69"/>
    </row>
    <row r="646" ht="15.75" customHeight="1">
      <c r="A646" s="69"/>
      <c r="B646" s="69"/>
      <c r="C646" s="69"/>
      <c r="D646" s="4"/>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c r="AN646" s="69"/>
      <c r="AO646" s="69"/>
      <c r="AP646" s="69"/>
      <c r="AQ646" s="69"/>
      <c r="AR646" s="69"/>
      <c r="AS646" s="69"/>
      <c r="AT646" s="69"/>
      <c r="AU646" s="69"/>
      <c r="AV646" s="69"/>
    </row>
    <row r="647" ht="15.75" customHeight="1">
      <c r="A647" s="69"/>
      <c r="B647" s="69"/>
      <c r="C647" s="69"/>
      <c r="D647" s="4"/>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c r="AN647" s="69"/>
      <c r="AO647" s="69"/>
      <c r="AP647" s="69"/>
      <c r="AQ647" s="69"/>
      <c r="AR647" s="69"/>
      <c r="AS647" s="69"/>
      <c r="AT647" s="69"/>
      <c r="AU647" s="69"/>
      <c r="AV647" s="69"/>
    </row>
    <row r="648" ht="15.75" customHeight="1">
      <c r="A648" s="69"/>
      <c r="B648" s="69"/>
      <c r="C648" s="69"/>
      <c r="D648" s="4"/>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c r="AP648" s="69"/>
      <c r="AQ648" s="69"/>
      <c r="AR648" s="69"/>
      <c r="AS648" s="69"/>
      <c r="AT648" s="69"/>
      <c r="AU648" s="69"/>
      <c r="AV648" s="69"/>
    </row>
    <row r="649" ht="15.75" customHeight="1">
      <c r="A649" s="69"/>
      <c r="B649" s="69"/>
      <c r="C649" s="69"/>
      <c r="D649" s="4"/>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c r="AN649" s="69"/>
      <c r="AO649" s="69"/>
      <c r="AP649" s="69"/>
      <c r="AQ649" s="69"/>
      <c r="AR649" s="69"/>
      <c r="AS649" s="69"/>
      <c r="AT649" s="69"/>
      <c r="AU649" s="69"/>
      <c r="AV649" s="69"/>
    </row>
    <row r="650" ht="15.75" customHeight="1">
      <c r="A650" s="69"/>
      <c r="B650" s="69"/>
      <c r="C650" s="69"/>
      <c r="D650" s="4"/>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c r="AP650" s="69"/>
      <c r="AQ650" s="69"/>
      <c r="AR650" s="69"/>
      <c r="AS650" s="69"/>
      <c r="AT650" s="69"/>
      <c r="AU650" s="69"/>
      <c r="AV650" s="69"/>
    </row>
    <row r="651" ht="15.75" customHeight="1">
      <c r="A651" s="69"/>
      <c r="B651" s="69"/>
      <c r="C651" s="69"/>
      <c r="D651" s="4"/>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c r="AN651" s="69"/>
      <c r="AO651" s="69"/>
      <c r="AP651" s="69"/>
      <c r="AQ651" s="69"/>
      <c r="AR651" s="69"/>
      <c r="AS651" s="69"/>
      <c r="AT651" s="69"/>
      <c r="AU651" s="69"/>
      <c r="AV651" s="69"/>
    </row>
    <row r="652" ht="15.75" customHeight="1">
      <c r="A652" s="69"/>
      <c r="B652" s="69"/>
      <c r="C652" s="69"/>
      <c r="D652" s="4"/>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c r="AN652" s="69"/>
      <c r="AO652" s="69"/>
      <c r="AP652" s="69"/>
      <c r="AQ652" s="69"/>
      <c r="AR652" s="69"/>
      <c r="AS652" s="69"/>
      <c r="AT652" s="69"/>
      <c r="AU652" s="69"/>
      <c r="AV652" s="69"/>
    </row>
    <row r="653" ht="15.75" customHeight="1">
      <c r="A653" s="69"/>
      <c r="B653" s="69"/>
      <c r="C653" s="69"/>
      <c r="D653" s="4"/>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c r="AN653" s="69"/>
      <c r="AO653" s="69"/>
      <c r="AP653" s="69"/>
      <c r="AQ653" s="69"/>
      <c r="AR653" s="69"/>
      <c r="AS653" s="69"/>
      <c r="AT653" s="69"/>
      <c r="AU653" s="69"/>
      <c r="AV653" s="69"/>
    </row>
    <row r="654" ht="15.75" customHeight="1">
      <c r="A654" s="69"/>
      <c r="B654" s="69"/>
      <c r="C654" s="69"/>
      <c r="D654" s="4"/>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c r="AN654" s="69"/>
      <c r="AO654" s="69"/>
      <c r="AP654" s="69"/>
      <c r="AQ654" s="69"/>
      <c r="AR654" s="69"/>
      <c r="AS654" s="69"/>
      <c r="AT654" s="69"/>
      <c r="AU654" s="69"/>
      <c r="AV654" s="69"/>
    </row>
    <row r="655" ht="15.75" customHeight="1">
      <c r="A655" s="69"/>
      <c r="B655" s="69"/>
      <c r="C655" s="69"/>
      <c r="D655" s="4"/>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c r="AO655" s="69"/>
      <c r="AP655" s="69"/>
      <c r="AQ655" s="69"/>
      <c r="AR655" s="69"/>
      <c r="AS655" s="69"/>
      <c r="AT655" s="69"/>
      <c r="AU655" s="69"/>
      <c r="AV655" s="69"/>
    </row>
    <row r="656" ht="15.75" customHeight="1">
      <c r="A656" s="69"/>
      <c r="B656" s="69"/>
      <c r="C656" s="69"/>
      <c r="D656" s="4"/>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c r="AP656" s="69"/>
      <c r="AQ656" s="69"/>
      <c r="AR656" s="69"/>
      <c r="AS656" s="69"/>
      <c r="AT656" s="69"/>
      <c r="AU656" s="69"/>
      <c r="AV656" s="69"/>
    </row>
    <row r="657" ht="15.75" customHeight="1">
      <c r="A657" s="69"/>
      <c r="B657" s="69"/>
      <c r="C657" s="69"/>
      <c r="D657" s="4"/>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c r="AN657" s="69"/>
      <c r="AO657" s="69"/>
      <c r="AP657" s="69"/>
      <c r="AQ657" s="69"/>
      <c r="AR657" s="69"/>
      <c r="AS657" s="69"/>
      <c r="AT657" s="69"/>
      <c r="AU657" s="69"/>
      <c r="AV657" s="69"/>
    </row>
    <row r="658" ht="15.75" customHeight="1">
      <c r="A658" s="69"/>
      <c r="B658" s="69"/>
      <c r="C658" s="69"/>
      <c r="D658" s="4"/>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c r="AP658" s="69"/>
      <c r="AQ658" s="69"/>
      <c r="AR658" s="69"/>
      <c r="AS658" s="69"/>
      <c r="AT658" s="69"/>
      <c r="AU658" s="69"/>
      <c r="AV658" s="69"/>
    </row>
    <row r="659" ht="15.75" customHeight="1">
      <c r="A659" s="69"/>
      <c r="B659" s="69"/>
      <c r="C659" s="69"/>
      <c r="D659" s="4"/>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c r="AN659" s="69"/>
      <c r="AO659" s="69"/>
      <c r="AP659" s="69"/>
      <c r="AQ659" s="69"/>
      <c r="AR659" s="69"/>
      <c r="AS659" s="69"/>
      <c r="AT659" s="69"/>
      <c r="AU659" s="69"/>
      <c r="AV659" s="69"/>
    </row>
    <row r="660" ht="15.75" customHeight="1">
      <c r="A660" s="69"/>
      <c r="B660" s="69"/>
      <c r="C660" s="69"/>
      <c r="D660" s="4"/>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c r="AN660" s="69"/>
      <c r="AO660" s="69"/>
      <c r="AP660" s="69"/>
      <c r="AQ660" s="69"/>
      <c r="AR660" s="69"/>
      <c r="AS660" s="69"/>
      <c r="AT660" s="69"/>
      <c r="AU660" s="69"/>
      <c r="AV660" s="69"/>
    </row>
    <row r="661" ht="15.75" customHeight="1">
      <c r="A661" s="69"/>
      <c r="B661" s="69"/>
      <c r="C661" s="69"/>
      <c r="D661" s="4"/>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c r="AN661" s="69"/>
      <c r="AO661" s="69"/>
      <c r="AP661" s="69"/>
      <c r="AQ661" s="69"/>
      <c r="AR661" s="69"/>
      <c r="AS661" s="69"/>
      <c r="AT661" s="69"/>
      <c r="AU661" s="69"/>
      <c r="AV661" s="69"/>
    </row>
    <row r="662" ht="15.75" customHeight="1">
      <c r="A662" s="69"/>
      <c r="B662" s="69"/>
      <c r="C662" s="69"/>
      <c r="D662" s="4"/>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c r="AN662" s="69"/>
      <c r="AO662" s="69"/>
      <c r="AP662" s="69"/>
      <c r="AQ662" s="69"/>
      <c r="AR662" s="69"/>
      <c r="AS662" s="69"/>
      <c r="AT662" s="69"/>
      <c r="AU662" s="69"/>
      <c r="AV662" s="69"/>
    </row>
    <row r="663" ht="15.75" customHeight="1">
      <c r="A663" s="69"/>
      <c r="B663" s="69"/>
      <c r="C663" s="69"/>
      <c r="D663" s="4"/>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c r="AN663" s="69"/>
      <c r="AO663" s="69"/>
      <c r="AP663" s="69"/>
      <c r="AQ663" s="69"/>
      <c r="AR663" s="69"/>
      <c r="AS663" s="69"/>
      <c r="AT663" s="69"/>
      <c r="AU663" s="69"/>
      <c r="AV663" s="69"/>
    </row>
    <row r="664" ht="15.75" customHeight="1">
      <c r="A664" s="69"/>
      <c r="B664" s="69"/>
      <c r="C664" s="69"/>
      <c r="D664" s="4"/>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c r="AP664" s="69"/>
      <c r="AQ664" s="69"/>
      <c r="AR664" s="69"/>
      <c r="AS664" s="69"/>
      <c r="AT664" s="69"/>
      <c r="AU664" s="69"/>
      <c r="AV664" s="69"/>
    </row>
    <row r="665" ht="15.75" customHeight="1">
      <c r="A665" s="69"/>
      <c r="B665" s="69"/>
      <c r="C665" s="69"/>
      <c r="D665" s="4"/>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c r="AN665" s="69"/>
      <c r="AO665" s="69"/>
      <c r="AP665" s="69"/>
      <c r="AQ665" s="69"/>
      <c r="AR665" s="69"/>
      <c r="AS665" s="69"/>
      <c r="AT665" s="69"/>
      <c r="AU665" s="69"/>
      <c r="AV665" s="69"/>
    </row>
    <row r="666" ht="15.75" customHeight="1">
      <c r="A666" s="69"/>
      <c r="B666" s="69"/>
      <c r="C666" s="69"/>
      <c r="D666" s="4"/>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c r="AP666" s="69"/>
      <c r="AQ666" s="69"/>
      <c r="AR666" s="69"/>
      <c r="AS666" s="69"/>
      <c r="AT666" s="69"/>
      <c r="AU666" s="69"/>
      <c r="AV666" s="69"/>
    </row>
    <row r="667" ht="15.75" customHeight="1">
      <c r="A667" s="69"/>
      <c r="B667" s="69"/>
      <c r="C667" s="69"/>
      <c r="D667" s="4"/>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c r="AN667" s="69"/>
      <c r="AO667" s="69"/>
      <c r="AP667" s="69"/>
      <c r="AQ667" s="69"/>
      <c r="AR667" s="69"/>
      <c r="AS667" s="69"/>
      <c r="AT667" s="69"/>
      <c r="AU667" s="69"/>
      <c r="AV667" s="69"/>
    </row>
    <row r="668" ht="15.75" customHeight="1">
      <c r="A668" s="69"/>
      <c r="B668" s="69"/>
      <c r="C668" s="69"/>
      <c r="D668" s="4"/>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c r="AN668" s="69"/>
      <c r="AO668" s="69"/>
      <c r="AP668" s="69"/>
      <c r="AQ668" s="69"/>
      <c r="AR668" s="69"/>
      <c r="AS668" s="69"/>
      <c r="AT668" s="69"/>
      <c r="AU668" s="69"/>
      <c r="AV668" s="69"/>
    </row>
    <row r="669" ht="15.75" customHeight="1">
      <c r="A669" s="69"/>
      <c r="B669" s="69"/>
      <c r="C669" s="69"/>
      <c r="D669" s="4"/>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row>
    <row r="670" ht="15.75" customHeight="1">
      <c r="A670" s="69"/>
      <c r="B670" s="69"/>
      <c r="C670" s="69"/>
      <c r="D670" s="4"/>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c r="AN670" s="69"/>
      <c r="AO670" s="69"/>
      <c r="AP670" s="69"/>
      <c r="AQ670" s="69"/>
      <c r="AR670" s="69"/>
      <c r="AS670" s="69"/>
      <c r="AT670" s="69"/>
      <c r="AU670" s="69"/>
      <c r="AV670" s="69"/>
    </row>
    <row r="671" ht="15.75" customHeight="1">
      <c r="A671" s="69"/>
      <c r="B671" s="69"/>
      <c r="C671" s="69"/>
      <c r="D671" s="4"/>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c r="AN671" s="69"/>
      <c r="AO671" s="69"/>
      <c r="AP671" s="69"/>
      <c r="AQ671" s="69"/>
      <c r="AR671" s="69"/>
      <c r="AS671" s="69"/>
      <c r="AT671" s="69"/>
      <c r="AU671" s="69"/>
      <c r="AV671" s="69"/>
    </row>
    <row r="672" ht="15.75" customHeight="1">
      <c r="A672" s="69"/>
      <c r="B672" s="69"/>
      <c r="C672" s="69"/>
      <c r="D672" s="4"/>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c r="AP672" s="69"/>
      <c r="AQ672" s="69"/>
      <c r="AR672" s="69"/>
      <c r="AS672" s="69"/>
      <c r="AT672" s="69"/>
      <c r="AU672" s="69"/>
      <c r="AV672" s="69"/>
    </row>
    <row r="673" ht="15.75" customHeight="1">
      <c r="A673" s="69"/>
      <c r="B673" s="69"/>
      <c r="C673" s="69"/>
      <c r="D673" s="4"/>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c r="AN673" s="69"/>
      <c r="AO673" s="69"/>
      <c r="AP673" s="69"/>
      <c r="AQ673" s="69"/>
      <c r="AR673" s="69"/>
      <c r="AS673" s="69"/>
      <c r="AT673" s="69"/>
      <c r="AU673" s="69"/>
      <c r="AV673" s="69"/>
    </row>
    <row r="674" ht="15.75" customHeight="1">
      <c r="A674" s="69"/>
      <c r="B674" s="69"/>
      <c r="C674" s="69"/>
      <c r="D674" s="4"/>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c r="AP674" s="69"/>
      <c r="AQ674" s="69"/>
      <c r="AR674" s="69"/>
      <c r="AS674" s="69"/>
      <c r="AT674" s="69"/>
      <c r="AU674" s="69"/>
      <c r="AV674" s="69"/>
    </row>
    <row r="675" ht="15.75" customHeight="1">
      <c r="A675" s="69"/>
      <c r="B675" s="69"/>
      <c r="C675" s="69"/>
      <c r="D675" s="4"/>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c r="AN675" s="69"/>
      <c r="AO675" s="69"/>
      <c r="AP675" s="69"/>
      <c r="AQ675" s="69"/>
      <c r="AR675" s="69"/>
      <c r="AS675" s="69"/>
      <c r="AT675" s="69"/>
      <c r="AU675" s="69"/>
      <c r="AV675" s="69"/>
    </row>
    <row r="676" ht="15.75" customHeight="1">
      <c r="A676" s="69"/>
      <c r="B676" s="69"/>
      <c r="C676" s="69"/>
      <c r="D676" s="4"/>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c r="AN676" s="69"/>
      <c r="AO676" s="69"/>
      <c r="AP676" s="69"/>
      <c r="AQ676" s="69"/>
      <c r="AR676" s="69"/>
      <c r="AS676" s="69"/>
      <c r="AT676" s="69"/>
      <c r="AU676" s="69"/>
      <c r="AV676" s="69"/>
    </row>
    <row r="677" ht="15.75" customHeight="1">
      <c r="A677" s="69"/>
      <c r="B677" s="69"/>
      <c r="C677" s="69"/>
      <c r="D677" s="4"/>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row>
    <row r="678" ht="15.75" customHeight="1">
      <c r="A678" s="69"/>
      <c r="B678" s="69"/>
      <c r="C678" s="69"/>
      <c r="D678" s="4"/>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c r="AN678" s="69"/>
      <c r="AO678" s="69"/>
      <c r="AP678" s="69"/>
      <c r="AQ678" s="69"/>
      <c r="AR678" s="69"/>
      <c r="AS678" s="69"/>
      <c r="AT678" s="69"/>
      <c r="AU678" s="69"/>
      <c r="AV678" s="69"/>
    </row>
    <row r="679" ht="15.75" customHeight="1">
      <c r="A679" s="69"/>
      <c r="B679" s="69"/>
      <c r="C679" s="69"/>
      <c r="D679" s="4"/>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c r="AN679" s="69"/>
      <c r="AO679" s="69"/>
      <c r="AP679" s="69"/>
      <c r="AQ679" s="69"/>
      <c r="AR679" s="69"/>
      <c r="AS679" s="69"/>
      <c r="AT679" s="69"/>
      <c r="AU679" s="69"/>
      <c r="AV679" s="69"/>
    </row>
    <row r="680" ht="15.75" customHeight="1">
      <c r="A680" s="69"/>
      <c r="B680" s="69"/>
      <c r="C680" s="69"/>
      <c r="D680" s="4"/>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c r="AP680" s="69"/>
      <c r="AQ680" s="69"/>
      <c r="AR680" s="69"/>
      <c r="AS680" s="69"/>
      <c r="AT680" s="69"/>
      <c r="AU680" s="69"/>
      <c r="AV680" s="69"/>
    </row>
    <row r="681" ht="15.75" customHeight="1">
      <c r="A681" s="69"/>
      <c r="B681" s="69"/>
      <c r="C681" s="69"/>
      <c r="D681" s="4"/>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c r="AN681" s="69"/>
      <c r="AO681" s="69"/>
      <c r="AP681" s="69"/>
      <c r="AQ681" s="69"/>
      <c r="AR681" s="69"/>
      <c r="AS681" s="69"/>
      <c r="AT681" s="69"/>
      <c r="AU681" s="69"/>
      <c r="AV681" s="69"/>
    </row>
    <row r="682" ht="15.75" customHeight="1">
      <c r="A682" s="69"/>
      <c r="B682" s="69"/>
      <c r="C682" s="69"/>
      <c r="D682" s="4"/>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c r="AP682" s="69"/>
      <c r="AQ682" s="69"/>
      <c r="AR682" s="69"/>
      <c r="AS682" s="69"/>
      <c r="AT682" s="69"/>
      <c r="AU682" s="69"/>
      <c r="AV682" s="69"/>
    </row>
    <row r="683" ht="15.75" customHeight="1">
      <c r="A683" s="69"/>
      <c r="B683" s="69"/>
      <c r="C683" s="69"/>
      <c r="D683" s="4"/>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c r="AN683" s="69"/>
      <c r="AO683" s="69"/>
      <c r="AP683" s="69"/>
      <c r="AQ683" s="69"/>
      <c r="AR683" s="69"/>
      <c r="AS683" s="69"/>
      <c r="AT683" s="69"/>
      <c r="AU683" s="69"/>
      <c r="AV683" s="69"/>
    </row>
    <row r="684" ht="15.75" customHeight="1">
      <c r="A684" s="69"/>
      <c r="B684" s="69"/>
      <c r="C684" s="69"/>
      <c r="D684" s="4"/>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c r="AN684" s="69"/>
      <c r="AO684" s="69"/>
      <c r="AP684" s="69"/>
      <c r="AQ684" s="69"/>
      <c r="AR684" s="69"/>
      <c r="AS684" s="69"/>
      <c r="AT684" s="69"/>
      <c r="AU684" s="69"/>
      <c r="AV684" s="69"/>
    </row>
    <row r="685" ht="15.75" customHeight="1">
      <c r="A685" s="69"/>
      <c r="B685" s="69"/>
      <c r="C685" s="69"/>
      <c r="D685" s="4"/>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c r="AN685" s="69"/>
      <c r="AO685" s="69"/>
      <c r="AP685" s="69"/>
      <c r="AQ685" s="69"/>
      <c r="AR685" s="69"/>
      <c r="AS685" s="69"/>
      <c r="AT685" s="69"/>
      <c r="AU685" s="69"/>
      <c r="AV685" s="69"/>
    </row>
    <row r="686" ht="15.75" customHeight="1">
      <c r="A686" s="69"/>
      <c r="B686" s="69"/>
      <c r="C686" s="69"/>
      <c r="D686" s="4"/>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c r="AN686" s="69"/>
      <c r="AO686" s="69"/>
      <c r="AP686" s="69"/>
      <c r="AQ686" s="69"/>
      <c r="AR686" s="69"/>
      <c r="AS686" s="69"/>
      <c r="AT686" s="69"/>
      <c r="AU686" s="69"/>
      <c r="AV686" s="69"/>
    </row>
    <row r="687" ht="15.75" customHeight="1">
      <c r="A687" s="69"/>
      <c r="B687" s="69"/>
      <c r="C687" s="69"/>
      <c r="D687" s="4"/>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c r="AN687" s="69"/>
      <c r="AO687" s="69"/>
      <c r="AP687" s="69"/>
      <c r="AQ687" s="69"/>
      <c r="AR687" s="69"/>
      <c r="AS687" s="69"/>
      <c r="AT687" s="69"/>
      <c r="AU687" s="69"/>
      <c r="AV687" s="69"/>
    </row>
    <row r="688" ht="15.75" customHeight="1">
      <c r="A688" s="69"/>
      <c r="B688" s="69"/>
      <c r="C688" s="69"/>
      <c r="D688" s="4"/>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c r="AP688" s="69"/>
      <c r="AQ688" s="69"/>
      <c r="AR688" s="69"/>
      <c r="AS688" s="69"/>
      <c r="AT688" s="69"/>
      <c r="AU688" s="69"/>
      <c r="AV688" s="69"/>
    </row>
    <row r="689" ht="15.75" customHeight="1">
      <c r="A689" s="69"/>
      <c r="B689" s="69"/>
      <c r="C689" s="69"/>
      <c r="D689" s="4"/>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c r="AN689" s="69"/>
      <c r="AO689" s="69"/>
      <c r="AP689" s="69"/>
      <c r="AQ689" s="69"/>
      <c r="AR689" s="69"/>
      <c r="AS689" s="69"/>
      <c r="AT689" s="69"/>
      <c r="AU689" s="69"/>
      <c r="AV689" s="69"/>
    </row>
    <row r="690" ht="15.75" customHeight="1">
      <c r="A690" s="69"/>
      <c r="B690" s="69"/>
      <c r="C690" s="69"/>
      <c r="D690" s="4"/>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c r="AP690" s="69"/>
      <c r="AQ690" s="69"/>
      <c r="AR690" s="69"/>
      <c r="AS690" s="69"/>
      <c r="AT690" s="69"/>
      <c r="AU690" s="69"/>
      <c r="AV690" s="69"/>
    </row>
    <row r="691" ht="15.75" customHeight="1">
      <c r="A691" s="69"/>
      <c r="B691" s="69"/>
      <c r="C691" s="69"/>
      <c r="D691" s="4"/>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c r="AN691" s="69"/>
      <c r="AO691" s="69"/>
      <c r="AP691" s="69"/>
      <c r="AQ691" s="69"/>
      <c r="AR691" s="69"/>
      <c r="AS691" s="69"/>
      <c r="AT691" s="69"/>
      <c r="AU691" s="69"/>
      <c r="AV691" s="69"/>
    </row>
    <row r="692" ht="15.75" customHeight="1">
      <c r="A692" s="69"/>
      <c r="B692" s="69"/>
      <c r="C692" s="69"/>
      <c r="D692" s="4"/>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c r="AN692" s="69"/>
      <c r="AO692" s="69"/>
      <c r="AP692" s="69"/>
      <c r="AQ692" s="69"/>
      <c r="AR692" s="69"/>
      <c r="AS692" s="69"/>
      <c r="AT692" s="69"/>
      <c r="AU692" s="69"/>
      <c r="AV692" s="69"/>
    </row>
    <row r="693" ht="15.75" customHeight="1">
      <c r="A693" s="69"/>
      <c r="B693" s="69"/>
      <c r="C693" s="69"/>
      <c r="D693" s="4"/>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c r="AN693" s="69"/>
      <c r="AO693" s="69"/>
      <c r="AP693" s="69"/>
      <c r="AQ693" s="69"/>
      <c r="AR693" s="69"/>
      <c r="AS693" s="69"/>
      <c r="AT693" s="69"/>
      <c r="AU693" s="69"/>
      <c r="AV693" s="69"/>
    </row>
    <row r="694" ht="15.75" customHeight="1">
      <c r="A694" s="69"/>
      <c r="B694" s="69"/>
      <c r="C694" s="69"/>
      <c r="D694" s="4"/>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c r="AP694" s="69"/>
      <c r="AQ694" s="69"/>
      <c r="AR694" s="69"/>
      <c r="AS694" s="69"/>
      <c r="AT694" s="69"/>
      <c r="AU694" s="69"/>
      <c r="AV694" s="69"/>
    </row>
    <row r="695" ht="15.75" customHeight="1">
      <c r="A695" s="69"/>
      <c r="B695" s="69"/>
      <c r="C695" s="69"/>
      <c r="D695" s="4"/>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c r="AN695" s="69"/>
      <c r="AO695" s="69"/>
      <c r="AP695" s="69"/>
      <c r="AQ695" s="69"/>
      <c r="AR695" s="69"/>
      <c r="AS695" s="69"/>
      <c r="AT695" s="69"/>
      <c r="AU695" s="69"/>
      <c r="AV695" s="69"/>
    </row>
    <row r="696" ht="15.75" customHeight="1">
      <c r="A696" s="69"/>
      <c r="B696" s="69"/>
      <c r="C696" s="69"/>
      <c r="D696" s="4"/>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c r="AP696" s="69"/>
      <c r="AQ696" s="69"/>
      <c r="AR696" s="69"/>
      <c r="AS696" s="69"/>
      <c r="AT696" s="69"/>
      <c r="AU696" s="69"/>
      <c r="AV696" s="69"/>
    </row>
    <row r="697" ht="15.75" customHeight="1">
      <c r="A697" s="69"/>
      <c r="B697" s="69"/>
      <c r="C697" s="69"/>
      <c r="D697" s="4"/>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c r="AN697" s="69"/>
      <c r="AO697" s="69"/>
      <c r="AP697" s="69"/>
      <c r="AQ697" s="69"/>
      <c r="AR697" s="69"/>
      <c r="AS697" s="69"/>
      <c r="AT697" s="69"/>
      <c r="AU697" s="69"/>
      <c r="AV697" s="69"/>
    </row>
    <row r="698" ht="15.75" customHeight="1">
      <c r="A698" s="69"/>
      <c r="B698" s="69"/>
      <c r="C698" s="69"/>
      <c r="D698" s="4"/>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c r="AN698" s="69"/>
      <c r="AO698" s="69"/>
      <c r="AP698" s="69"/>
      <c r="AQ698" s="69"/>
      <c r="AR698" s="69"/>
      <c r="AS698" s="69"/>
      <c r="AT698" s="69"/>
      <c r="AU698" s="69"/>
      <c r="AV698" s="69"/>
    </row>
    <row r="699" ht="15.75" customHeight="1">
      <c r="A699" s="69"/>
      <c r="B699" s="69"/>
      <c r="C699" s="69"/>
      <c r="D699" s="4"/>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c r="AN699" s="69"/>
      <c r="AO699" s="69"/>
      <c r="AP699" s="69"/>
      <c r="AQ699" s="69"/>
      <c r="AR699" s="69"/>
      <c r="AS699" s="69"/>
      <c r="AT699" s="69"/>
      <c r="AU699" s="69"/>
      <c r="AV699" s="69"/>
    </row>
    <row r="700" ht="15.75" customHeight="1">
      <c r="A700" s="69"/>
      <c r="B700" s="69"/>
      <c r="C700" s="69"/>
      <c r="D700" s="4"/>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c r="AN700" s="69"/>
      <c r="AO700" s="69"/>
      <c r="AP700" s="69"/>
      <c r="AQ700" s="69"/>
      <c r="AR700" s="69"/>
      <c r="AS700" s="69"/>
      <c r="AT700" s="69"/>
      <c r="AU700" s="69"/>
      <c r="AV700" s="69"/>
    </row>
    <row r="701" ht="15.75" customHeight="1">
      <c r="A701" s="69"/>
      <c r="B701" s="69"/>
      <c r="C701" s="69"/>
      <c r="D701" s="4"/>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c r="AN701" s="69"/>
      <c r="AO701" s="69"/>
      <c r="AP701" s="69"/>
      <c r="AQ701" s="69"/>
      <c r="AR701" s="69"/>
      <c r="AS701" s="69"/>
      <c r="AT701" s="69"/>
      <c r="AU701" s="69"/>
      <c r="AV701" s="69"/>
    </row>
    <row r="702" ht="15.75" customHeight="1">
      <c r="A702" s="69"/>
      <c r="B702" s="69"/>
      <c r="C702" s="69"/>
      <c r="D702" s="4"/>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c r="AP702" s="69"/>
      <c r="AQ702" s="69"/>
      <c r="AR702" s="69"/>
      <c r="AS702" s="69"/>
      <c r="AT702" s="69"/>
      <c r="AU702" s="69"/>
      <c r="AV702" s="69"/>
    </row>
    <row r="703" ht="15.75" customHeight="1">
      <c r="A703" s="69"/>
      <c r="B703" s="69"/>
      <c r="C703" s="69"/>
      <c r="D703" s="4"/>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c r="AN703" s="69"/>
      <c r="AO703" s="69"/>
      <c r="AP703" s="69"/>
      <c r="AQ703" s="69"/>
      <c r="AR703" s="69"/>
      <c r="AS703" s="69"/>
      <c r="AT703" s="69"/>
      <c r="AU703" s="69"/>
      <c r="AV703" s="69"/>
    </row>
    <row r="704" ht="15.75" customHeight="1">
      <c r="A704" s="69"/>
      <c r="B704" s="69"/>
      <c r="C704" s="69"/>
      <c r="D704" s="4"/>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c r="AP704" s="69"/>
      <c r="AQ704" s="69"/>
      <c r="AR704" s="69"/>
      <c r="AS704" s="69"/>
      <c r="AT704" s="69"/>
      <c r="AU704" s="69"/>
      <c r="AV704" s="69"/>
    </row>
    <row r="705" ht="15.75" customHeight="1">
      <c r="A705" s="69"/>
      <c r="B705" s="69"/>
      <c r="C705" s="69"/>
      <c r="D705" s="4"/>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c r="AN705" s="69"/>
      <c r="AO705" s="69"/>
      <c r="AP705" s="69"/>
      <c r="AQ705" s="69"/>
      <c r="AR705" s="69"/>
      <c r="AS705" s="69"/>
      <c r="AT705" s="69"/>
      <c r="AU705" s="69"/>
      <c r="AV705" s="69"/>
    </row>
    <row r="706" ht="15.75" customHeight="1">
      <c r="A706" s="69"/>
      <c r="B706" s="69"/>
      <c r="C706" s="69"/>
      <c r="D706" s="4"/>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c r="AN706" s="69"/>
      <c r="AO706" s="69"/>
      <c r="AP706" s="69"/>
      <c r="AQ706" s="69"/>
      <c r="AR706" s="69"/>
      <c r="AS706" s="69"/>
      <c r="AT706" s="69"/>
      <c r="AU706" s="69"/>
      <c r="AV706" s="69"/>
    </row>
    <row r="707" ht="15.75" customHeight="1">
      <c r="A707" s="69"/>
      <c r="B707" s="69"/>
      <c r="C707" s="69"/>
      <c r="D707" s="4"/>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c r="AN707" s="69"/>
      <c r="AO707" s="69"/>
      <c r="AP707" s="69"/>
      <c r="AQ707" s="69"/>
      <c r="AR707" s="69"/>
      <c r="AS707" s="69"/>
      <c r="AT707" s="69"/>
      <c r="AU707" s="69"/>
      <c r="AV707" s="69"/>
    </row>
    <row r="708" ht="15.75" customHeight="1">
      <c r="A708" s="69"/>
      <c r="B708" s="69"/>
      <c r="C708" s="69"/>
      <c r="D708" s="4"/>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c r="AN708" s="69"/>
      <c r="AO708" s="69"/>
      <c r="AP708" s="69"/>
      <c r="AQ708" s="69"/>
      <c r="AR708" s="69"/>
      <c r="AS708" s="69"/>
      <c r="AT708" s="69"/>
      <c r="AU708" s="69"/>
      <c r="AV708" s="69"/>
    </row>
    <row r="709" ht="15.75" customHeight="1">
      <c r="A709" s="69"/>
      <c r="B709" s="69"/>
      <c r="C709" s="69"/>
      <c r="D709" s="4"/>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c r="AN709" s="69"/>
      <c r="AO709" s="69"/>
      <c r="AP709" s="69"/>
      <c r="AQ709" s="69"/>
      <c r="AR709" s="69"/>
      <c r="AS709" s="69"/>
      <c r="AT709" s="69"/>
      <c r="AU709" s="69"/>
      <c r="AV709" s="69"/>
    </row>
    <row r="710" ht="15.75" customHeight="1">
      <c r="A710" s="69"/>
      <c r="B710" s="69"/>
      <c r="C710" s="69"/>
      <c r="D710" s="4"/>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c r="AP710" s="69"/>
      <c r="AQ710" s="69"/>
      <c r="AR710" s="69"/>
      <c r="AS710" s="69"/>
      <c r="AT710" s="69"/>
      <c r="AU710" s="69"/>
      <c r="AV710" s="69"/>
    </row>
    <row r="711" ht="15.75" customHeight="1">
      <c r="A711" s="69"/>
      <c r="B711" s="69"/>
      <c r="C711" s="69"/>
      <c r="D711" s="4"/>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c r="AN711" s="69"/>
      <c r="AO711" s="69"/>
      <c r="AP711" s="69"/>
      <c r="AQ711" s="69"/>
      <c r="AR711" s="69"/>
      <c r="AS711" s="69"/>
      <c r="AT711" s="69"/>
      <c r="AU711" s="69"/>
      <c r="AV711" s="69"/>
    </row>
    <row r="712" ht="15.75" customHeight="1">
      <c r="A712" s="69"/>
      <c r="B712" s="69"/>
      <c r="C712" s="69"/>
      <c r="D712" s="4"/>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c r="AP712" s="69"/>
      <c r="AQ712" s="69"/>
      <c r="AR712" s="69"/>
      <c r="AS712" s="69"/>
      <c r="AT712" s="69"/>
      <c r="AU712" s="69"/>
      <c r="AV712" s="69"/>
    </row>
    <row r="713" ht="15.75" customHeight="1">
      <c r="A713" s="69"/>
      <c r="B713" s="69"/>
      <c r="C713" s="69"/>
      <c r="D713" s="4"/>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c r="AN713" s="69"/>
      <c r="AO713" s="69"/>
      <c r="AP713" s="69"/>
      <c r="AQ713" s="69"/>
      <c r="AR713" s="69"/>
      <c r="AS713" s="69"/>
      <c r="AT713" s="69"/>
      <c r="AU713" s="69"/>
      <c r="AV713" s="69"/>
    </row>
    <row r="714" ht="15.75" customHeight="1">
      <c r="A714" s="69"/>
      <c r="B714" s="69"/>
      <c r="C714" s="69"/>
      <c r="D714" s="4"/>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c r="AN714" s="69"/>
      <c r="AO714" s="69"/>
      <c r="AP714" s="69"/>
      <c r="AQ714" s="69"/>
      <c r="AR714" s="69"/>
      <c r="AS714" s="69"/>
      <c r="AT714" s="69"/>
      <c r="AU714" s="69"/>
      <c r="AV714" s="69"/>
    </row>
    <row r="715" ht="15.75" customHeight="1">
      <c r="A715" s="69"/>
      <c r="B715" s="69"/>
      <c r="C715" s="69"/>
      <c r="D715" s="4"/>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c r="AN715" s="69"/>
      <c r="AO715" s="69"/>
      <c r="AP715" s="69"/>
      <c r="AQ715" s="69"/>
      <c r="AR715" s="69"/>
      <c r="AS715" s="69"/>
      <c r="AT715" s="69"/>
      <c r="AU715" s="69"/>
      <c r="AV715" s="69"/>
    </row>
    <row r="716" ht="15.75" customHeight="1">
      <c r="A716" s="69"/>
      <c r="B716" s="69"/>
      <c r="C716" s="69"/>
      <c r="D716" s="4"/>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c r="AN716" s="69"/>
      <c r="AO716" s="69"/>
      <c r="AP716" s="69"/>
      <c r="AQ716" s="69"/>
      <c r="AR716" s="69"/>
      <c r="AS716" s="69"/>
      <c r="AT716" s="69"/>
      <c r="AU716" s="69"/>
      <c r="AV716" s="69"/>
    </row>
    <row r="717" ht="15.75" customHeight="1">
      <c r="A717" s="69"/>
      <c r="B717" s="69"/>
      <c r="C717" s="69"/>
      <c r="D717" s="4"/>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c r="AN717" s="69"/>
      <c r="AO717" s="69"/>
      <c r="AP717" s="69"/>
      <c r="AQ717" s="69"/>
      <c r="AR717" s="69"/>
      <c r="AS717" s="69"/>
      <c r="AT717" s="69"/>
      <c r="AU717" s="69"/>
      <c r="AV717" s="69"/>
    </row>
    <row r="718" ht="15.75" customHeight="1">
      <c r="A718" s="69"/>
      <c r="B718" s="69"/>
      <c r="C718" s="69"/>
      <c r="D718" s="4"/>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c r="AP718" s="69"/>
      <c r="AQ718" s="69"/>
      <c r="AR718" s="69"/>
      <c r="AS718" s="69"/>
      <c r="AT718" s="69"/>
      <c r="AU718" s="69"/>
      <c r="AV718" s="69"/>
    </row>
    <row r="719" ht="15.75" customHeight="1">
      <c r="A719" s="69"/>
      <c r="B719" s="69"/>
      <c r="C719" s="69"/>
      <c r="D719" s="4"/>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c r="AN719" s="69"/>
      <c r="AO719" s="69"/>
      <c r="AP719" s="69"/>
      <c r="AQ719" s="69"/>
      <c r="AR719" s="69"/>
      <c r="AS719" s="69"/>
      <c r="AT719" s="69"/>
      <c r="AU719" s="69"/>
      <c r="AV719" s="69"/>
    </row>
    <row r="720" ht="15.75" customHeight="1">
      <c r="A720" s="69"/>
      <c r="B720" s="69"/>
      <c r="C720" s="69"/>
      <c r="D720" s="4"/>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c r="AP720" s="69"/>
      <c r="AQ720" s="69"/>
      <c r="AR720" s="69"/>
      <c r="AS720" s="69"/>
      <c r="AT720" s="69"/>
      <c r="AU720" s="69"/>
      <c r="AV720" s="69"/>
    </row>
    <row r="721" ht="15.75" customHeight="1">
      <c r="A721" s="69"/>
      <c r="B721" s="69"/>
      <c r="C721" s="69"/>
      <c r="D721" s="4"/>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c r="AN721" s="69"/>
      <c r="AO721" s="69"/>
      <c r="AP721" s="69"/>
      <c r="AQ721" s="69"/>
      <c r="AR721" s="69"/>
      <c r="AS721" s="69"/>
      <c r="AT721" s="69"/>
      <c r="AU721" s="69"/>
      <c r="AV721" s="69"/>
    </row>
    <row r="722" ht="15.75" customHeight="1">
      <c r="A722" s="69"/>
      <c r="B722" s="69"/>
      <c r="C722" s="69"/>
      <c r="D722" s="4"/>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c r="AN722" s="69"/>
      <c r="AO722" s="69"/>
      <c r="AP722" s="69"/>
      <c r="AQ722" s="69"/>
      <c r="AR722" s="69"/>
      <c r="AS722" s="69"/>
      <c r="AT722" s="69"/>
      <c r="AU722" s="69"/>
      <c r="AV722" s="69"/>
    </row>
    <row r="723" ht="15.75" customHeight="1">
      <c r="A723" s="69"/>
      <c r="B723" s="69"/>
      <c r="C723" s="69"/>
      <c r="D723" s="4"/>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row>
    <row r="724" ht="15.75" customHeight="1">
      <c r="A724" s="69"/>
      <c r="B724" s="69"/>
      <c r="C724" s="69"/>
      <c r="D724" s="4"/>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c r="AN724" s="69"/>
      <c r="AO724" s="69"/>
      <c r="AP724" s="69"/>
      <c r="AQ724" s="69"/>
      <c r="AR724" s="69"/>
      <c r="AS724" s="69"/>
      <c r="AT724" s="69"/>
      <c r="AU724" s="69"/>
      <c r="AV724" s="69"/>
    </row>
    <row r="725" ht="15.75" customHeight="1">
      <c r="A725" s="69"/>
      <c r="B725" s="69"/>
      <c r="C725" s="69"/>
      <c r="D725" s="4"/>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c r="AN725" s="69"/>
      <c r="AO725" s="69"/>
      <c r="AP725" s="69"/>
      <c r="AQ725" s="69"/>
      <c r="AR725" s="69"/>
      <c r="AS725" s="69"/>
      <c r="AT725" s="69"/>
      <c r="AU725" s="69"/>
      <c r="AV725" s="69"/>
    </row>
    <row r="726" ht="15.75" customHeight="1">
      <c r="A726" s="69"/>
      <c r="B726" s="69"/>
      <c r="C726" s="69"/>
      <c r="D726" s="4"/>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c r="AP726" s="69"/>
      <c r="AQ726" s="69"/>
      <c r="AR726" s="69"/>
      <c r="AS726" s="69"/>
      <c r="AT726" s="69"/>
      <c r="AU726" s="69"/>
      <c r="AV726" s="69"/>
    </row>
    <row r="727" ht="15.75" customHeight="1">
      <c r="A727" s="69"/>
      <c r="B727" s="69"/>
      <c r="C727" s="69"/>
      <c r="D727" s="4"/>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c r="AN727" s="69"/>
      <c r="AO727" s="69"/>
      <c r="AP727" s="69"/>
      <c r="AQ727" s="69"/>
      <c r="AR727" s="69"/>
      <c r="AS727" s="69"/>
      <c r="AT727" s="69"/>
      <c r="AU727" s="69"/>
      <c r="AV727" s="69"/>
    </row>
    <row r="728" ht="15.75" customHeight="1">
      <c r="A728" s="69"/>
      <c r="B728" s="69"/>
      <c r="C728" s="69"/>
      <c r="D728" s="4"/>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c r="AP728" s="69"/>
      <c r="AQ728" s="69"/>
      <c r="AR728" s="69"/>
      <c r="AS728" s="69"/>
      <c r="AT728" s="69"/>
      <c r="AU728" s="69"/>
      <c r="AV728" s="69"/>
    </row>
    <row r="729" ht="15.75" customHeight="1">
      <c r="A729" s="69"/>
      <c r="B729" s="69"/>
      <c r="C729" s="69"/>
      <c r="D729" s="4"/>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c r="AN729" s="69"/>
      <c r="AO729" s="69"/>
      <c r="AP729" s="69"/>
      <c r="AQ729" s="69"/>
      <c r="AR729" s="69"/>
      <c r="AS729" s="69"/>
      <c r="AT729" s="69"/>
      <c r="AU729" s="69"/>
      <c r="AV729" s="69"/>
    </row>
    <row r="730" ht="15.75" customHeight="1">
      <c r="A730" s="69"/>
      <c r="B730" s="69"/>
      <c r="C730" s="69"/>
      <c r="D730" s="4"/>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c r="AN730" s="69"/>
      <c r="AO730" s="69"/>
      <c r="AP730" s="69"/>
      <c r="AQ730" s="69"/>
      <c r="AR730" s="69"/>
      <c r="AS730" s="69"/>
      <c r="AT730" s="69"/>
      <c r="AU730" s="69"/>
      <c r="AV730" s="69"/>
    </row>
    <row r="731" ht="15.75" customHeight="1">
      <c r="A731" s="69"/>
      <c r="B731" s="69"/>
      <c r="C731" s="69"/>
      <c r="D731" s="4"/>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c r="AN731" s="69"/>
      <c r="AO731" s="69"/>
      <c r="AP731" s="69"/>
      <c r="AQ731" s="69"/>
      <c r="AR731" s="69"/>
      <c r="AS731" s="69"/>
      <c r="AT731" s="69"/>
      <c r="AU731" s="69"/>
      <c r="AV731" s="69"/>
    </row>
    <row r="732" ht="15.75" customHeight="1">
      <c r="A732" s="69"/>
      <c r="B732" s="69"/>
      <c r="C732" s="69"/>
      <c r="D732" s="4"/>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c r="AN732" s="69"/>
      <c r="AO732" s="69"/>
      <c r="AP732" s="69"/>
      <c r="AQ732" s="69"/>
      <c r="AR732" s="69"/>
      <c r="AS732" s="69"/>
      <c r="AT732" s="69"/>
      <c r="AU732" s="69"/>
      <c r="AV732" s="69"/>
    </row>
    <row r="733" ht="15.75" customHeight="1">
      <c r="A733" s="69"/>
      <c r="B733" s="69"/>
      <c r="C733" s="69"/>
      <c r="D733" s="4"/>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c r="AN733" s="69"/>
      <c r="AO733" s="69"/>
      <c r="AP733" s="69"/>
      <c r="AQ733" s="69"/>
      <c r="AR733" s="69"/>
      <c r="AS733" s="69"/>
      <c r="AT733" s="69"/>
      <c r="AU733" s="69"/>
      <c r="AV733" s="69"/>
    </row>
    <row r="734" ht="15.75" customHeight="1">
      <c r="A734" s="69"/>
      <c r="B734" s="69"/>
      <c r="C734" s="69"/>
      <c r="D734" s="4"/>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c r="AP734" s="69"/>
      <c r="AQ734" s="69"/>
      <c r="AR734" s="69"/>
      <c r="AS734" s="69"/>
      <c r="AT734" s="69"/>
      <c r="AU734" s="69"/>
      <c r="AV734" s="69"/>
    </row>
    <row r="735" ht="15.75" customHeight="1">
      <c r="A735" s="69"/>
      <c r="B735" s="69"/>
      <c r="C735" s="69"/>
      <c r="D735" s="4"/>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c r="AP735" s="69"/>
      <c r="AQ735" s="69"/>
      <c r="AR735" s="69"/>
      <c r="AS735" s="69"/>
      <c r="AT735" s="69"/>
      <c r="AU735" s="69"/>
      <c r="AV735" s="69"/>
    </row>
    <row r="736" ht="15.75" customHeight="1">
      <c r="A736" s="69"/>
      <c r="B736" s="69"/>
      <c r="C736" s="69"/>
      <c r="D736" s="4"/>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c r="AV736" s="69"/>
    </row>
    <row r="737" ht="15.75" customHeight="1">
      <c r="A737" s="69"/>
      <c r="B737" s="69"/>
      <c r="C737" s="69"/>
      <c r="D737" s="4"/>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c r="AP737" s="69"/>
      <c r="AQ737" s="69"/>
      <c r="AR737" s="69"/>
      <c r="AS737" s="69"/>
      <c r="AT737" s="69"/>
      <c r="AU737" s="69"/>
      <c r="AV737" s="69"/>
    </row>
    <row r="738" ht="15.75" customHeight="1">
      <c r="A738" s="69"/>
      <c r="B738" s="69"/>
      <c r="C738" s="69"/>
      <c r="D738" s="4"/>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c r="AV738" s="69"/>
    </row>
    <row r="739" ht="15.75" customHeight="1">
      <c r="A739" s="69"/>
      <c r="B739" s="69"/>
      <c r="C739" s="69"/>
      <c r="D739" s="4"/>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c r="AP739" s="69"/>
      <c r="AQ739" s="69"/>
      <c r="AR739" s="69"/>
      <c r="AS739" s="69"/>
      <c r="AT739" s="69"/>
      <c r="AU739" s="69"/>
      <c r="AV739" s="69"/>
    </row>
    <row r="740" ht="15.75" customHeight="1">
      <c r="A740" s="69"/>
      <c r="B740" s="69"/>
      <c r="C740" s="69"/>
      <c r="D740" s="4"/>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c r="AP740" s="69"/>
      <c r="AQ740" s="69"/>
      <c r="AR740" s="69"/>
      <c r="AS740" s="69"/>
      <c r="AT740" s="69"/>
      <c r="AU740" s="69"/>
      <c r="AV740" s="69"/>
    </row>
    <row r="741" ht="15.75" customHeight="1">
      <c r="A741" s="69"/>
      <c r="B741" s="69"/>
      <c r="C741" s="69"/>
      <c r="D741" s="4"/>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c r="AP741" s="69"/>
      <c r="AQ741" s="69"/>
      <c r="AR741" s="69"/>
      <c r="AS741" s="69"/>
      <c r="AT741" s="69"/>
      <c r="AU741" s="69"/>
      <c r="AV741" s="69"/>
    </row>
    <row r="742" ht="15.75" customHeight="1">
      <c r="A742" s="69"/>
      <c r="B742" s="69"/>
      <c r="C742" s="69"/>
      <c r="D742" s="4"/>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c r="AP742" s="69"/>
      <c r="AQ742" s="69"/>
      <c r="AR742" s="69"/>
      <c r="AS742" s="69"/>
      <c r="AT742" s="69"/>
      <c r="AU742" s="69"/>
      <c r="AV742" s="69"/>
    </row>
    <row r="743" ht="15.75" customHeight="1">
      <c r="A743" s="69"/>
      <c r="B743" s="69"/>
      <c r="C743" s="69"/>
      <c r="D743" s="4"/>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c r="AP743" s="69"/>
      <c r="AQ743" s="69"/>
      <c r="AR743" s="69"/>
      <c r="AS743" s="69"/>
      <c r="AT743" s="69"/>
      <c r="AU743" s="69"/>
      <c r="AV743" s="69"/>
    </row>
    <row r="744" ht="15.75" customHeight="1">
      <c r="A744" s="69"/>
      <c r="B744" s="69"/>
      <c r="C744" s="69"/>
      <c r="D744" s="4"/>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c r="AV744" s="69"/>
    </row>
    <row r="745" ht="15.75" customHeight="1">
      <c r="A745" s="69"/>
      <c r="B745" s="69"/>
      <c r="C745" s="69"/>
      <c r="D745" s="4"/>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c r="AP745" s="69"/>
      <c r="AQ745" s="69"/>
      <c r="AR745" s="69"/>
      <c r="AS745" s="69"/>
      <c r="AT745" s="69"/>
      <c r="AU745" s="69"/>
      <c r="AV745" s="69"/>
    </row>
    <row r="746" ht="15.75" customHeight="1">
      <c r="A746" s="69"/>
      <c r="B746" s="69"/>
      <c r="C746" s="69"/>
      <c r="D746" s="4"/>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c r="AN746" s="69"/>
      <c r="AO746" s="69"/>
      <c r="AP746" s="69"/>
      <c r="AQ746" s="69"/>
      <c r="AR746" s="69"/>
      <c r="AS746" s="69"/>
      <c r="AT746" s="69"/>
      <c r="AU746" s="69"/>
      <c r="AV746" s="69"/>
    </row>
    <row r="747" ht="15.75" customHeight="1">
      <c r="A747" s="69"/>
      <c r="B747" s="69"/>
      <c r="C747" s="69"/>
      <c r="D747" s="4"/>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c r="AN747" s="69"/>
      <c r="AO747" s="69"/>
      <c r="AP747" s="69"/>
      <c r="AQ747" s="69"/>
      <c r="AR747" s="69"/>
      <c r="AS747" s="69"/>
      <c r="AT747" s="69"/>
      <c r="AU747" s="69"/>
      <c r="AV747" s="69"/>
    </row>
    <row r="748" ht="15.75" customHeight="1">
      <c r="A748" s="69"/>
      <c r="B748" s="69"/>
      <c r="C748" s="69"/>
      <c r="D748" s="4"/>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c r="AN748" s="69"/>
      <c r="AO748" s="69"/>
      <c r="AP748" s="69"/>
      <c r="AQ748" s="69"/>
      <c r="AR748" s="69"/>
      <c r="AS748" s="69"/>
      <c r="AT748" s="69"/>
      <c r="AU748" s="69"/>
      <c r="AV748" s="69"/>
    </row>
    <row r="749" ht="15.75" customHeight="1">
      <c r="A749" s="69"/>
      <c r="B749" s="69"/>
      <c r="C749" s="69"/>
      <c r="D749" s="4"/>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c r="AN749" s="69"/>
      <c r="AO749" s="69"/>
      <c r="AP749" s="69"/>
      <c r="AQ749" s="69"/>
      <c r="AR749" s="69"/>
      <c r="AS749" s="69"/>
      <c r="AT749" s="69"/>
      <c r="AU749" s="69"/>
      <c r="AV749" s="69"/>
    </row>
    <row r="750" ht="15.75" customHeight="1">
      <c r="A750" s="69"/>
      <c r="B750" s="69"/>
      <c r="C750" s="69"/>
      <c r="D750" s="4"/>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c r="AP750" s="69"/>
      <c r="AQ750" s="69"/>
      <c r="AR750" s="69"/>
      <c r="AS750" s="69"/>
      <c r="AT750" s="69"/>
      <c r="AU750" s="69"/>
      <c r="AV750" s="69"/>
    </row>
    <row r="751" ht="15.75" customHeight="1">
      <c r="A751" s="69"/>
      <c r="B751" s="69"/>
      <c r="C751" s="69"/>
      <c r="D751" s="4"/>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c r="AN751" s="69"/>
      <c r="AO751" s="69"/>
      <c r="AP751" s="69"/>
      <c r="AQ751" s="69"/>
      <c r="AR751" s="69"/>
      <c r="AS751" s="69"/>
      <c r="AT751" s="69"/>
      <c r="AU751" s="69"/>
      <c r="AV751" s="69"/>
    </row>
    <row r="752" ht="15.75" customHeight="1">
      <c r="A752" s="69"/>
      <c r="B752" s="69"/>
      <c r="C752" s="69"/>
      <c r="D752" s="4"/>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c r="AP752" s="69"/>
      <c r="AQ752" s="69"/>
      <c r="AR752" s="69"/>
      <c r="AS752" s="69"/>
      <c r="AT752" s="69"/>
      <c r="AU752" s="69"/>
      <c r="AV752" s="69"/>
    </row>
    <row r="753" ht="15.75" customHeight="1">
      <c r="A753" s="69"/>
      <c r="B753" s="69"/>
      <c r="C753" s="69"/>
      <c r="D753" s="4"/>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c r="AN753" s="69"/>
      <c r="AO753" s="69"/>
      <c r="AP753" s="69"/>
      <c r="AQ753" s="69"/>
      <c r="AR753" s="69"/>
      <c r="AS753" s="69"/>
      <c r="AT753" s="69"/>
      <c r="AU753" s="69"/>
      <c r="AV753" s="69"/>
    </row>
    <row r="754" ht="15.75" customHeight="1">
      <c r="A754" s="69"/>
      <c r="B754" s="69"/>
      <c r="C754" s="69"/>
      <c r="D754" s="4"/>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c r="AN754" s="69"/>
      <c r="AO754" s="69"/>
      <c r="AP754" s="69"/>
      <c r="AQ754" s="69"/>
      <c r="AR754" s="69"/>
      <c r="AS754" s="69"/>
      <c r="AT754" s="69"/>
      <c r="AU754" s="69"/>
      <c r="AV754" s="69"/>
    </row>
    <row r="755" ht="15.75" customHeight="1">
      <c r="A755" s="69"/>
      <c r="B755" s="69"/>
      <c r="C755" s="69"/>
      <c r="D755" s="4"/>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c r="AN755" s="69"/>
      <c r="AO755" s="69"/>
      <c r="AP755" s="69"/>
      <c r="AQ755" s="69"/>
      <c r="AR755" s="69"/>
      <c r="AS755" s="69"/>
      <c r="AT755" s="69"/>
      <c r="AU755" s="69"/>
      <c r="AV755" s="69"/>
    </row>
    <row r="756" ht="15.75" customHeight="1">
      <c r="A756" s="69"/>
      <c r="B756" s="69"/>
      <c r="C756" s="69"/>
      <c r="D756" s="4"/>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c r="AN756" s="69"/>
      <c r="AO756" s="69"/>
      <c r="AP756" s="69"/>
      <c r="AQ756" s="69"/>
      <c r="AR756" s="69"/>
      <c r="AS756" s="69"/>
      <c r="AT756" s="69"/>
      <c r="AU756" s="69"/>
      <c r="AV756" s="69"/>
    </row>
    <row r="757" ht="15.75" customHeight="1">
      <c r="A757" s="69"/>
      <c r="B757" s="69"/>
      <c r="C757" s="69"/>
      <c r="D757" s="4"/>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c r="AN757" s="69"/>
      <c r="AO757" s="69"/>
      <c r="AP757" s="69"/>
      <c r="AQ757" s="69"/>
      <c r="AR757" s="69"/>
      <c r="AS757" s="69"/>
      <c r="AT757" s="69"/>
      <c r="AU757" s="69"/>
      <c r="AV757" s="69"/>
    </row>
    <row r="758" ht="15.75" customHeight="1">
      <c r="A758" s="69"/>
      <c r="B758" s="69"/>
      <c r="C758" s="69"/>
      <c r="D758" s="4"/>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c r="AP758" s="69"/>
      <c r="AQ758" s="69"/>
      <c r="AR758" s="69"/>
      <c r="AS758" s="69"/>
      <c r="AT758" s="69"/>
      <c r="AU758" s="69"/>
      <c r="AV758" s="69"/>
    </row>
    <row r="759" ht="15.75" customHeight="1">
      <c r="A759" s="69"/>
      <c r="B759" s="69"/>
      <c r="C759" s="69"/>
      <c r="D759" s="4"/>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c r="AN759" s="69"/>
      <c r="AO759" s="69"/>
      <c r="AP759" s="69"/>
      <c r="AQ759" s="69"/>
      <c r="AR759" s="69"/>
      <c r="AS759" s="69"/>
      <c r="AT759" s="69"/>
      <c r="AU759" s="69"/>
      <c r="AV759" s="69"/>
    </row>
    <row r="760" ht="15.75" customHeight="1">
      <c r="A760" s="69"/>
      <c r="B760" s="69"/>
      <c r="C760" s="69"/>
      <c r="D760" s="4"/>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c r="AP760" s="69"/>
      <c r="AQ760" s="69"/>
      <c r="AR760" s="69"/>
      <c r="AS760" s="69"/>
      <c r="AT760" s="69"/>
      <c r="AU760" s="69"/>
      <c r="AV760" s="69"/>
    </row>
    <row r="761" ht="15.75" customHeight="1">
      <c r="A761" s="69"/>
      <c r="B761" s="69"/>
      <c r="C761" s="69"/>
      <c r="D761" s="4"/>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c r="AN761" s="69"/>
      <c r="AO761" s="69"/>
      <c r="AP761" s="69"/>
      <c r="AQ761" s="69"/>
      <c r="AR761" s="69"/>
      <c r="AS761" s="69"/>
      <c r="AT761" s="69"/>
      <c r="AU761" s="69"/>
      <c r="AV761" s="69"/>
    </row>
    <row r="762" ht="15.75" customHeight="1">
      <c r="A762" s="69"/>
      <c r="B762" s="69"/>
      <c r="C762" s="69"/>
      <c r="D762" s="4"/>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c r="AU762" s="69"/>
      <c r="AV762" s="69"/>
    </row>
    <row r="763" ht="15.75" customHeight="1">
      <c r="A763" s="69"/>
      <c r="B763" s="69"/>
      <c r="C763" s="69"/>
      <c r="D763" s="4"/>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c r="AN763" s="69"/>
      <c r="AO763" s="69"/>
      <c r="AP763" s="69"/>
      <c r="AQ763" s="69"/>
      <c r="AR763" s="69"/>
      <c r="AS763" s="69"/>
      <c r="AT763" s="69"/>
      <c r="AU763" s="69"/>
      <c r="AV763" s="69"/>
    </row>
    <row r="764" ht="15.75" customHeight="1">
      <c r="A764" s="69"/>
      <c r="B764" s="69"/>
      <c r="C764" s="69"/>
      <c r="D764" s="4"/>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c r="AN764" s="69"/>
      <c r="AO764" s="69"/>
      <c r="AP764" s="69"/>
      <c r="AQ764" s="69"/>
      <c r="AR764" s="69"/>
      <c r="AS764" s="69"/>
      <c r="AT764" s="69"/>
      <c r="AU764" s="69"/>
      <c r="AV764" s="69"/>
    </row>
    <row r="765" ht="15.75" customHeight="1">
      <c r="A765" s="69"/>
      <c r="B765" s="69"/>
      <c r="C765" s="69"/>
      <c r="D765" s="4"/>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c r="AP765" s="69"/>
      <c r="AQ765" s="69"/>
      <c r="AR765" s="69"/>
      <c r="AS765" s="69"/>
      <c r="AT765" s="69"/>
      <c r="AU765" s="69"/>
      <c r="AV765" s="69"/>
    </row>
    <row r="766" ht="15.75" customHeight="1">
      <c r="A766" s="69"/>
      <c r="B766" s="69"/>
      <c r="C766" s="69"/>
      <c r="D766" s="4"/>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c r="AS766" s="69"/>
      <c r="AT766" s="69"/>
      <c r="AU766" s="69"/>
      <c r="AV766" s="69"/>
    </row>
    <row r="767" ht="15.75" customHeight="1">
      <c r="A767" s="69"/>
      <c r="B767" s="69"/>
      <c r="C767" s="69"/>
      <c r="D767" s="4"/>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c r="AP767" s="69"/>
      <c r="AQ767" s="69"/>
      <c r="AR767" s="69"/>
      <c r="AS767" s="69"/>
      <c r="AT767" s="69"/>
      <c r="AU767" s="69"/>
      <c r="AV767" s="69"/>
    </row>
    <row r="768" ht="15.75" customHeight="1">
      <c r="A768" s="69"/>
      <c r="B768" s="69"/>
      <c r="C768" s="69"/>
      <c r="D768" s="4"/>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c r="AV768" s="69"/>
    </row>
    <row r="769" ht="15.75" customHeight="1">
      <c r="A769" s="69"/>
      <c r="B769" s="69"/>
      <c r="C769" s="69"/>
      <c r="D769" s="4"/>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c r="AP769" s="69"/>
      <c r="AQ769" s="69"/>
      <c r="AR769" s="69"/>
      <c r="AS769" s="69"/>
      <c r="AT769" s="69"/>
      <c r="AU769" s="69"/>
      <c r="AV769" s="69"/>
    </row>
    <row r="770" ht="15.75" customHeight="1">
      <c r="A770" s="69"/>
      <c r="B770" s="69"/>
      <c r="C770" s="69"/>
      <c r="D770" s="4"/>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c r="AV770" s="69"/>
    </row>
    <row r="771" ht="15.75" customHeight="1">
      <c r="A771" s="69"/>
      <c r="B771" s="69"/>
      <c r="C771" s="69"/>
      <c r="D771" s="4"/>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c r="AP771" s="69"/>
      <c r="AQ771" s="69"/>
      <c r="AR771" s="69"/>
      <c r="AS771" s="69"/>
      <c r="AT771" s="69"/>
      <c r="AU771" s="69"/>
      <c r="AV771" s="69"/>
    </row>
    <row r="772" ht="15.75" customHeight="1">
      <c r="A772" s="69"/>
      <c r="B772" s="69"/>
      <c r="C772" s="69"/>
      <c r="D772" s="4"/>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row>
    <row r="773" ht="15.75" customHeight="1">
      <c r="A773" s="69"/>
      <c r="B773" s="69"/>
      <c r="C773" s="69"/>
      <c r="D773" s="4"/>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c r="AP773" s="69"/>
      <c r="AQ773" s="69"/>
      <c r="AR773" s="69"/>
      <c r="AS773" s="69"/>
      <c r="AT773" s="69"/>
      <c r="AU773" s="69"/>
      <c r="AV773" s="69"/>
    </row>
    <row r="774" ht="15.75" customHeight="1">
      <c r="A774" s="69"/>
      <c r="B774" s="69"/>
      <c r="C774" s="69"/>
      <c r="D774" s="4"/>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c r="AS774" s="69"/>
      <c r="AT774" s="69"/>
      <c r="AU774" s="69"/>
      <c r="AV774" s="69"/>
    </row>
    <row r="775" ht="15.75" customHeight="1">
      <c r="A775" s="69"/>
      <c r="B775" s="69"/>
      <c r="C775" s="69"/>
      <c r="D775" s="4"/>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c r="AN775" s="69"/>
      <c r="AO775" s="69"/>
      <c r="AP775" s="69"/>
      <c r="AQ775" s="69"/>
      <c r="AR775" s="69"/>
      <c r="AS775" s="69"/>
      <c r="AT775" s="69"/>
      <c r="AU775" s="69"/>
      <c r="AV775" s="69"/>
    </row>
    <row r="776" ht="15.75" customHeight="1">
      <c r="A776" s="69"/>
      <c r="B776" s="69"/>
      <c r="C776" s="69"/>
      <c r="D776" s="4"/>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c r="AP776" s="69"/>
      <c r="AQ776" s="69"/>
      <c r="AR776" s="69"/>
      <c r="AS776" s="69"/>
      <c r="AT776" s="69"/>
      <c r="AU776" s="69"/>
      <c r="AV776" s="69"/>
    </row>
    <row r="777" ht="15.75" customHeight="1">
      <c r="A777" s="69"/>
      <c r="B777" s="69"/>
      <c r="C777" s="69"/>
      <c r="D777" s="4"/>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c r="AN777" s="69"/>
      <c r="AO777" s="69"/>
      <c r="AP777" s="69"/>
      <c r="AQ777" s="69"/>
      <c r="AR777" s="69"/>
      <c r="AS777" s="69"/>
      <c r="AT777" s="69"/>
      <c r="AU777" s="69"/>
      <c r="AV777" s="69"/>
    </row>
    <row r="778" ht="15.75" customHeight="1">
      <c r="A778" s="69"/>
      <c r="B778" s="69"/>
      <c r="C778" s="69"/>
      <c r="D778" s="4"/>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c r="AN778" s="69"/>
      <c r="AO778" s="69"/>
      <c r="AP778" s="69"/>
      <c r="AQ778" s="69"/>
      <c r="AR778" s="69"/>
      <c r="AS778" s="69"/>
      <c r="AT778" s="69"/>
      <c r="AU778" s="69"/>
      <c r="AV778" s="69"/>
    </row>
    <row r="779" ht="15.75" customHeight="1">
      <c r="A779" s="69"/>
      <c r="B779" s="69"/>
      <c r="C779" s="69"/>
      <c r="D779" s="4"/>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c r="AN779" s="69"/>
      <c r="AO779" s="69"/>
      <c r="AP779" s="69"/>
      <c r="AQ779" s="69"/>
      <c r="AR779" s="69"/>
      <c r="AS779" s="69"/>
      <c r="AT779" s="69"/>
      <c r="AU779" s="69"/>
      <c r="AV779" s="69"/>
    </row>
    <row r="780" ht="15.75" customHeight="1">
      <c r="A780" s="69"/>
      <c r="B780" s="69"/>
      <c r="C780" s="69"/>
      <c r="D780" s="4"/>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c r="AN780" s="69"/>
      <c r="AO780" s="69"/>
      <c r="AP780" s="69"/>
      <c r="AQ780" s="69"/>
      <c r="AR780" s="69"/>
      <c r="AS780" s="69"/>
      <c r="AT780" s="69"/>
      <c r="AU780" s="69"/>
      <c r="AV780" s="69"/>
    </row>
    <row r="781" ht="15.75" customHeight="1">
      <c r="A781" s="69"/>
      <c r="B781" s="69"/>
      <c r="C781" s="69"/>
      <c r="D781" s="4"/>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c r="AN781" s="69"/>
      <c r="AO781" s="69"/>
      <c r="AP781" s="69"/>
      <c r="AQ781" s="69"/>
      <c r="AR781" s="69"/>
      <c r="AS781" s="69"/>
      <c r="AT781" s="69"/>
      <c r="AU781" s="69"/>
      <c r="AV781" s="69"/>
    </row>
    <row r="782" ht="15.75" customHeight="1">
      <c r="A782" s="69"/>
      <c r="B782" s="69"/>
      <c r="C782" s="69"/>
      <c r="D782" s="4"/>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c r="AP782" s="69"/>
      <c r="AQ782" s="69"/>
      <c r="AR782" s="69"/>
      <c r="AS782" s="69"/>
      <c r="AT782" s="69"/>
      <c r="AU782" s="69"/>
      <c r="AV782" s="69"/>
    </row>
    <row r="783" ht="15.75" customHeight="1">
      <c r="A783" s="69"/>
      <c r="B783" s="69"/>
      <c r="C783" s="69"/>
      <c r="D783" s="4"/>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c r="AN783" s="69"/>
      <c r="AO783" s="69"/>
      <c r="AP783" s="69"/>
      <c r="AQ783" s="69"/>
      <c r="AR783" s="69"/>
      <c r="AS783" s="69"/>
      <c r="AT783" s="69"/>
      <c r="AU783" s="69"/>
      <c r="AV783" s="69"/>
    </row>
    <row r="784" ht="15.75" customHeight="1">
      <c r="A784" s="69"/>
      <c r="B784" s="69"/>
      <c r="C784" s="69"/>
      <c r="D784" s="4"/>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c r="AP784" s="69"/>
      <c r="AQ784" s="69"/>
      <c r="AR784" s="69"/>
      <c r="AS784" s="69"/>
      <c r="AT784" s="69"/>
      <c r="AU784" s="69"/>
      <c r="AV784" s="69"/>
    </row>
    <row r="785" ht="15.75" customHeight="1">
      <c r="A785" s="69"/>
      <c r="B785" s="69"/>
      <c r="C785" s="69"/>
      <c r="D785" s="4"/>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c r="AN785" s="69"/>
      <c r="AO785" s="69"/>
      <c r="AP785" s="69"/>
      <c r="AQ785" s="69"/>
      <c r="AR785" s="69"/>
      <c r="AS785" s="69"/>
      <c r="AT785" s="69"/>
      <c r="AU785" s="69"/>
      <c r="AV785" s="69"/>
    </row>
    <row r="786" ht="15.75" customHeight="1">
      <c r="A786" s="69"/>
      <c r="B786" s="69"/>
      <c r="C786" s="69"/>
      <c r="D786" s="4"/>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c r="AN786" s="69"/>
      <c r="AO786" s="69"/>
      <c r="AP786" s="69"/>
      <c r="AQ786" s="69"/>
      <c r="AR786" s="69"/>
      <c r="AS786" s="69"/>
      <c r="AT786" s="69"/>
      <c r="AU786" s="69"/>
      <c r="AV786" s="69"/>
    </row>
    <row r="787" ht="15.75" customHeight="1">
      <c r="A787" s="69"/>
      <c r="B787" s="69"/>
      <c r="C787" s="69"/>
      <c r="D787" s="4"/>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c r="AN787" s="69"/>
      <c r="AO787" s="69"/>
      <c r="AP787" s="69"/>
      <c r="AQ787" s="69"/>
      <c r="AR787" s="69"/>
      <c r="AS787" s="69"/>
      <c r="AT787" s="69"/>
      <c r="AU787" s="69"/>
      <c r="AV787" s="69"/>
    </row>
    <row r="788" ht="15.75" customHeight="1">
      <c r="A788" s="69"/>
      <c r="B788" s="69"/>
      <c r="C788" s="69"/>
      <c r="D788" s="4"/>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c r="AN788" s="69"/>
      <c r="AO788" s="69"/>
      <c r="AP788" s="69"/>
      <c r="AQ788" s="69"/>
      <c r="AR788" s="69"/>
      <c r="AS788" s="69"/>
      <c r="AT788" s="69"/>
      <c r="AU788" s="69"/>
      <c r="AV788" s="69"/>
    </row>
    <row r="789" ht="15.75" customHeight="1">
      <c r="A789" s="69"/>
      <c r="B789" s="69"/>
      <c r="C789" s="69"/>
      <c r="D789" s="4"/>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c r="AN789" s="69"/>
      <c r="AO789" s="69"/>
      <c r="AP789" s="69"/>
      <c r="AQ789" s="69"/>
      <c r="AR789" s="69"/>
      <c r="AS789" s="69"/>
      <c r="AT789" s="69"/>
      <c r="AU789" s="69"/>
      <c r="AV789" s="69"/>
    </row>
    <row r="790" ht="15.75" customHeight="1">
      <c r="A790" s="69"/>
      <c r="B790" s="69"/>
      <c r="C790" s="69"/>
      <c r="D790" s="4"/>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c r="AP790" s="69"/>
      <c r="AQ790" s="69"/>
      <c r="AR790" s="69"/>
      <c r="AS790" s="69"/>
      <c r="AT790" s="69"/>
      <c r="AU790" s="69"/>
      <c r="AV790" s="69"/>
    </row>
    <row r="791" ht="15.75" customHeight="1">
      <c r="A791" s="69"/>
      <c r="B791" s="69"/>
      <c r="C791" s="69"/>
      <c r="D791" s="4"/>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c r="AN791" s="69"/>
      <c r="AO791" s="69"/>
      <c r="AP791" s="69"/>
      <c r="AQ791" s="69"/>
      <c r="AR791" s="69"/>
      <c r="AS791" s="69"/>
      <c r="AT791" s="69"/>
      <c r="AU791" s="69"/>
      <c r="AV791" s="69"/>
    </row>
    <row r="792" ht="15.75" customHeight="1">
      <c r="A792" s="69"/>
      <c r="B792" s="69"/>
      <c r="C792" s="69"/>
      <c r="D792" s="4"/>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c r="AP792" s="69"/>
      <c r="AQ792" s="69"/>
      <c r="AR792" s="69"/>
      <c r="AS792" s="69"/>
      <c r="AT792" s="69"/>
      <c r="AU792" s="69"/>
      <c r="AV792" s="69"/>
    </row>
    <row r="793" ht="15.75" customHeight="1">
      <c r="A793" s="69"/>
      <c r="B793" s="69"/>
      <c r="C793" s="69"/>
      <c r="D793" s="4"/>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c r="AN793" s="69"/>
      <c r="AO793" s="69"/>
      <c r="AP793" s="69"/>
      <c r="AQ793" s="69"/>
      <c r="AR793" s="69"/>
      <c r="AS793" s="69"/>
      <c r="AT793" s="69"/>
      <c r="AU793" s="69"/>
      <c r="AV793" s="69"/>
    </row>
    <row r="794" ht="15.75" customHeight="1">
      <c r="A794" s="69"/>
      <c r="B794" s="69"/>
      <c r="C794" s="69"/>
      <c r="D794" s="4"/>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c r="AN794" s="69"/>
      <c r="AO794" s="69"/>
      <c r="AP794" s="69"/>
      <c r="AQ794" s="69"/>
      <c r="AR794" s="69"/>
      <c r="AS794" s="69"/>
      <c r="AT794" s="69"/>
      <c r="AU794" s="69"/>
      <c r="AV794" s="69"/>
    </row>
    <row r="795" ht="15.75" customHeight="1">
      <c r="A795" s="69"/>
      <c r="B795" s="69"/>
      <c r="C795" s="69"/>
      <c r="D795" s="4"/>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row>
    <row r="796" ht="15.75" customHeight="1">
      <c r="A796" s="69"/>
      <c r="B796" s="69"/>
      <c r="C796" s="69"/>
      <c r="D796" s="4"/>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c r="AN796" s="69"/>
      <c r="AO796" s="69"/>
      <c r="AP796" s="69"/>
      <c r="AQ796" s="69"/>
      <c r="AR796" s="69"/>
      <c r="AS796" s="69"/>
      <c r="AT796" s="69"/>
      <c r="AU796" s="69"/>
      <c r="AV796" s="69"/>
    </row>
    <row r="797" ht="15.75" customHeight="1">
      <c r="A797" s="69"/>
      <c r="B797" s="69"/>
      <c r="C797" s="69"/>
      <c r="D797" s="4"/>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c r="AN797" s="69"/>
      <c r="AO797" s="69"/>
      <c r="AP797" s="69"/>
      <c r="AQ797" s="69"/>
      <c r="AR797" s="69"/>
      <c r="AS797" s="69"/>
      <c r="AT797" s="69"/>
      <c r="AU797" s="69"/>
      <c r="AV797" s="69"/>
    </row>
    <row r="798" ht="15.75" customHeight="1">
      <c r="A798" s="69"/>
      <c r="B798" s="69"/>
      <c r="C798" s="69"/>
      <c r="D798" s="4"/>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c r="AP798" s="69"/>
      <c r="AQ798" s="69"/>
      <c r="AR798" s="69"/>
      <c r="AS798" s="69"/>
      <c r="AT798" s="69"/>
      <c r="AU798" s="69"/>
      <c r="AV798" s="69"/>
    </row>
    <row r="799" ht="15.75" customHeight="1">
      <c r="A799" s="69"/>
      <c r="B799" s="69"/>
      <c r="C799" s="69"/>
      <c r="D799" s="4"/>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c r="AN799" s="69"/>
      <c r="AO799" s="69"/>
      <c r="AP799" s="69"/>
      <c r="AQ799" s="69"/>
      <c r="AR799" s="69"/>
      <c r="AS799" s="69"/>
      <c r="AT799" s="69"/>
      <c r="AU799" s="69"/>
      <c r="AV799" s="69"/>
    </row>
    <row r="800" ht="15.75" customHeight="1">
      <c r="A800" s="69"/>
      <c r="B800" s="69"/>
      <c r="C800" s="69"/>
      <c r="D800" s="4"/>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c r="AP800" s="69"/>
      <c r="AQ800" s="69"/>
      <c r="AR800" s="69"/>
      <c r="AS800" s="69"/>
      <c r="AT800" s="69"/>
      <c r="AU800" s="69"/>
      <c r="AV800" s="69"/>
    </row>
    <row r="801" ht="15.75" customHeight="1">
      <c r="A801" s="69"/>
      <c r="B801" s="69"/>
      <c r="C801" s="69"/>
      <c r="D801" s="4"/>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c r="AN801" s="69"/>
      <c r="AO801" s="69"/>
      <c r="AP801" s="69"/>
      <c r="AQ801" s="69"/>
      <c r="AR801" s="69"/>
      <c r="AS801" s="69"/>
      <c r="AT801" s="69"/>
      <c r="AU801" s="69"/>
      <c r="AV801" s="69"/>
    </row>
    <row r="802" ht="15.75" customHeight="1">
      <c r="A802" s="69"/>
      <c r="B802" s="69"/>
      <c r="C802" s="69"/>
      <c r="D802" s="4"/>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row>
    <row r="803" ht="15.75" customHeight="1">
      <c r="A803" s="69"/>
      <c r="B803" s="69"/>
      <c r="C803" s="69"/>
      <c r="D803" s="4"/>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c r="AN803" s="69"/>
      <c r="AO803" s="69"/>
      <c r="AP803" s="69"/>
      <c r="AQ803" s="69"/>
      <c r="AR803" s="69"/>
      <c r="AS803" s="69"/>
      <c r="AT803" s="69"/>
      <c r="AU803" s="69"/>
      <c r="AV803" s="69"/>
    </row>
    <row r="804" ht="15.75" customHeight="1">
      <c r="A804" s="69"/>
      <c r="B804" s="69"/>
      <c r="C804" s="69"/>
      <c r="D804" s="4"/>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c r="AN804" s="69"/>
      <c r="AO804" s="69"/>
      <c r="AP804" s="69"/>
      <c r="AQ804" s="69"/>
      <c r="AR804" s="69"/>
      <c r="AS804" s="69"/>
      <c r="AT804" s="69"/>
      <c r="AU804" s="69"/>
      <c r="AV804" s="69"/>
    </row>
    <row r="805" ht="15.75" customHeight="1">
      <c r="A805" s="69"/>
      <c r="B805" s="69"/>
      <c r="C805" s="69"/>
      <c r="D805" s="4"/>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c r="AN805" s="69"/>
      <c r="AO805" s="69"/>
      <c r="AP805" s="69"/>
      <c r="AQ805" s="69"/>
      <c r="AR805" s="69"/>
      <c r="AS805" s="69"/>
      <c r="AT805" s="69"/>
      <c r="AU805" s="69"/>
      <c r="AV805" s="69"/>
    </row>
    <row r="806" ht="15.75" customHeight="1">
      <c r="A806" s="69"/>
      <c r="B806" s="69"/>
      <c r="C806" s="69"/>
      <c r="D806" s="4"/>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c r="AP806" s="69"/>
      <c r="AQ806" s="69"/>
      <c r="AR806" s="69"/>
      <c r="AS806" s="69"/>
      <c r="AT806" s="69"/>
      <c r="AU806" s="69"/>
      <c r="AV806" s="69"/>
    </row>
    <row r="807" ht="15.75" customHeight="1">
      <c r="A807" s="69"/>
      <c r="B807" s="69"/>
      <c r="C807" s="69"/>
      <c r="D807" s="4"/>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c r="AN807" s="69"/>
      <c r="AO807" s="69"/>
      <c r="AP807" s="69"/>
      <c r="AQ807" s="69"/>
      <c r="AR807" s="69"/>
      <c r="AS807" s="69"/>
      <c r="AT807" s="69"/>
      <c r="AU807" s="69"/>
      <c r="AV807" s="69"/>
    </row>
    <row r="808" ht="15.75" customHeight="1">
      <c r="A808" s="69"/>
      <c r="B808" s="69"/>
      <c r="C808" s="69"/>
      <c r="D808" s="4"/>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c r="AP808" s="69"/>
      <c r="AQ808" s="69"/>
      <c r="AR808" s="69"/>
      <c r="AS808" s="69"/>
      <c r="AT808" s="69"/>
      <c r="AU808" s="69"/>
      <c r="AV808" s="69"/>
    </row>
    <row r="809" ht="15.75" customHeight="1">
      <c r="A809" s="69"/>
      <c r="B809" s="69"/>
      <c r="C809" s="69"/>
      <c r="D809" s="4"/>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row>
    <row r="810" ht="15.75" customHeight="1">
      <c r="A810" s="69"/>
      <c r="B810" s="69"/>
      <c r="C810" s="69"/>
      <c r="D810" s="4"/>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row>
    <row r="811" ht="15.75" customHeight="1">
      <c r="A811" s="69"/>
      <c r="B811" s="69"/>
      <c r="C811" s="69"/>
      <c r="D811" s="4"/>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c r="AN811" s="69"/>
      <c r="AO811" s="69"/>
      <c r="AP811" s="69"/>
      <c r="AQ811" s="69"/>
      <c r="AR811" s="69"/>
      <c r="AS811" s="69"/>
      <c r="AT811" s="69"/>
      <c r="AU811" s="69"/>
      <c r="AV811" s="69"/>
    </row>
    <row r="812" ht="15.75" customHeight="1">
      <c r="A812" s="69"/>
      <c r="B812" s="69"/>
      <c r="C812" s="69"/>
      <c r="D812" s="4"/>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c r="AS812" s="69"/>
      <c r="AT812" s="69"/>
      <c r="AU812" s="69"/>
      <c r="AV812" s="69"/>
    </row>
    <row r="813" ht="15.75" customHeight="1">
      <c r="A813" s="69"/>
      <c r="B813" s="69"/>
      <c r="C813" s="69"/>
      <c r="D813" s="4"/>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c r="AN813" s="69"/>
      <c r="AO813" s="69"/>
      <c r="AP813" s="69"/>
      <c r="AQ813" s="69"/>
      <c r="AR813" s="69"/>
      <c r="AS813" s="69"/>
      <c r="AT813" s="69"/>
      <c r="AU813" s="69"/>
      <c r="AV813" s="69"/>
    </row>
    <row r="814" ht="15.75" customHeight="1">
      <c r="A814" s="69"/>
      <c r="B814" s="69"/>
      <c r="C814" s="69"/>
      <c r="D814" s="4"/>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c r="AP814" s="69"/>
      <c r="AQ814" s="69"/>
      <c r="AR814" s="69"/>
      <c r="AS814" s="69"/>
      <c r="AT814" s="69"/>
      <c r="AU814" s="69"/>
      <c r="AV814" s="69"/>
    </row>
    <row r="815" ht="15.75" customHeight="1">
      <c r="A815" s="69"/>
      <c r="B815" s="69"/>
      <c r="C815" s="69"/>
      <c r="D815" s="4"/>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c r="AN815" s="69"/>
      <c r="AO815" s="69"/>
      <c r="AP815" s="69"/>
      <c r="AQ815" s="69"/>
      <c r="AR815" s="69"/>
      <c r="AS815" s="69"/>
      <c r="AT815" s="69"/>
      <c r="AU815" s="69"/>
      <c r="AV815" s="69"/>
    </row>
    <row r="816" ht="15.75" customHeight="1">
      <c r="A816" s="69"/>
      <c r="B816" s="69"/>
      <c r="C816" s="69"/>
      <c r="D816" s="4"/>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c r="AP816" s="69"/>
      <c r="AQ816" s="69"/>
      <c r="AR816" s="69"/>
      <c r="AS816" s="69"/>
      <c r="AT816" s="69"/>
      <c r="AU816" s="69"/>
      <c r="AV816" s="69"/>
    </row>
    <row r="817" ht="15.75" customHeight="1">
      <c r="A817" s="69"/>
      <c r="B817" s="69"/>
      <c r="C817" s="69"/>
      <c r="D817" s="4"/>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c r="AN817" s="69"/>
      <c r="AO817" s="69"/>
      <c r="AP817" s="69"/>
      <c r="AQ817" s="69"/>
      <c r="AR817" s="69"/>
      <c r="AS817" s="69"/>
      <c r="AT817" s="69"/>
      <c r="AU817" s="69"/>
      <c r="AV817" s="69"/>
    </row>
    <row r="818" ht="15.75" customHeight="1">
      <c r="A818" s="69"/>
      <c r="B818" s="69"/>
      <c r="C818" s="69"/>
      <c r="D818" s="4"/>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c r="AN818" s="69"/>
      <c r="AO818" s="69"/>
      <c r="AP818" s="69"/>
      <c r="AQ818" s="69"/>
      <c r="AR818" s="69"/>
      <c r="AS818" s="69"/>
      <c r="AT818" s="69"/>
      <c r="AU818" s="69"/>
      <c r="AV818" s="69"/>
    </row>
    <row r="819" ht="15.75" customHeight="1">
      <c r="A819" s="69"/>
      <c r="B819" s="69"/>
      <c r="C819" s="69"/>
      <c r="D819" s="4"/>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c r="AN819" s="69"/>
      <c r="AO819" s="69"/>
      <c r="AP819" s="69"/>
      <c r="AQ819" s="69"/>
      <c r="AR819" s="69"/>
      <c r="AS819" s="69"/>
      <c r="AT819" s="69"/>
      <c r="AU819" s="69"/>
      <c r="AV819" s="69"/>
    </row>
    <row r="820" ht="15.75" customHeight="1">
      <c r="A820" s="69"/>
      <c r="B820" s="69"/>
      <c r="C820" s="69"/>
      <c r="D820" s="4"/>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c r="AN820" s="69"/>
      <c r="AO820" s="69"/>
      <c r="AP820" s="69"/>
      <c r="AQ820" s="69"/>
      <c r="AR820" s="69"/>
      <c r="AS820" s="69"/>
      <c r="AT820" s="69"/>
      <c r="AU820" s="69"/>
      <c r="AV820" s="69"/>
    </row>
    <row r="821" ht="15.75" customHeight="1">
      <c r="A821" s="69"/>
      <c r="B821" s="69"/>
      <c r="C821" s="69"/>
      <c r="D821" s="4"/>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c r="AN821" s="69"/>
      <c r="AO821" s="69"/>
      <c r="AP821" s="69"/>
      <c r="AQ821" s="69"/>
      <c r="AR821" s="69"/>
      <c r="AS821" s="69"/>
      <c r="AT821" s="69"/>
      <c r="AU821" s="69"/>
      <c r="AV821" s="69"/>
    </row>
    <row r="822" ht="15.75" customHeight="1">
      <c r="A822" s="69"/>
      <c r="B822" s="69"/>
      <c r="C822" s="69"/>
      <c r="D822" s="4"/>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c r="AP822" s="69"/>
      <c r="AQ822" s="69"/>
      <c r="AR822" s="69"/>
      <c r="AS822" s="69"/>
      <c r="AT822" s="69"/>
      <c r="AU822" s="69"/>
      <c r="AV822" s="69"/>
    </row>
    <row r="823" ht="15.75" customHeight="1">
      <c r="A823" s="69"/>
      <c r="B823" s="69"/>
      <c r="C823" s="69"/>
      <c r="D823" s="4"/>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c r="AN823" s="69"/>
      <c r="AO823" s="69"/>
      <c r="AP823" s="69"/>
      <c r="AQ823" s="69"/>
      <c r="AR823" s="69"/>
      <c r="AS823" s="69"/>
      <c r="AT823" s="69"/>
      <c r="AU823" s="69"/>
      <c r="AV823" s="69"/>
    </row>
    <row r="824" ht="15.75" customHeight="1">
      <c r="A824" s="69"/>
      <c r="B824" s="69"/>
      <c r="C824" s="69"/>
      <c r="D824" s="4"/>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c r="AP824" s="69"/>
      <c r="AQ824" s="69"/>
      <c r="AR824" s="69"/>
      <c r="AS824" s="69"/>
      <c r="AT824" s="69"/>
      <c r="AU824" s="69"/>
      <c r="AV824" s="69"/>
    </row>
    <row r="825" ht="15.75" customHeight="1">
      <c r="A825" s="69"/>
      <c r="B825" s="69"/>
      <c r="C825" s="69"/>
      <c r="D825" s="4"/>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c r="AN825" s="69"/>
      <c r="AO825" s="69"/>
      <c r="AP825" s="69"/>
      <c r="AQ825" s="69"/>
      <c r="AR825" s="69"/>
      <c r="AS825" s="69"/>
      <c r="AT825" s="69"/>
      <c r="AU825" s="69"/>
      <c r="AV825" s="69"/>
    </row>
    <row r="826" ht="15.75" customHeight="1">
      <c r="A826" s="69"/>
      <c r="B826" s="69"/>
      <c r="C826" s="69"/>
      <c r="D826" s="4"/>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c r="AN826" s="69"/>
      <c r="AO826" s="69"/>
      <c r="AP826" s="69"/>
      <c r="AQ826" s="69"/>
      <c r="AR826" s="69"/>
      <c r="AS826" s="69"/>
      <c r="AT826" s="69"/>
      <c r="AU826" s="69"/>
      <c r="AV826" s="69"/>
    </row>
    <row r="827" ht="15.75" customHeight="1">
      <c r="A827" s="69"/>
      <c r="B827" s="69"/>
      <c r="C827" s="69"/>
      <c r="D827" s="4"/>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c r="AN827" s="69"/>
      <c r="AO827" s="69"/>
      <c r="AP827" s="69"/>
      <c r="AQ827" s="69"/>
      <c r="AR827" s="69"/>
      <c r="AS827" s="69"/>
      <c r="AT827" s="69"/>
      <c r="AU827" s="69"/>
      <c r="AV827" s="69"/>
    </row>
    <row r="828" ht="15.75" customHeight="1">
      <c r="A828" s="69"/>
      <c r="B828" s="69"/>
      <c r="C828" s="69"/>
      <c r="D828" s="4"/>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c r="AN828" s="69"/>
      <c r="AO828" s="69"/>
      <c r="AP828" s="69"/>
      <c r="AQ828" s="69"/>
      <c r="AR828" s="69"/>
      <c r="AS828" s="69"/>
      <c r="AT828" s="69"/>
      <c r="AU828" s="69"/>
      <c r="AV828" s="69"/>
    </row>
    <row r="829" ht="15.75" customHeight="1">
      <c r="A829" s="69"/>
      <c r="B829" s="69"/>
      <c r="C829" s="69"/>
      <c r="D829" s="4"/>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c r="AN829" s="69"/>
      <c r="AO829" s="69"/>
      <c r="AP829" s="69"/>
      <c r="AQ829" s="69"/>
      <c r="AR829" s="69"/>
      <c r="AS829" s="69"/>
      <c r="AT829" s="69"/>
      <c r="AU829" s="69"/>
      <c r="AV829" s="69"/>
    </row>
    <row r="830" ht="15.75" customHeight="1">
      <c r="A830" s="69"/>
      <c r="B830" s="69"/>
      <c r="C830" s="69"/>
      <c r="D830" s="4"/>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c r="AP830" s="69"/>
      <c r="AQ830" s="69"/>
      <c r="AR830" s="69"/>
      <c r="AS830" s="69"/>
      <c r="AT830" s="69"/>
      <c r="AU830" s="69"/>
      <c r="AV830" s="69"/>
    </row>
    <row r="831" ht="15.75" customHeight="1">
      <c r="A831" s="69"/>
      <c r="B831" s="69"/>
      <c r="C831" s="69"/>
      <c r="D831" s="4"/>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c r="AN831" s="69"/>
      <c r="AO831" s="69"/>
      <c r="AP831" s="69"/>
      <c r="AQ831" s="69"/>
      <c r="AR831" s="69"/>
      <c r="AS831" s="69"/>
      <c r="AT831" s="69"/>
      <c r="AU831" s="69"/>
      <c r="AV831" s="69"/>
    </row>
    <row r="832" ht="15.75" customHeight="1">
      <c r="A832" s="69"/>
      <c r="B832" s="69"/>
      <c r="C832" s="69"/>
      <c r="D832" s="4"/>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c r="AV832" s="69"/>
    </row>
    <row r="833" ht="15.75" customHeight="1">
      <c r="A833" s="69"/>
      <c r="B833" s="69"/>
      <c r="C833" s="69"/>
      <c r="D833" s="4"/>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c r="AN833" s="69"/>
      <c r="AO833" s="69"/>
      <c r="AP833" s="69"/>
      <c r="AQ833" s="69"/>
      <c r="AR833" s="69"/>
      <c r="AS833" s="69"/>
      <c r="AT833" s="69"/>
      <c r="AU833" s="69"/>
      <c r="AV833" s="69"/>
    </row>
    <row r="834" ht="15.75" customHeight="1">
      <c r="A834" s="69"/>
      <c r="B834" s="69"/>
      <c r="C834" s="69"/>
      <c r="D834" s="4"/>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c r="AV834" s="69"/>
    </row>
    <row r="835" ht="15.75" customHeight="1">
      <c r="A835" s="69"/>
      <c r="B835" s="69"/>
      <c r="C835" s="69"/>
      <c r="D835" s="4"/>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c r="AN835" s="69"/>
      <c r="AO835" s="69"/>
      <c r="AP835" s="69"/>
      <c r="AQ835" s="69"/>
      <c r="AR835" s="69"/>
      <c r="AS835" s="69"/>
      <c r="AT835" s="69"/>
      <c r="AU835" s="69"/>
      <c r="AV835" s="69"/>
    </row>
    <row r="836" ht="15.75" customHeight="1">
      <c r="A836" s="69"/>
      <c r="B836" s="69"/>
      <c r="C836" s="69"/>
      <c r="D836" s="4"/>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c r="AN836" s="69"/>
      <c r="AO836" s="69"/>
      <c r="AP836" s="69"/>
      <c r="AQ836" s="69"/>
      <c r="AR836" s="69"/>
      <c r="AS836" s="69"/>
      <c r="AT836" s="69"/>
      <c r="AU836" s="69"/>
      <c r="AV836" s="69"/>
    </row>
    <row r="837" ht="15.75" customHeight="1">
      <c r="A837" s="69"/>
      <c r="B837" s="69"/>
      <c r="C837" s="69"/>
      <c r="D837" s="4"/>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c r="AN837" s="69"/>
      <c r="AO837" s="69"/>
      <c r="AP837" s="69"/>
      <c r="AQ837" s="69"/>
      <c r="AR837" s="69"/>
      <c r="AS837" s="69"/>
      <c r="AT837" s="69"/>
      <c r="AU837" s="69"/>
      <c r="AV837" s="69"/>
    </row>
    <row r="838" ht="15.75" customHeight="1">
      <c r="A838" s="69"/>
      <c r="B838" s="69"/>
      <c r="C838" s="69"/>
      <c r="D838" s="4"/>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c r="AP838" s="69"/>
      <c r="AQ838" s="69"/>
      <c r="AR838" s="69"/>
      <c r="AS838" s="69"/>
      <c r="AT838" s="69"/>
      <c r="AU838" s="69"/>
      <c r="AV838" s="69"/>
    </row>
    <row r="839" ht="15.75" customHeight="1">
      <c r="A839" s="69"/>
      <c r="B839" s="69"/>
      <c r="C839" s="69"/>
      <c r="D839" s="4"/>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c r="AN839" s="69"/>
      <c r="AO839" s="69"/>
      <c r="AP839" s="69"/>
      <c r="AQ839" s="69"/>
      <c r="AR839" s="69"/>
      <c r="AS839" s="69"/>
      <c r="AT839" s="69"/>
      <c r="AU839" s="69"/>
      <c r="AV839" s="69"/>
    </row>
    <row r="840" ht="15.75" customHeight="1">
      <c r="A840" s="69"/>
      <c r="B840" s="69"/>
      <c r="C840" s="69"/>
      <c r="D840" s="4"/>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c r="AP840" s="69"/>
      <c r="AQ840" s="69"/>
      <c r="AR840" s="69"/>
      <c r="AS840" s="69"/>
      <c r="AT840" s="69"/>
      <c r="AU840" s="69"/>
      <c r="AV840" s="69"/>
    </row>
    <row r="841" ht="15.75" customHeight="1">
      <c r="A841" s="69"/>
      <c r="B841" s="69"/>
      <c r="C841" s="69"/>
      <c r="D841" s="4"/>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c r="AN841" s="69"/>
      <c r="AO841" s="69"/>
      <c r="AP841" s="69"/>
      <c r="AQ841" s="69"/>
      <c r="AR841" s="69"/>
      <c r="AS841" s="69"/>
      <c r="AT841" s="69"/>
      <c r="AU841" s="69"/>
      <c r="AV841" s="69"/>
    </row>
    <row r="842" ht="15.75" customHeight="1">
      <c r="A842" s="69"/>
      <c r="B842" s="69"/>
      <c r="C842" s="69"/>
      <c r="D842" s="4"/>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c r="AN842" s="69"/>
      <c r="AO842" s="69"/>
      <c r="AP842" s="69"/>
      <c r="AQ842" s="69"/>
      <c r="AR842" s="69"/>
      <c r="AS842" s="69"/>
      <c r="AT842" s="69"/>
      <c r="AU842" s="69"/>
      <c r="AV842" s="69"/>
    </row>
    <row r="843" ht="15.75" customHeight="1">
      <c r="A843" s="69"/>
      <c r="B843" s="69"/>
      <c r="C843" s="69"/>
      <c r="D843" s="4"/>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c r="AN843" s="69"/>
      <c r="AO843" s="69"/>
      <c r="AP843" s="69"/>
      <c r="AQ843" s="69"/>
      <c r="AR843" s="69"/>
      <c r="AS843" s="69"/>
      <c r="AT843" s="69"/>
      <c r="AU843" s="69"/>
      <c r="AV843" s="69"/>
    </row>
    <row r="844" ht="15.75" customHeight="1">
      <c r="A844" s="69"/>
      <c r="B844" s="69"/>
      <c r="C844" s="69"/>
      <c r="D844" s="4"/>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c r="AN844" s="69"/>
      <c r="AO844" s="69"/>
      <c r="AP844" s="69"/>
      <c r="AQ844" s="69"/>
      <c r="AR844" s="69"/>
      <c r="AS844" s="69"/>
      <c r="AT844" s="69"/>
      <c r="AU844" s="69"/>
      <c r="AV844" s="69"/>
    </row>
    <row r="845" ht="15.75" customHeight="1">
      <c r="A845" s="69"/>
      <c r="B845" s="69"/>
      <c r="C845" s="69"/>
      <c r="D845" s="4"/>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c r="AN845" s="69"/>
      <c r="AO845" s="69"/>
      <c r="AP845" s="69"/>
      <c r="AQ845" s="69"/>
      <c r="AR845" s="69"/>
      <c r="AS845" s="69"/>
      <c r="AT845" s="69"/>
      <c r="AU845" s="69"/>
      <c r="AV845" s="69"/>
    </row>
    <row r="846" ht="15.75" customHeight="1">
      <c r="A846" s="69"/>
      <c r="B846" s="69"/>
      <c r="C846" s="69"/>
      <c r="D846" s="4"/>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c r="AP846" s="69"/>
      <c r="AQ846" s="69"/>
      <c r="AR846" s="69"/>
      <c r="AS846" s="69"/>
      <c r="AT846" s="69"/>
      <c r="AU846" s="69"/>
      <c r="AV846" s="69"/>
    </row>
    <row r="847" ht="15.75" customHeight="1">
      <c r="A847" s="69"/>
      <c r="B847" s="69"/>
      <c r="C847" s="69"/>
      <c r="D847" s="4"/>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c r="AN847" s="69"/>
      <c r="AO847" s="69"/>
      <c r="AP847" s="69"/>
      <c r="AQ847" s="69"/>
      <c r="AR847" s="69"/>
      <c r="AS847" s="69"/>
      <c r="AT847" s="69"/>
      <c r="AU847" s="69"/>
      <c r="AV847" s="69"/>
    </row>
    <row r="848" ht="15.75" customHeight="1">
      <c r="A848" s="69"/>
      <c r="B848" s="69"/>
      <c r="C848" s="69"/>
      <c r="D848" s="4"/>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c r="AP848" s="69"/>
      <c r="AQ848" s="69"/>
      <c r="AR848" s="69"/>
      <c r="AS848" s="69"/>
      <c r="AT848" s="69"/>
      <c r="AU848" s="69"/>
      <c r="AV848" s="69"/>
    </row>
    <row r="849" ht="15.75" customHeight="1">
      <c r="A849" s="69"/>
      <c r="B849" s="69"/>
      <c r="C849" s="69"/>
      <c r="D849" s="4"/>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c r="AN849" s="69"/>
      <c r="AO849" s="69"/>
      <c r="AP849" s="69"/>
      <c r="AQ849" s="69"/>
      <c r="AR849" s="69"/>
      <c r="AS849" s="69"/>
      <c r="AT849" s="69"/>
      <c r="AU849" s="69"/>
      <c r="AV849" s="69"/>
    </row>
    <row r="850" ht="15.75" customHeight="1">
      <c r="A850" s="69"/>
      <c r="B850" s="69"/>
      <c r="C850" s="69"/>
      <c r="D850" s="4"/>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c r="AN850" s="69"/>
      <c r="AO850" s="69"/>
      <c r="AP850" s="69"/>
      <c r="AQ850" s="69"/>
      <c r="AR850" s="69"/>
      <c r="AS850" s="69"/>
      <c r="AT850" s="69"/>
      <c r="AU850" s="69"/>
      <c r="AV850" s="69"/>
    </row>
    <row r="851" ht="15.75" customHeight="1">
      <c r="A851" s="69"/>
      <c r="B851" s="69"/>
      <c r="C851" s="69"/>
      <c r="D851" s="4"/>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c r="AN851" s="69"/>
      <c r="AO851" s="69"/>
      <c r="AP851" s="69"/>
      <c r="AQ851" s="69"/>
      <c r="AR851" s="69"/>
      <c r="AS851" s="69"/>
      <c r="AT851" s="69"/>
      <c r="AU851" s="69"/>
      <c r="AV851" s="69"/>
    </row>
    <row r="852" ht="15.75" customHeight="1">
      <c r="A852" s="69"/>
      <c r="B852" s="69"/>
      <c r="C852" s="69"/>
      <c r="D852" s="4"/>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c r="AN852" s="69"/>
      <c r="AO852" s="69"/>
      <c r="AP852" s="69"/>
      <c r="AQ852" s="69"/>
      <c r="AR852" s="69"/>
      <c r="AS852" s="69"/>
      <c r="AT852" s="69"/>
      <c r="AU852" s="69"/>
      <c r="AV852" s="69"/>
    </row>
    <row r="853" ht="15.75" customHeight="1">
      <c r="A853" s="69"/>
      <c r="B853" s="69"/>
      <c r="C853" s="69"/>
      <c r="D853" s="4"/>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c r="AN853" s="69"/>
      <c r="AO853" s="69"/>
      <c r="AP853" s="69"/>
      <c r="AQ853" s="69"/>
      <c r="AR853" s="69"/>
      <c r="AS853" s="69"/>
      <c r="AT853" s="69"/>
      <c r="AU853" s="69"/>
      <c r="AV853" s="69"/>
    </row>
    <row r="854" ht="15.75" customHeight="1">
      <c r="A854" s="69"/>
      <c r="B854" s="69"/>
      <c r="C854" s="69"/>
      <c r="D854" s="4"/>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c r="AP854" s="69"/>
      <c r="AQ854" s="69"/>
      <c r="AR854" s="69"/>
      <c r="AS854" s="69"/>
      <c r="AT854" s="69"/>
      <c r="AU854" s="69"/>
      <c r="AV854" s="69"/>
    </row>
    <row r="855" ht="15.75" customHeight="1">
      <c r="A855" s="69"/>
      <c r="B855" s="69"/>
      <c r="C855" s="69"/>
      <c r="D855" s="4"/>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c r="AN855" s="69"/>
      <c r="AO855" s="69"/>
      <c r="AP855" s="69"/>
      <c r="AQ855" s="69"/>
      <c r="AR855" s="69"/>
      <c r="AS855" s="69"/>
      <c r="AT855" s="69"/>
      <c r="AU855" s="69"/>
      <c r="AV855" s="69"/>
    </row>
    <row r="856" ht="15.75" customHeight="1">
      <c r="A856" s="69"/>
      <c r="B856" s="69"/>
      <c r="C856" s="69"/>
      <c r="D856" s="4"/>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c r="AP856" s="69"/>
      <c r="AQ856" s="69"/>
      <c r="AR856" s="69"/>
      <c r="AS856" s="69"/>
      <c r="AT856" s="69"/>
      <c r="AU856" s="69"/>
      <c r="AV856" s="69"/>
    </row>
    <row r="857" ht="15.75" customHeight="1">
      <c r="A857" s="69"/>
      <c r="B857" s="69"/>
      <c r="C857" s="69"/>
      <c r="D857" s="4"/>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c r="AN857" s="69"/>
      <c r="AO857" s="69"/>
      <c r="AP857" s="69"/>
      <c r="AQ857" s="69"/>
      <c r="AR857" s="69"/>
      <c r="AS857" s="69"/>
      <c r="AT857" s="69"/>
      <c r="AU857" s="69"/>
      <c r="AV857" s="69"/>
    </row>
    <row r="858" ht="15.75" customHeight="1">
      <c r="A858" s="69"/>
      <c r="B858" s="69"/>
      <c r="C858" s="69"/>
      <c r="D858" s="4"/>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c r="AN858" s="69"/>
      <c r="AO858" s="69"/>
      <c r="AP858" s="69"/>
      <c r="AQ858" s="69"/>
      <c r="AR858" s="69"/>
      <c r="AS858" s="69"/>
      <c r="AT858" s="69"/>
      <c r="AU858" s="69"/>
      <c r="AV858" s="69"/>
    </row>
    <row r="859" ht="15.75" customHeight="1">
      <c r="A859" s="69"/>
      <c r="B859" s="69"/>
      <c r="C859" s="69"/>
      <c r="D859" s="4"/>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c r="AN859" s="69"/>
      <c r="AO859" s="69"/>
      <c r="AP859" s="69"/>
      <c r="AQ859" s="69"/>
      <c r="AR859" s="69"/>
      <c r="AS859" s="69"/>
      <c r="AT859" s="69"/>
      <c r="AU859" s="69"/>
      <c r="AV859" s="69"/>
    </row>
    <row r="860" ht="15.75" customHeight="1">
      <c r="A860" s="69"/>
      <c r="B860" s="69"/>
      <c r="C860" s="69"/>
      <c r="D860" s="4"/>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c r="AN860" s="69"/>
      <c r="AO860" s="69"/>
      <c r="AP860" s="69"/>
      <c r="AQ860" s="69"/>
      <c r="AR860" s="69"/>
      <c r="AS860" s="69"/>
      <c r="AT860" s="69"/>
      <c r="AU860" s="69"/>
      <c r="AV860" s="69"/>
    </row>
    <row r="861" ht="15.75" customHeight="1">
      <c r="A861" s="69"/>
      <c r="B861" s="69"/>
      <c r="C861" s="69"/>
      <c r="D861" s="4"/>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c r="AN861" s="69"/>
      <c r="AO861" s="69"/>
      <c r="AP861" s="69"/>
      <c r="AQ861" s="69"/>
      <c r="AR861" s="69"/>
      <c r="AS861" s="69"/>
      <c r="AT861" s="69"/>
      <c r="AU861" s="69"/>
      <c r="AV861" s="69"/>
    </row>
    <row r="862" ht="15.75" customHeight="1">
      <c r="A862" s="69"/>
      <c r="B862" s="69"/>
      <c r="C862" s="69"/>
      <c r="D862" s="4"/>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c r="AP862" s="69"/>
      <c r="AQ862" s="69"/>
      <c r="AR862" s="69"/>
      <c r="AS862" s="69"/>
      <c r="AT862" s="69"/>
      <c r="AU862" s="69"/>
      <c r="AV862" s="69"/>
    </row>
    <row r="863" ht="15.75" customHeight="1">
      <c r="A863" s="69"/>
      <c r="B863" s="69"/>
      <c r="C863" s="69"/>
      <c r="D863" s="4"/>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c r="AN863" s="69"/>
      <c r="AO863" s="69"/>
      <c r="AP863" s="69"/>
      <c r="AQ863" s="69"/>
      <c r="AR863" s="69"/>
      <c r="AS863" s="69"/>
      <c r="AT863" s="69"/>
      <c r="AU863" s="69"/>
      <c r="AV863" s="69"/>
    </row>
    <row r="864" ht="15.75" customHeight="1">
      <c r="A864" s="69"/>
      <c r="B864" s="69"/>
      <c r="C864" s="69"/>
      <c r="D864" s="4"/>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c r="AP864" s="69"/>
      <c r="AQ864" s="69"/>
      <c r="AR864" s="69"/>
      <c r="AS864" s="69"/>
      <c r="AT864" s="69"/>
      <c r="AU864" s="69"/>
      <c r="AV864" s="69"/>
    </row>
    <row r="865" ht="15.75" customHeight="1">
      <c r="A865" s="69"/>
      <c r="B865" s="69"/>
      <c r="C865" s="69"/>
      <c r="D865" s="4"/>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c r="AN865" s="69"/>
      <c r="AO865" s="69"/>
      <c r="AP865" s="69"/>
      <c r="AQ865" s="69"/>
      <c r="AR865" s="69"/>
      <c r="AS865" s="69"/>
      <c r="AT865" s="69"/>
      <c r="AU865" s="69"/>
      <c r="AV865" s="69"/>
    </row>
    <row r="866" ht="15.75" customHeight="1">
      <c r="A866" s="69"/>
      <c r="B866" s="69"/>
      <c r="C866" s="69"/>
      <c r="D866" s="4"/>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c r="AN866" s="69"/>
      <c r="AO866" s="69"/>
      <c r="AP866" s="69"/>
      <c r="AQ866" s="69"/>
      <c r="AR866" s="69"/>
      <c r="AS866" s="69"/>
      <c r="AT866" s="69"/>
      <c r="AU866" s="69"/>
      <c r="AV866" s="69"/>
    </row>
    <row r="867" ht="15.75" customHeight="1">
      <c r="A867" s="69"/>
      <c r="B867" s="69"/>
      <c r="C867" s="69"/>
      <c r="D867" s="4"/>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c r="AN867" s="69"/>
      <c r="AO867" s="69"/>
      <c r="AP867" s="69"/>
      <c r="AQ867" s="69"/>
      <c r="AR867" s="69"/>
      <c r="AS867" s="69"/>
      <c r="AT867" s="69"/>
      <c r="AU867" s="69"/>
      <c r="AV867" s="69"/>
    </row>
    <row r="868" ht="15.75" customHeight="1">
      <c r="A868" s="69"/>
      <c r="B868" s="69"/>
      <c r="C868" s="69"/>
      <c r="D868" s="4"/>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c r="AN868" s="69"/>
      <c r="AO868" s="69"/>
      <c r="AP868" s="69"/>
      <c r="AQ868" s="69"/>
      <c r="AR868" s="69"/>
      <c r="AS868" s="69"/>
      <c r="AT868" s="69"/>
      <c r="AU868" s="69"/>
      <c r="AV868" s="69"/>
    </row>
    <row r="869" ht="15.75" customHeight="1">
      <c r="A869" s="69"/>
      <c r="B869" s="69"/>
      <c r="C869" s="69"/>
      <c r="D869" s="4"/>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c r="AN869" s="69"/>
      <c r="AO869" s="69"/>
      <c r="AP869" s="69"/>
      <c r="AQ869" s="69"/>
      <c r="AR869" s="69"/>
      <c r="AS869" s="69"/>
      <c r="AT869" s="69"/>
      <c r="AU869" s="69"/>
      <c r="AV869" s="69"/>
    </row>
    <row r="870" ht="15.75" customHeight="1">
      <c r="A870" s="69"/>
      <c r="B870" s="69"/>
      <c r="C870" s="69"/>
      <c r="D870" s="4"/>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c r="AP870" s="69"/>
      <c r="AQ870" s="69"/>
      <c r="AR870" s="69"/>
      <c r="AS870" s="69"/>
      <c r="AT870" s="69"/>
      <c r="AU870" s="69"/>
      <c r="AV870" s="69"/>
    </row>
    <row r="871" ht="15.75" customHeight="1">
      <c r="A871" s="69"/>
      <c r="B871" s="69"/>
      <c r="C871" s="69"/>
      <c r="D871" s="4"/>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c r="AN871" s="69"/>
      <c r="AO871" s="69"/>
      <c r="AP871" s="69"/>
      <c r="AQ871" s="69"/>
      <c r="AR871" s="69"/>
      <c r="AS871" s="69"/>
      <c r="AT871" s="69"/>
      <c r="AU871" s="69"/>
      <c r="AV871" s="69"/>
    </row>
    <row r="872" ht="15.75" customHeight="1">
      <c r="A872" s="69"/>
      <c r="B872" s="69"/>
      <c r="C872" s="69"/>
      <c r="D872" s="4"/>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c r="AP872" s="69"/>
      <c r="AQ872" s="69"/>
      <c r="AR872" s="69"/>
      <c r="AS872" s="69"/>
      <c r="AT872" s="69"/>
      <c r="AU872" s="69"/>
      <c r="AV872" s="69"/>
    </row>
    <row r="873" ht="15.75" customHeight="1">
      <c r="A873" s="69"/>
      <c r="B873" s="69"/>
      <c r="C873" s="69"/>
      <c r="D873" s="4"/>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c r="AN873" s="69"/>
      <c r="AO873" s="69"/>
      <c r="AP873" s="69"/>
      <c r="AQ873" s="69"/>
      <c r="AR873" s="69"/>
      <c r="AS873" s="69"/>
      <c r="AT873" s="69"/>
      <c r="AU873" s="69"/>
      <c r="AV873" s="69"/>
    </row>
    <row r="874" ht="15.75" customHeight="1">
      <c r="A874" s="69"/>
      <c r="B874" s="69"/>
      <c r="C874" s="69"/>
      <c r="D874" s="4"/>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c r="AN874" s="69"/>
      <c r="AO874" s="69"/>
      <c r="AP874" s="69"/>
      <c r="AQ874" s="69"/>
      <c r="AR874" s="69"/>
      <c r="AS874" s="69"/>
      <c r="AT874" s="69"/>
      <c r="AU874" s="69"/>
      <c r="AV874" s="69"/>
    </row>
    <row r="875" ht="15.75" customHeight="1">
      <c r="A875" s="69"/>
      <c r="B875" s="69"/>
      <c r="C875" s="69"/>
      <c r="D875" s="4"/>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c r="AN875" s="69"/>
      <c r="AO875" s="69"/>
      <c r="AP875" s="69"/>
      <c r="AQ875" s="69"/>
      <c r="AR875" s="69"/>
      <c r="AS875" s="69"/>
      <c r="AT875" s="69"/>
      <c r="AU875" s="69"/>
      <c r="AV875" s="69"/>
    </row>
    <row r="876" ht="15.75" customHeight="1">
      <c r="A876" s="69"/>
      <c r="B876" s="69"/>
      <c r="C876" s="69"/>
      <c r="D876" s="4"/>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c r="AN876" s="69"/>
      <c r="AO876" s="69"/>
      <c r="AP876" s="69"/>
      <c r="AQ876" s="69"/>
      <c r="AR876" s="69"/>
      <c r="AS876" s="69"/>
      <c r="AT876" s="69"/>
      <c r="AU876" s="69"/>
      <c r="AV876" s="69"/>
    </row>
    <row r="877" ht="15.75" customHeight="1">
      <c r="A877" s="69"/>
      <c r="B877" s="69"/>
      <c r="C877" s="69"/>
      <c r="D877" s="4"/>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c r="AN877" s="69"/>
      <c r="AO877" s="69"/>
      <c r="AP877" s="69"/>
      <c r="AQ877" s="69"/>
      <c r="AR877" s="69"/>
      <c r="AS877" s="69"/>
      <c r="AT877" s="69"/>
      <c r="AU877" s="69"/>
      <c r="AV877" s="69"/>
    </row>
    <row r="878" ht="15.75" customHeight="1">
      <c r="A878" s="69"/>
      <c r="B878" s="69"/>
      <c r="C878" s="69"/>
      <c r="D878" s="4"/>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c r="AP878" s="69"/>
      <c r="AQ878" s="69"/>
      <c r="AR878" s="69"/>
      <c r="AS878" s="69"/>
      <c r="AT878" s="69"/>
      <c r="AU878" s="69"/>
      <c r="AV878" s="69"/>
    </row>
    <row r="879" ht="15.75" customHeight="1">
      <c r="A879" s="69"/>
      <c r="B879" s="69"/>
      <c r="C879" s="69"/>
      <c r="D879" s="4"/>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c r="AN879" s="69"/>
      <c r="AO879" s="69"/>
      <c r="AP879" s="69"/>
      <c r="AQ879" s="69"/>
      <c r="AR879" s="69"/>
      <c r="AS879" s="69"/>
      <c r="AT879" s="69"/>
      <c r="AU879" s="69"/>
      <c r="AV879" s="69"/>
    </row>
    <row r="880" ht="15.75" customHeight="1">
      <c r="A880" s="69"/>
      <c r="B880" s="69"/>
      <c r="C880" s="69"/>
      <c r="D880" s="4"/>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c r="AP880" s="69"/>
      <c r="AQ880" s="69"/>
      <c r="AR880" s="69"/>
      <c r="AS880" s="69"/>
      <c r="AT880" s="69"/>
      <c r="AU880" s="69"/>
      <c r="AV880" s="69"/>
    </row>
    <row r="881" ht="15.75" customHeight="1">
      <c r="A881" s="69"/>
      <c r="B881" s="69"/>
      <c r="C881" s="69"/>
      <c r="D881" s="4"/>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c r="AN881" s="69"/>
      <c r="AO881" s="69"/>
      <c r="AP881" s="69"/>
      <c r="AQ881" s="69"/>
      <c r="AR881" s="69"/>
      <c r="AS881" s="69"/>
      <c r="AT881" s="69"/>
      <c r="AU881" s="69"/>
      <c r="AV881" s="69"/>
    </row>
    <row r="882" ht="15.75" customHeight="1">
      <c r="A882" s="69"/>
      <c r="B882" s="69"/>
      <c r="C882" s="69"/>
      <c r="D882" s="4"/>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c r="AN882" s="69"/>
      <c r="AO882" s="69"/>
      <c r="AP882" s="69"/>
      <c r="AQ882" s="69"/>
      <c r="AR882" s="69"/>
      <c r="AS882" s="69"/>
      <c r="AT882" s="69"/>
      <c r="AU882" s="69"/>
      <c r="AV882" s="69"/>
    </row>
    <row r="883" ht="15.75" customHeight="1">
      <c r="A883" s="69"/>
      <c r="B883" s="69"/>
      <c r="C883" s="69"/>
      <c r="D883" s="4"/>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c r="AN883" s="69"/>
      <c r="AO883" s="69"/>
      <c r="AP883" s="69"/>
      <c r="AQ883" s="69"/>
      <c r="AR883" s="69"/>
      <c r="AS883" s="69"/>
      <c r="AT883" s="69"/>
      <c r="AU883" s="69"/>
      <c r="AV883" s="69"/>
    </row>
    <row r="884" ht="15.75" customHeight="1">
      <c r="A884" s="69"/>
      <c r="B884" s="69"/>
      <c r="C884" s="69"/>
      <c r="D884" s="4"/>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c r="AN884" s="69"/>
      <c r="AO884" s="69"/>
      <c r="AP884" s="69"/>
      <c r="AQ884" s="69"/>
      <c r="AR884" s="69"/>
      <c r="AS884" s="69"/>
      <c r="AT884" s="69"/>
      <c r="AU884" s="69"/>
      <c r="AV884" s="69"/>
    </row>
    <row r="885" ht="15.75" customHeight="1">
      <c r="A885" s="69"/>
      <c r="B885" s="69"/>
      <c r="C885" s="69"/>
      <c r="D885" s="4"/>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c r="AN885" s="69"/>
      <c r="AO885" s="69"/>
      <c r="AP885" s="69"/>
      <c r="AQ885" s="69"/>
      <c r="AR885" s="69"/>
      <c r="AS885" s="69"/>
      <c r="AT885" s="69"/>
      <c r="AU885" s="69"/>
      <c r="AV885" s="69"/>
    </row>
    <row r="886" ht="15.75" customHeight="1">
      <c r="A886" s="69"/>
      <c r="B886" s="69"/>
      <c r="C886" s="69"/>
      <c r="D886" s="4"/>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c r="AP886" s="69"/>
      <c r="AQ886" s="69"/>
      <c r="AR886" s="69"/>
      <c r="AS886" s="69"/>
      <c r="AT886" s="69"/>
      <c r="AU886" s="69"/>
      <c r="AV886" s="69"/>
    </row>
    <row r="887" ht="15.75" customHeight="1">
      <c r="A887" s="69"/>
      <c r="B887" s="69"/>
      <c r="C887" s="69"/>
      <c r="D887" s="4"/>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c r="AN887" s="69"/>
      <c r="AO887" s="69"/>
      <c r="AP887" s="69"/>
      <c r="AQ887" s="69"/>
      <c r="AR887" s="69"/>
      <c r="AS887" s="69"/>
      <c r="AT887" s="69"/>
      <c r="AU887" s="69"/>
      <c r="AV887" s="69"/>
    </row>
    <row r="888" ht="15.75" customHeight="1">
      <c r="A888" s="69"/>
      <c r="B888" s="69"/>
      <c r="C888" s="69"/>
      <c r="D888" s="4"/>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c r="AP888" s="69"/>
      <c r="AQ888" s="69"/>
      <c r="AR888" s="69"/>
      <c r="AS888" s="69"/>
      <c r="AT888" s="69"/>
      <c r="AU888" s="69"/>
      <c r="AV888" s="69"/>
    </row>
    <row r="889" ht="15.75" customHeight="1">
      <c r="A889" s="69"/>
      <c r="B889" s="69"/>
      <c r="C889" s="69"/>
      <c r="D889" s="4"/>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c r="AN889" s="69"/>
      <c r="AO889" s="69"/>
      <c r="AP889" s="69"/>
      <c r="AQ889" s="69"/>
      <c r="AR889" s="69"/>
      <c r="AS889" s="69"/>
      <c r="AT889" s="69"/>
      <c r="AU889" s="69"/>
      <c r="AV889" s="69"/>
    </row>
    <row r="890" ht="15.75" customHeight="1">
      <c r="A890" s="69"/>
      <c r="B890" s="69"/>
      <c r="C890" s="69"/>
      <c r="D890" s="4"/>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c r="AN890" s="69"/>
      <c r="AO890" s="69"/>
      <c r="AP890" s="69"/>
      <c r="AQ890" s="69"/>
      <c r="AR890" s="69"/>
      <c r="AS890" s="69"/>
      <c r="AT890" s="69"/>
      <c r="AU890" s="69"/>
      <c r="AV890" s="69"/>
    </row>
    <row r="891" ht="15.75" customHeight="1">
      <c r="A891" s="69"/>
      <c r="B891" s="69"/>
      <c r="C891" s="69"/>
      <c r="D891" s="4"/>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c r="AN891" s="69"/>
      <c r="AO891" s="69"/>
      <c r="AP891" s="69"/>
      <c r="AQ891" s="69"/>
      <c r="AR891" s="69"/>
      <c r="AS891" s="69"/>
      <c r="AT891" s="69"/>
      <c r="AU891" s="69"/>
      <c r="AV891" s="69"/>
    </row>
    <row r="892" ht="15.75" customHeight="1">
      <c r="A892" s="69"/>
      <c r="B892" s="69"/>
      <c r="C892" s="69"/>
      <c r="D892" s="4"/>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c r="AN892" s="69"/>
      <c r="AO892" s="69"/>
      <c r="AP892" s="69"/>
      <c r="AQ892" s="69"/>
      <c r="AR892" s="69"/>
      <c r="AS892" s="69"/>
      <c r="AT892" s="69"/>
      <c r="AU892" s="69"/>
      <c r="AV892" s="69"/>
    </row>
    <row r="893" ht="15.75" customHeight="1">
      <c r="A893" s="69"/>
      <c r="B893" s="69"/>
      <c r="C893" s="69"/>
      <c r="D893" s="4"/>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c r="AN893" s="69"/>
      <c r="AO893" s="69"/>
      <c r="AP893" s="69"/>
      <c r="AQ893" s="69"/>
      <c r="AR893" s="69"/>
      <c r="AS893" s="69"/>
      <c r="AT893" s="69"/>
      <c r="AU893" s="69"/>
      <c r="AV893" s="69"/>
    </row>
    <row r="894" ht="15.75" customHeight="1">
      <c r="A894" s="69"/>
      <c r="B894" s="69"/>
      <c r="C894" s="69"/>
      <c r="D894" s="4"/>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c r="AP894" s="69"/>
      <c r="AQ894" s="69"/>
      <c r="AR894" s="69"/>
      <c r="AS894" s="69"/>
      <c r="AT894" s="69"/>
      <c r="AU894" s="69"/>
      <c r="AV894" s="69"/>
    </row>
    <row r="895" ht="15.75" customHeight="1">
      <c r="A895" s="69"/>
      <c r="B895" s="69"/>
      <c r="C895" s="69"/>
      <c r="D895" s="4"/>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c r="AN895" s="69"/>
      <c r="AO895" s="69"/>
      <c r="AP895" s="69"/>
      <c r="AQ895" s="69"/>
      <c r="AR895" s="69"/>
      <c r="AS895" s="69"/>
      <c r="AT895" s="69"/>
      <c r="AU895" s="69"/>
      <c r="AV895" s="69"/>
    </row>
    <row r="896" ht="15.75" customHeight="1">
      <c r="A896" s="69"/>
      <c r="B896" s="69"/>
      <c r="C896" s="69"/>
      <c r="D896" s="4"/>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c r="AP896" s="69"/>
      <c r="AQ896" s="69"/>
      <c r="AR896" s="69"/>
      <c r="AS896" s="69"/>
      <c r="AT896" s="69"/>
      <c r="AU896" s="69"/>
      <c r="AV896" s="69"/>
    </row>
    <row r="897" ht="15.75" customHeight="1">
      <c r="A897" s="69"/>
      <c r="B897" s="69"/>
      <c r="C897" s="69"/>
      <c r="D897" s="4"/>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c r="AN897" s="69"/>
      <c r="AO897" s="69"/>
      <c r="AP897" s="69"/>
      <c r="AQ897" s="69"/>
      <c r="AR897" s="69"/>
      <c r="AS897" s="69"/>
      <c r="AT897" s="69"/>
      <c r="AU897" s="69"/>
      <c r="AV897" s="69"/>
    </row>
    <row r="898" ht="15.75" customHeight="1">
      <c r="A898" s="69"/>
      <c r="B898" s="69"/>
      <c r="C898" s="69"/>
      <c r="D898" s="4"/>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c r="AN898" s="69"/>
      <c r="AO898" s="69"/>
      <c r="AP898" s="69"/>
      <c r="AQ898" s="69"/>
      <c r="AR898" s="69"/>
      <c r="AS898" s="69"/>
      <c r="AT898" s="69"/>
      <c r="AU898" s="69"/>
      <c r="AV898" s="69"/>
    </row>
    <row r="899" ht="15.75" customHeight="1">
      <c r="A899" s="69"/>
      <c r="B899" s="69"/>
      <c r="C899" s="69"/>
      <c r="D899" s="4"/>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c r="AN899" s="69"/>
      <c r="AO899" s="69"/>
      <c r="AP899" s="69"/>
      <c r="AQ899" s="69"/>
      <c r="AR899" s="69"/>
      <c r="AS899" s="69"/>
      <c r="AT899" s="69"/>
      <c r="AU899" s="69"/>
      <c r="AV899" s="69"/>
    </row>
    <row r="900" ht="15.75" customHeight="1">
      <c r="A900" s="69"/>
      <c r="B900" s="69"/>
      <c r="C900" s="69"/>
      <c r="D900" s="4"/>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c r="AN900" s="69"/>
      <c r="AO900" s="69"/>
      <c r="AP900" s="69"/>
      <c r="AQ900" s="69"/>
      <c r="AR900" s="69"/>
      <c r="AS900" s="69"/>
      <c r="AT900" s="69"/>
      <c r="AU900" s="69"/>
      <c r="AV900" s="69"/>
    </row>
    <row r="901" ht="15.75" customHeight="1">
      <c r="A901" s="69"/>
      <c r="B901" s="69"/>
      <c r="C901" s="69"/>
      <c r="D901" s="4"/>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c r="AN901" s="69"/>
      <c r="AO901" s="69"/>
      <c r="AP901" s="69"/>
      <c r="AQ901" s="69"/>
      <c r="AR901" s="69"/>
      <c r="AS901" s="69"/>
      <c r="AT901" s="69"/>
      <c r="AU901" s="69"/>
      <c r="AV901" s="69"/>
    </row>
    <row r="902" ht="15.75" customHeight="1">
      <c r="A902" s="69"/>
      <c r="B902" s="69"/>
      <c r="C902" s="69"/>
      <c r="D902" s="4"/>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c r="AP902" s="69"/>
      <c r="AQ902" s="69"/>
      <c r="AR902" s="69"/>
      <c r="AS902" s="69"/>
      <c r="AT902" s="69"/>
      <c r="AU902" s="69"/>
      <c r="AV902" s="69"/>
    </row>
    <row r="903" ht="15.75" customHeight="1">
      <c r="A903" s="69"/>
      <c r="B903" s="69"/>
      <c r="C903" s="69"/>
      <c r="D903" s="4"/>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c r="AN903" s="69"/>
      <c r="AO903" s="69"/>
      <c r="AP903" s="69"/>
      <c r="AQ903" s="69"/>
      <c r="AR903" s="69"/>
      <c r="AS903" s="69"/>
      <c r="AT903" s="69"/>
      <c r="AU903" s="69"/>
      <c r="AV903" s="69"/>
    </row>
    <row r="904" ht="15.75" customHeight="1">
      <c r="A904" s="69"/>
      <c r="B904" s="69"/>
      <c r="C904" s="69"/>
      <c r="D904" s="4"/>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c r="AP904" s="69"/>
      <c r="AQ904" s="69"/>
      <c r="AR904" s="69"/>
      <c r="AS904" s="69"/>
      <c r="AT904" s="69"/>
      <c r="AU904" s="69"/>
      <c r="AV904" s="69"/>
    </row>
    <row r="905" ht="15.75" customHeight="1">
      <c r="A905" s="69"/>
      <c r="B905" s="69"/>
      <c r="C905" s="69"/>
      <c r="D905" s="4"/>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c r="AN905" s="69"/>
      <c r="AO905" s="69"/>
      <c r="AP905" s="69"/>
      <c r="AQ905" s="69"/>
      <c r="AR905" s="69"/>
      <c r="AS905" s="69"/>
      <c r="AT905" s="69"/>
      <c r="AU905" s="69"/>
      <c r="AV905" s="69"/>
    </row>
    <row r="906" ht="15.75" customHeight="1">
      <c r="A906" s="69"/>
      <c r="B906" s="69"/>
      <c r="C906" s="69"/>
      <c r="D906" s="4"/>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c r="AN906" s="69"/>
      <c r="AO906" s="69"/>
      <c r="AP906" s="69"/>
      <c r="AQ906" s="69"/>
      <c r="AR906" s="69"/>
      <c r="AS906" s="69"/>
      <c r="AT906" s="69"/>
      <c r="AU906" s="69"/>
      <c r="AV906" s="69"/>
    </row>
    <row r="907" ht="15.75" customHeight="1">
      <c r="A907" s="69"/>
      <c r="B907" s="69"/>
      <c r="C907" s="69"/>
      <c r="D907" s="4"/>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c r="AN907" s="69"/>
      <c r="AO907" s="69"/>
      <c r="AP907" s="69"/>
      <c r="AQ907" s="69"/>
      <c r="AR907" s="69"/>
      <c r="AS907" s="69"/>
      <c r="AT907" s="69"/>
      <c r="AU907" s="69"/>
      <c r="AV907" s="69"/>
    </row>
    <row r="908" ht="15.75" customHeight="1">
      <c r="A908" s="69"/>
      <c r="B908" s="69"/>
      <c r="C908" s="69"/>
      <c r="D908" s="4"/>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c r="AN908" s="69"/>
      <c r="AO908" s="69"/>
      <c r="AP908" s="69"/>
      <c r="AQ908" s="69"/>
      <c r="AR908" s="69"/>
      <c r="AS908" s="69"/>
      <c r="AT908" s="69"/>
      <c r="AU908" s="69"/>
      <c r="AV908" s="69"/>
    </row>
    <row r="909" ht="15.75" customHeight="1">
      <c r="A909" s="69"/>
      <c r="B909" s="69"/>
      <c r="C909" s="69"/>
      <c r="D909" s="4"/>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c r="AN909" s="69"/>
      <c r="AO909" s="69"/>
      <c r="AP909" s="69"/>
      <c r="AQ909" s="69"/>
      <c r="AR909" s="69"/>
      <c r="AS909" s="69"/>
      <c r="AT909" s="69"/>
      <c r="AU909" s="69"/>
      <c r="AV909" s="69"/>
    </row>
    <row r="910" ht="15.75" customHeight="1">
      <c r="A910" s="69"/>
      <c r="B910" s="69"/>
      <c r="C910" s="69"/>
      <c r="D910" s="4"/>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c r="AP910" s="69"/>
      <c r="AQ910" s="69"/>
      <c r="AR910" s="69"/>
      <c r="AS910" s="69"/>
      <c r="AT910" s="69"/>
      <c r="AU910" s="69"/>
      <c r="AV910" s="69"/>
    </row>
    <row r="911" ht="15.75" customHeight="1">
      <c r="A911" s="69"/>
      <c r="B911" s="69"/>
      <c r="C911" s="69"/>
      <c r="D911" s="4"/>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c r="AN911" s="69"/>
      <c r="AO911" s="69"/>
      <c r="AP911" s="69"/>
      <c r="AQ911" s="69"/>
      <c r="AR911" s="69"/>
      <c r="AS911" s="69"/>
      <c r="AT911" s="69"/>
      <c r="AU911" s="69"/>
      <c r="AV911" s="69"/>
    </row>
    <row r="912" ht="15.75" customHeight="1">
      <c r="A912" s="69"/>
      <c r="B912" s="69"/>
      <c r="C912" s="69"/>
      <c r="D912" s="4"/>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c r="AP912" s="69"/>
      <c r="AQ912" s="69"/>
      <c r="AR912" s="69"/>
      <c r="AS912" s="69"/>
      <c r="AT912" s="69"/>
      <c r="AU912" s="69"/>
      <c r="AV912" s="69"/>
    </row>
    <row r="913" ht="15.75" customHeight="1">
      <c r="A913" s="69"/>
      <c r="B913" s="69"/>
      <c r="C913" s="69"/>
      <c r="D913" s="4"/>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c r="AN913" s="69"/>
      <c r="AO913" s="69"/>
      <c r="AP913" s="69"/>
      <c r="AQ913" s="69"/>
      <c r="AR913" s="69"/>
      <c r="AS913" s="69"/>
      <c r="AT913" s="69"/>
      <c r="AU913" s="69"/>
      <c r="AV913" s="69"/>
    </row>
    <row r="914" ht="15.75" customHeight="1">
      <c r="A914" s="69"/>
      <c r="B914" s="69"/>
      <c r="C914" s="69"/>
      <c r="D914" s="4"/>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c r="AN914" s="69"/>
      <c r="AO914" s="69"/>
      <c r="AP914" s="69"/>
      <c r="AQ914" s="69"/>
      <c r="AR914" s="69"/>
      <c r="AS914" s="69"/>
      <c r="AT914" s="69"/>
      <c r="AU914" s="69"/>
      <c r="AV914" s="69"/>
    </row>
    <row r="915" ht="15.75" customHeight="1">
      <c r="A915" s="69"/>
      <c r="B915" s="69"/>
      <c r="C915" s="69"/>
      <c r="D915" s="4"/>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c r="AN915" s="69"/>
      <c r="AO915" s="69"/>
      <c r="AP915" s="69"/>
      <c r="AQ915" s="69"/>
      <c r="AR915" s="69"/>
      <c r="AS915" s="69"/>
      <c r="AT915" s="69"/>
      <c r="AU915" s="69"/>
      <c r="AV915" s="69"/>
    </row>
    <row r="916" ht="15.75" customHeight="1">
      <c r="A916" s="69"/>
      <c r="B916" s="69"/>
      <c r="C916" s="69"/>
      <c r="D916" s="4"/>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c r="AN916" s="69"/>
      <c r="AO916" s="69"/>
      <c r="AP916" s="69"/>
      <c r="AQ916" s="69"/>
      <c r="AR916" s="69"/>
      <c r="AS916" s="69"/>
      <c r="AT916" s="69"/>
      <c r="AU916" s="69"/>
      <c r="AV916" s="69"/>
    </row>
    <row r="917" ht="15.75" customHeight="1">
      <c r="A917" s="69"/>
      <c r="B917" s="69"/>
      <c r="C917" s="69"/>
      <c r="D917" s="4"/>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c r="AN917" s="69"/>
      <c r="AO917" s="69"/>
      <c r="AP917" s="69"/>
      <c r="AQ917" s="69"/>
      <c r="AR917" s="69"/>
      <c r="AS917" s="69"/>
      <c r="AT917" s="69"/>
      <c r="AU917" s="69"/>
      <c r="AV917" s="69"/>
    </row>
    <row r="918" ht="15.75" customHeight="1">
      <c r="A918" s="69"/>
      <c r="B918" s="69"/>
      <c r="C918" s="69"/>
      <c r="D918" s="4"/>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c r="AP918" s="69"/>
      <c r="AQ918" s="69"/>
      <c r="AR918" s="69"/>
      <c r="AS918" s="69"/>
      <c r="AT918" s="69"/>
      <c r="AU918" s="69"/>
      <c r="AV918" s="69"/>
    </row>
    <row r="919" ht="15.75" customHeight="1">
      <c r="A919" s="69"/>
      <c r="B919" s="69"/>
      <c r="C919" s="69"/>
      <c r="D919" s="4"/>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c r="AN919" s="69"/>
      <c r="AO919" s="69"/>
      <c r="AP919" s="69"/>
      <c r="AQ919" s="69"/>
      <c r="AR919" s="69"/>
      <c r="AS919" s="69"/>
      <c r="AT919" s="69"/>
      <c r="AU919" s="69"/>
      <c r="AV919" s="69"/>
    </row>
    <row r="920" ht="15.75" customHeight="1">
      <c r="A920" s="69"/>
      <c r="B920" s="69"/>
      <c r="C920" s="69"/>
      <c r="D920" s="4"/>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c r="AP920" s="69"/>
      <c r="AQ920" s="69"/>
      <c r="AR920" s="69"/>
      <c r="AS920" s="69"/>
      <c r="AT920" s="69"/>
      <c r="AU920" s="69"/>
      <c r="AV920" s="69"/>
    </row>
    <row r="921" ht="15.75" customHeight="1">
      <c r="A921" s="69"/>
      <c r="B921" s="69"/>
      <c r="C921" s="69"/>
      <c r="D921" s="4"/>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c r="AN921" s="69"/>
      <c r="AO921" s="69"/>
      <c r="AP921" s="69"/>
      <c r="AQ921" s="69"/>
      <c r="AR921" s="69"/>
      <c r="AS921" s="69"/>
      <c r="AT921" s="69"/>
      <c r="AU921" s="69"/>
      <c r="AV921" s="69"/>
    </row>
    <row r="922" ht="15.75" customHeight="1">
      <c r="A922" s="69"/>
      <c r="B922" s="69"/>
      <c r="C922" s="69"/>
      <c r="D922" s="4"/>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c r="AN922" s="69"/>
      <c r="AO922" s="69"/>
      <c r="AP922" s="69"/>
      <c r="AQ922" s="69"/>
      <c r="AR922" s="69"/>
      <c r="AS922" s="69"/>
      <c r="AT922" s="69"/>
      <c r="AU922" s="69"/>
      <c r="AV922" s="69"/>
    </row>
    <row r="923" ht="15.75" customHeight="1">
      <c r="A923" s="69"/>
      <c r="B923" s="69"/>
      <c r="C923" s="69"/>
      <c r="D923" s="4"/>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c r="AN923" s="69"/>
      <c r="AO923" s="69"/>
      <c r="AP923" s="69"/>
      <c r="AQ923" s="69"/>
      <c r="AR923" s="69"/>
      <c r="AS923" s="69"/>
      <c r="AT923" s="69"/>
      <c r="AU923" s="69"/>
      <c r="AV923" s="69"/>
    </row>
    <row r="924" ht="15.75" customHeight="1">
      <c r="A924" s="69"/>
      <c r="B924" s="69"/>
      <c r="C924" s="69"/>
      <c r="D924" s="4"/>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c r="AP924" s="69"/>
      <c r="AQ924" s="69"/>
      <c r="AR924" s="69"/>
      <c r="AS924" s="69"/>
      <c r="AT924" s="69"/>
      <c r="AU924" s="69"/>
      <c r="AV924" s="69"/>
    </row>
    <row r="925" ht="15.75" customHeight="1">
      <c r="A925" s="69"/>
      <c r="B925" s="69"/>
      <c r="C925" s="69"/>
      <c r="D925" s="4"/>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c r="AN925" s="69"/>
      <c r="AO925" s="69"/>
      <c r="AP925" s="69"/>
      <c r="AQ925" s="69"/>
      <c r="AR925" s="69"/>
      <c r="AS925" s="69"/>
      <c r="AT925" s="69"/>
      <c r="AU925" s="69"/>
      <c r="AV925" s="69"/>
    </row>
    <row r="926" ht="15.75" customHeight="1">
      <c r="A926" s="69"/>
      <c r="B926" s="69"/>
      <c r="C926" s="69"/>
      <c r="D926" s="4"/>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c r="AP926" s="69"/>
      <c r="AQ926" s="69"/>
      <c r="AR926" s="69"/>
      <c r="AS926" s="69"/>
      <c r="AT926" s="69"/>
      <c r="AU926" s="69"/>
      <c r="AV926" s="69"/>
    </row>
    <row r="927" ht="15.75" customHeight="1">
      <c r="A927" s="69"/>
      <c r="B927" s="69"/>
      <c r="C927" s="69"/>
      <c r="D927" s="4"/>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c r="AN927" s="69"/>
      <c r="AO927" s="69"/>
      <c r="AP927" s="69"/>
      <c r="AQ927" s="69"/>
      <c r="AR927" s="69"/>
      <c r="AS927" s="69"/>
      <c r="AT927" s="69"/>
      <c r="AU927" s="69"/>
      <c r="AV927" s="69"/>
    </row>
    <row r="928" ht="15.75" customHeight="1">
      <c r="A928" s="69"/>
      <c r="B928" s="69"/>
      <c r="C928" s="69"/>
      <c r="D928" s="4"/>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c r="AN928" s="69"/>
      <c r="AO928" s="69"/>
      <c r="AP928" s="69"/>
      <c r="AQ928" s="69"/>
      <c r="AR928" s="69"/>
      <c r="AS928" s="69"/>
      <c r="AT928" s="69"/>
      <c r="AU928" s="69"/>
      <c r="AV928" s="69"/>
    </row>
    <row r="929" ht="15.75" customHeight="1">
      <c r="A929" s="69"/>
      <c r="B929" s="69"/>
      <c r="C929" s="69"/>
      <c r="D929" s="4"/>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c r="AN929" s="69"/>
      <c r="AO929" s="69"/>
      <c r="AP929" s="69"/>
      <c r="AQ929" s="69"/>
      <c r="AR929" s="69"/>
      <c r="AS929" s="69"/>
      <c r="AT929" s="69"/>
      <c r="AU929" s="69"/>
      <c r="AV929" s="69"/>
    </row>
    <row r="930" ht="15.75" customHeight="1">
      <c r="A930" s="69"/>
      <c r="B930" s="69"/>
      <c r="C930" s="69"/>
      <c r="D930" s="4"/>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c r="AN930" s="69"/>
      <c r="AO930" s="69"/>
      <c r="AP930" s="69"/>
      <c r="AQ930" s="69"/>
      <c r="AR930" s="69"/>
      <c r="AS930" s="69"/>
      <c r="AT930" s="69"/>
      <c r="AU930" s="69"/>
      <c r="AV930" s="69"/>
    </row>
    <row r="931" ht="15.75" customHeight="1">
      <c r="A931" s="69"/>
      <c r="B931" s="69"/>
      <c r="C931" s="69"/>
      <c r="D931" s="4"/>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c r="AN931" s="69"/>
      <c r="AO931" s="69"/>
      <c r="AP931" s="69"/>
      <c r="AQ931" s="69"/>
      <c r="AR931" s="69"/>
      <c r="AS931" s="69"/>
      <c r="AT931" s="69"/>
      <c r="AU931" s="69"/>
      <c r="AV931" s="69"/>
    </row>
    <row r="932" ht="15.75" customHeight="1">
      <c r="A932" s="69"/>
      <c r="B932" s="69"/>
      <c r="C932" s="69"/>
      <c r="D932" s="4"/>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c r="AP932" s="69"/>
      <c r="AQ932" s="69"/>
      <c r="AR932" s="69"/>
      <c r="AS932" s="69"/>
      <c r="AT932" s="69"/>
      <c r="AU932" s="69"/>
      <c r="AV932" s="69"/>
    </row>
    <row r="933" ht="15.75" customHeight="1">
      <c r="A933" s="69"/>
      <c r="B933" s="69"/>
      <c r="C933" s="69"/>
      <c r="D933" s="4"/>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c r="AN933" s="69"/>
      <c r="AO933" s="69"/>
      <c r="AP933" s="69"/>
      <c r="AQ933" s="69"/>
      <c r="AR933" s="69"/>
      <c r="AS933" s="69"/>
      <c r="AT933" s="69"/>
      <c r="AU933" s="69"/>
      <c r="AV933" s="69"/>
    </row>
    <row r="934" ht="15.75" customHeight="1">
      <c r="A934" s="69"/>
      <c r="B934" s="69"/>
      <c r="C934" s="69"/>
      <c r="D934" s="4"/>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c r="AP934" s="69"/>
      <c r="AQ934" s="69"/>
      <c r="AR934" s="69"/>
      <c r="AS934" s="69"/>
      <c r="AT934" s="69"/>
      <c r="AU934" s="69"/>
      <c r="AV934" s="69"/>
    </row>
    <row r="935" ht="15.75" customHeight="1">
      <c r="A935" s="69"/>
      <c r="B935" s="69"/>
      <c r="C935" s="69"/>
      <c r="D935" s="4"/>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c r="AN935" s="69"/>
      <c r="AO935" s="69"/>
      <c r="AP935" s="69"/>
      <c r="AQ935" s="69"/>
      <c r="AR935" s="69"/>
      <c r="AS935" s="69"/>
      <c r="AT935" s="69"/>
      <c r="AU935" s="69"/>
      <c r="AV935" s="69"/>
    </row>
    <row r="936" ht="15.75" customHeight="1">
      <c r="A936" s="69"/>
      <c r="B936" s="69"/>
      <c r="C936" s="69"/>
      <c r="D936" s="4"/>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c r="AN936" s="69"/>
      <c r="AO936" s="69"/>
      <c r="AP936" s="69"/>
      <c r="AQ936" s="69"/>
      <c r="AR936" s="69"/>
      <c r="AS936" s="69"/>
      <c r="AT936" s="69"/>
      <c r="AU936" s="69"/>
      <c r="AV936" s="69"/>
    </row>
    <row r="937" ht="15.75" customHeight="1">
      <c r="A937" s="69"/>
      <c r="B937" s="69"/>
      <c r="C937" s="69"/>
      <c r="D937" s="4"/>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c r="AN937" s="69"/>
      <c r="AO937" s="69"/>
      <c r="AP937" s="69"/>
      <c r="AQ937" s="69"/>
      <c r="AR937" s="69"/>
      <c r="AS937" s="69"/>
      <c r="AT937" s="69"/>
      <c r="AU937" s="69"/>
      <c r="AV937" s="69"/>
    </row>
    <row r="938" ht="15.75" customHeight="1">
      <c r="A938" s="69"/>
      <c r="B938" s="69"/>
      <c r="C938" s="69"/>
      <c r="D938" s="4"/>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c r="AN938" s="69"/>
      <c r="AO938" s="69"/>
      <c r="AP938" s="69"/>
      <c r="AQ938" s="69"/>
      <c r="AR938" s="69"/>
      <c r="AS938" s="69"/>
      <c r="AT938" s="69"/>
      <c r="AU938" s="69"/>
      <c r="AV938" s="69"/>
    </row>
    <row r="939" ht="15.75" customHeight="1">
      <c r="A939" s="69"/>
      <c r="B939" s="69"/>
      <c r="C939" s="69"/>
      <c r="D939" s="4"/>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c r="AN939" s="69"/>
      <c r="AO939" s="69"/>
      <c r="AP939" s="69"/>
      <c r="AQ939" s="69"/>
      <c r="AR939" s="69"/>
      <c r="AS939" s="69"/>
      <c r="AT939" s="69"/>
      <c r="AU939" s="69"/>
      <c r="AV939" s="69"/>
    </row>
    <row r="940" ht="15.75" customHeight="1">
      <c r="A940" s="69"/>
      <c r="B940" s="69"/>
      <c r="C940" s="69"/>
      <c r="D940" s="4"/>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c r="AP940" s="69"/>
      <c r="AQ940" s="69"/>
      <c r="AR940" s="69"/>
      <c r="AS940" s="69"/>
      <c r="AT940" s="69"/>
      <c r="AU940" s="69"/>
      <c r="AV940" s="69"/>
    </row>
    <row r="941" ht="15.75" customHeight="1">
      <c r="A941" s="69"/>
      <c r="B941" s="69"/>
      <c r="C941" s="69"/>
      <c r="D941" s="4"/>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c r="AN941" s="69"/>
      <c r="AO941" s="69"/>
      <c r="AP941" s="69"/>
      <c r="AQ941" s="69"/>
      <c r="AR941" s="69"/>
      <c r="AS941" s="69"/>
      <c r="AT941" s="69"/>
      <c r="AU941" s="69"/>
      <c r="AV941" s="69"/>
    </row>
    <row r="942" ht="15.75" customHeight="1">
      <c r="A942" s="69"/>
      <c r="B942" s="69"/>
      <c r="C942" s="69"/>
      <c r="D942" s="4"/>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c r="AP942" s="69"/>
      <c r="AQ942" s="69"/>
      <c r="AR942" s="69"/>
      <c r="AS942" s="69"/>
      <c r="AT942" s="69"/>
      <c r="AU942" s="69"/>
      <c r="AV942" s="69"/>
    </row>
    <row r="943" ht="15.75" customHeight="1">
      <c r="A943" s="69"/>
      <c r="B943" s="69"/>
      <c r="C943" s="69"/>
      <c r="D943" s="4"/>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c r="AN943" s="69"/>
      <c r="AO943" s="69"/>
      <c r="AP943" s="69"/>
      <c r="AQ943" s="69"/>
      <c r="AR943" s="69"/>
      <c r="AS943" s="69"/>
      <c r="AT943" s="69"/>
      <c r="AU943" s="69"/>
      <c r="AV943" s="69"/>
    </row>
    <row r="944" ht="15.75" customHeight="1">
      <c r="A944" s="69"/>
      <c r="B944" s="69"/>
      <c r="C944" s="69"/>
      <c r="D944" s="4"/>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c r="AN944" s="69"/>
      <c r="AO944" s="69"/>
      <c r="AP944" s="69"/>
      <c r="AQ944" s="69"/>
      <c r="AR944" s="69"/>
      <c r="AS944" s="69"/>
      <c r="AT944" s="69"/>
      <c r="AU944" s="69"/>
      <c r="AV944" s="69"/>
    </row>
    <row r="945" ht="15.75" customHeight="1">
      <c r="A945" s="69"/>
      <c r="B945" s="69"/>
      <c r="C945" s="69"/>
      <c r="D945" s="4"/>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c r="AN945" s="69"/>
      <c r="AO945" s="69"/>
      <c r="AP945" s="69"/>
      <c r="AQ945" s="69"/>
      <c r="AR945" s="69"/>
      <c r="AS945" s="69"/>
      <c r="AT945" s="69"/>
      <c r="AU945" s="69"/>
      <c r="AV945" s="69"/>
    </row>
    <row r="946" ht="15.75" customHeight="1">
      <c r="A946" s="69"/>
      <c r="B946" s="69"/>
      <c r="C946" s="69"/>
      <c r="D946" s="4"/>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c r="AN946" s="69"/>
      <c r="AO946" s="69"/>
      <c r="AP946" s="69"/>
      <c r="AQ946" s="69"/>
      <c r="AR946" s="69"/>
      <c r="AS946" s="69"/>
      <c r="AT946" s="69"/>
      <c r="AU946" s="69"/>
      <c r="AV946" s="69"/>
    </row>
    <row r="947" ht="15.75" customHeight="1">
      <c r="A947" s="69"/>
      <c r="B947" s="69"/>
      <c r="C947" s="69"/>
      <c r="D947" s="4"/>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c r="AN947" s="69"/>
      <c r="AO947" s="69"/>
      <c r="AP947" s="69"/>
      <c r="AQ947" s="69"/>
      <c r="AR947" s="69"/>
      <c r="AS947" s="69"/>
      <c r="AT947" s="69"/>
      <c r="AU947" s="69"/>
      <c r="AV947" s="69"/>
    </row>
    <row r="948" ht="15.75" customHeight="1">
      <c r="A948" s="69"/>
      <c r="B948" s="69"/>
      <c r="C948" s="69"/>
      <c r="D948" s="4"/>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c r="AP948" s="69"/>
      <c r="AQ948" s="69"/>
      <c r="AR948" s="69"/>
      <c r="AS948" s="69"/>
      <c r="AT948" s="69"/>
      <c r="AU948" s="69"/>
      <c r="AV948" s="69"/>
    </row>
    <row r="949" ht="15.75" customHeight="1">
      <c r="A949" s="69"/>
      <c r="B949" s="69"/>
      <c r="C949" s="69"/>
      <c r="D949" s="4"/>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c r="AN949" s="69"/>
      <c r="AO949" s="69"/>
      <c r="AP949" s="69"/>
      <c r="AQ949" s="69"/>
      <c r="AR949" s="69"/>
      <c r="AS949" s="69"/>
      <c r="AT949" s="69"/>
      <c r="AU949" s="69"/>
      <c r="AV949" s="69"/>
    </row>
    <row r="950" ht="15.75" customHeight="1">
      <c r="A950" s="69"/>
      <c r="B950" s="69"/>
      <c r="C950" s="69"/>
      <c r="D950" s="4"/>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c r="AP950" s="69"/>
      <c r="AQ950" s="69"/>
      <c r="AR950" s="69"/>
      <c r="AS950" s="69"/>
      <c r="AT950" s="69"/>
      <c r="AU950" s="69"/>
      <c r="AV950" s="69"/>
    </row>
    <row r="951" ht="15.75" customHeight="1">
      <c r="A951" s="69"/>
      <c r="B951" s="69"/>
      <c r="C951" s="69"/>
      <c r="D951" s="4"/>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c r="AN951" s="69"/>
      <c r="AO951" s="69"/>
      <c r="AP951" s="69"/>
      <c r="AQ951" s="69"/>
      <c r="AR951" s="69"/>
      <c r="AS951" s="69"/>
      <c r="AT951" s="69"/>
      <c r="AU951" s="69"/>
      <c r="AV951" s="69"/>
    </row>
    <row r="952" ht="15.75" customHeight="1">
      <c r="A952" s="69"/>
      <c r="B952" s="69"/>
      <c r="C952" s="69"/>
      <c r="D952" s="4"/>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c r="AN952" s="69"/>
      <c r="AO952" s="69"/>
      <c r="AP952" s="69"/>
      <c r="AQ952" s="69"/>
      <c r="AR952" s="69"/>
      <c r="AS952" s="69"/>
      <c r="AT952" s="69"/>
      <c r="AU952" s="69"/>
      <c r="AV952" s="69"/>
    </row>
    <row r="953" ht="15.75" customHeight="1">
      <c r="A953" s="69"/>
      <c r="B953" s="69"/>
      <c r="C953" s="69"/>
      <c r="D953" s="4"/>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c r="AN953" s="69"/>
      <c r="AO953" s="69"/>
      <c r="AP953" s="69"/>
      <c r="AQ953" s="69"/>
      <c r="AR953" s="69"/>
      <c r="AS953" s="69"/>
      <c r="AT953" s="69"/>
      <c r="AU953" s="69"/>
      <c r="AV953" s="69"/>
    </row>
    <row r="954" ht="15.75" customHeight="1">
      <c r="A954" s="69"/>
      <c r="B954" s="69"/>
      <c r="C954" s="69"/>
      <c r="D954" s="4"/>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c r="AN954" s="69"/>
      <c r="AO954" s="69"/>
      <c r="AP954" s="69"/>
      <c r="AQ954" s="69"/>
      <c r="AR954" s="69"/>
      <c r="AS954" s="69"/>
      <c r="AT954" s="69"/>
      <c r="AU954" s="69"/>
      <c r="AV954" s="69"/>
    </row>
    <row r="955" ht="15.75" customHeight="1">
      <c r="A955" s="69"/>
      <c r="B955" s="69"/>
      <c r="C955" s="69"/>
      <c r="D955" s="4"/>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c r="AN955" s="69"/>
      <c r="AO955" s="69"/>
      <c r="AP955" s="69"/>
      <c r="AQ955" s="69"/>
      <c r="AR955" s="69"/>
      <c r="AS955" s="69"/>
      <c r="AT955" s="69"/>
      <c r="AU955" s="69"/>
      <c r="AV955" s="69"/>
    </row>
    <row r="956" ht="15.75" customHeight="1">
      <c r="A956" s="69"/>
      <c r="B956" s="69"/>
      <c r="C956" s="69"/>
      <c r="D956" s="4"/>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c r="AP956" s="69"/>
      <c r="AQ956" s="69"/>
      <c r="AR956" s="69"/>
      <c r="AS956" s="69"/>
      <c r="AT956" s="69"/>
      <c r="AU956" s="69"/>
      <c r="AV956" s="69"/>
    </row>
    <row r="957" ht="15.75" customHeight="1">
      <c r="A957" s="69"/>
      <c r="B957" s="69"/>
      <c r="C957" s="69"/>
      <c r="D957" s="4"/>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c r="AN957" s="69"/>
      <c r="AO957" s="69"/>
      <c r="AP957" s="69"/>
      <c r="AQ957" s="69"/>
      <c r="AR957" s="69"/>
      <c r="AS957" s="69"/>
      <c r="AT957" s="69"/>
      <c r="AU957" s="69"/>
      <c r="AV957" s="69"/>
    </row>
    <row r="958" ht="15.75" customHeight="1">
      <c r="A958" s="69"/>
      <c r="B958" s="69"/>
      <c r="C958" s="69"/>
      <c r="D958" s="4"/>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c r="AP958" s="69"/>
      <c r="AQ958" s="69"/>
      <c r="AR958" s="69"/>
      <c r="AS958" s="69"/>
      <c r="AT958" s="69"/>
      <c r="AU958" s="69"/>
      <c r="AV958" s="69"/>
    </row>
    <row r="959" ht="15.75" customHeight="1">
      <c r="A959" s="69"/>
      <c r="B959" s="69"/>
      <c r="C959" s="69"/>
      <c r="D959" s="4"/>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c r="AN959" s="69"/>
      <c r="AO959" s="69"/>
      <c r="AP959" s="69"/>
      <c r="AQ959" s="69"/>
      <c r="AR959" s="69"/>
      <c r="AS959" s="69"/>
      <c r="AT959" s="69"/>
      <c r="AU959" s="69"/>
      <c r="AV959" s="69"/>
    </row>
    <row r="960" ht="15.75" customHeight="1">
      <c r="A960" s="69"/>
      <c r="B960" s="69"/>
      <c r="C960" s="69"/>
      <c r="D960" s="4"/>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c r="AN960" s="69"/>
      <c r="AO960" s="69"/>
      <c r="AP960" s="69"/>
      <c r="AQ960" s="69"/>
      <c r="AR960" s="69"/>
      <c r="AS960" s="69"/>
      <c r="AT960" s="69"/>
      <c r="AU960" s="69"/>
      <c r="AV960" s="69"/>
    </row>
    <row r="961" ht="15.75" customHeight="1">
      <c r="A961" s="69"/>
      <c r="B961" s="69"/>
      <c r="C961" s="69"/>
      <c r="D961" s="4"/>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c r="AN961" s="69"/>
      <c r="AO961" s="69"/>
      <c r="AP961" s="69"/>
      <c r="AQ961" s="69"/>
      <c r="AR961" s="69"/>
      <c r="AS961" s="69"/>
      <c r="AT961" s="69"/>
      <c r="AU961" s="69"/>
      <c r="AV961" s="69"/>
    </row>
    <row r="962" ht="15.75" customHeight="1">
      <c r="A962" s="69"/>
      <c r="B962" s="69"/>
      <c r="C962" s="69"/>
      <c r="D962" s="4"/>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c r="AN962" s="69"/>
      <c r="AO962" s="69"/>
      <c r="AP962" s="69"/>
      <c r="AQ962" s="69"/>
      <c r="AR962" s="69"/>
      <c r="AS962" s="69"/>
      <c r="AT962" s="69"/>
      <c r="AU962" s="69"/>
      <c r="AV962" s="69"/>
    </row>
    <row r="963" ht="15.75" customHeight="1">
      <c r="A963" s="69"/>
      <c r="B963" s="69"/>
      <c r="C963" s="69"/>
      <c r="D963" s="4"/>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c r="AN963" s="69"/>
      <c r="AO963" s="69"/>
      <c r="AP963" s="69"/>
      <c r="AQ963" s="69"/>
      <c r="AR963" s="69"/>
      <c r="AS963" s="69"/>
      <c r="AT963" s="69"/>
      <c r="AU963" s="69"/>
      <c r="AV963" s="69"/>
    </row>
    <row r="964" ht="15.75" customHeight="1">
      <c r="A964" s="69"/>
      <c r="B964" s="69"/>
      <c r="C964" s="69"/>
      <c r="D964" s="4"/>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c r="AP964" s="69"/>
      <c r="AQ964" s="69"/>
      <c r="AR964" s="69"/>
      <c r="AS964" s="69"/>
      <c r="AT964" s="69"/>
      <c r="AU964" s="69"/>
      <c r="AV964" s="69"/>
    </row>
    <row r="965" ht="15.75" customHeight="1">
      <c r="A965" s="69"/>
      <c r="B965" s="69"/>
      <c r="C965" s="69"/>
      <c r="D965" s="4"/>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c r="AN965" s="69"/>
      <c r="AO965" s="69"/>
      <c r="AP965" s="69"/>
      <c r="AQ965" s="69"/>
      <c r="AR965" s="69"/>
      <c r="AS965" s="69"/>
      <c r="AT965" s="69"/>
      <c r="AU965" s="69"/>
      <c r="AV965" s="69"/>
    </row>
    <row r="966" ht="15.75" customHeight="1">
      <c r="A966" s="69"/>
      <c r="B966" s="69"/>
      <c r="C966" s="69"/>
      <c r="D966" s="4"/>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c r="AP966" s="69"/>
      <c r="AQ966" s="69"/>
      <c r="AR966" s="69"/>
      <c r="AS966" s="69"/>
      <c r="AT966" s="69"/>
      <c r="AU966" s="69"/>
      <c r="AV966" s="69"/>
    </row>
    <row r="967" ht="15.75" customHeight="1">
      <c r="A967" s="69"/>
      <c r="B967" s="69"/>
      <c r="C967" s="69"/>
      <c r="D967" s="4"/>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c r="AN967" s="69"/>
      <c r="AO967" s="69"/>
      <c r="AP967" s="69"/>
      <c r="AQ967" s="69"/>
      <c r="AR967" s="69"/>
      <c r="AS967" s="69"/>
      <c r="AT967" s="69"/>
      <c r="AU967" s="69"/>
      <c r="AV967" s="69"/>
    </row>
    <row r="968" ht="15.75" customHeight="1">
      <c r="A968" s="69"/>
      <c r="B968" s="69"/>
      <c r="C968" s="69"/>
      <c r="D968" s="4"/>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c r="AP968" s="69"/>
      <c r="AQ968" s="69"/>
      <c r="AR968" s="69"/>
      <c r="AS968" s="69"/>
      <c r="AT968" s="69"/>
      <c r="AU968" s="69"/>
      <c r="AV968" s="69"/>
    </row>
    <row r="969" ht="15.75" customHeight="1">
      <c r="A969" s="69"/>
      <c r="B969" s="69"/>
      <c r="C969" s="69"/>
      <c r="D969" s="4"/>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c r="AN969" s="69"/>
      <c r="AO969" s="69"/>
      <c r="AP969" s="69"/>
      <c r="AQ969" s="69"/>
      <c r="AR969" s="69"/>
      <c r="AS969" s="69"/>
      <c r="AT969" s="69"/>
      <c r="AU969" s="69"/>
      <c r="AV969" s="69"/>
    </row>
    <row r="970" ht="15.75" customHeight="1">
      <c r="A970" s="69"/>
      <c r="B970" s="69"/>
      <c r="C970" s="69"/>
      <c r="D970" s="4"/>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c r="AN970" s="69"/>
      <c r="AO970" s="69"/>
      <c r="AP970" s="69"/>
      <c r="AQ970" s="69"/>
      <c r="AR970" s="69"/>
      <c r="AS970" s="69"/>
      <c r="AT970" s="69"/>
      <c r="AU970" s="69"/>
      <c r="AV970" s="69"/>
    </row>
    <row r="971" ht="15.75" customHeight="1">
      <c r="A971" s="69"/>
      <c r="B971" s="69"/>
      <c r="C971" s="69"/>
      <c r="D971" s="4"/>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c r="AN971" s="69"/>
      <c r="AO971" s="69"/>
      <c r="AP971" s="69"/>
      <c r="AQ971" s="69"/>
      <c r="AR971" s="69"/>
      <c r="AS971" s="69"/>
      <c r="AT971" s="69"/>
      <c r="AU971" s="69"/>
      <c r="AV971" s="69"/>
    </row>
    <row r="972" ht="15.75" customHeight="1">
      <c r="A972" s="69"/>
      <c r="B972" s="69"/>
      <c r="C972" s="69"/>
      <c r="D972" s="4"/>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c r="AP972" s="69"/>
      <c r="AQ972" s="69"/>
      <c r="AR972" s="69"/>
      <c r="AS972" s="69"/>
      <c r="AT972" s="69"/>
      <c r="AU972" s="69"/>
      <c r="AV972" s="69"/>
    </row>
    <row r="973" ht="15.75" customHeight="1">
      <c r="A973" s="69"/>
      <c r="B973" s="69"/>
      <c r="C973" s="69"/>
      <c r="D973" s="4"/>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c r="AN973" s="69"/>
      <c r="AO973" s="69"/>
      <c r="AP973" s="69"/>
      <c r="AQ973" s="69"/>
      <c r="AR973" s="69"/>
      <c r="AS973" s="69"/>
      <c r="AT973" s="69"/>
      <c r="AU973" s="69"/>
      <c r="AV973" s="69"/>
    </row>
    <row r="974" ht="15.75" customHeight="1">
      <c r="A974" s="69"/>
      <c r="B974" s="69"/>
      <c r="C974" s="69"/>
      <c r="D974" s="4"/>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c r="AP974" s="69"/>
      <c r="AQ974" s="69"/>
      <c r="AR974" s="69"/>
      <c r="AS974" s="69"/>
      <c r="AT974" s="69"/>
      <c r="AU974" s="69"/>
      <c r="AV974" s="69"/>
    </row>
    <row r="975" ht="15.75" customHeight="1">
      <c r="A975" s="69"/>
      <c r="B975" s="69"/>
      <c r="C975" s="69"/>
      <c r="D975" s="4"/>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c r="AN975" s="69"/>
      <c r="AO975" s="69"/>
      <c r="AP975" s="69"/>
      <c r="AQ975" s="69"/>
      <c r="AR975" s="69"/>
      <c r="AS975" s="69"/>
      <c r="AT975" s="69"/>
      <c r="AU975" s="69"/>
      <c r="AV975" s="69"/>
    </row>
    <row r="976" ht="15.75" customHeight="1">
      <c r="A976" s="69"/>
      <c r="B976" s="69"/>
      <c r="C976" s="69"/>
      <c r="D976" s="4"/>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c r="AN976" s="69"/>
      <c r="AO976" s="69"/>
      <c r="AP976" s="69"/>
      <c r="AQ976" s="69"/>
      <c r="AR976" s="69"/>
      <c r="AS976" s="69"/>
      <c r="AT976" s="69"/>
      <c r="AU976" s="69"/>
      <c r="AV976" s="69"/>
    </row>
    <row r="977" ht="15.75" customHeight="1">
      <c r="A977" s="69"/>
      <c r="B977" s="69"/>
      <c r="C977" s="69"/>
      <c r="D977" s="4"/>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c r="AN977" s="69"/>
      <c r="AO977" s="69"/>
      <c r="AP977" s="69"/>
      <c r="AQ977" s="69"/>
      <c r="AR977" s="69"/>
      <c r="AS977" s="69"/>
      <c r="AT977" s="69"/>
      <c r="AU977" s="69"/>
      <c r="AV977" s="69"/>
    </row>
    <row r="978" ht="15.75" customHeight="1">
      <c r="A978" s="69"/>
      <c r="B978" s="69"/>
      <c r="C978" s="69"/>
      <c r="D978" s="4"/>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c r="AN978" s="69"/>
      <c r="AO978" s="69"/>
      <c r="AP978" s="69"/>
      <c r="AQ978" s="69"/>
      <c r="AR978" s="69"/>
      <c r="AS978" s="69"/>
      <c r="AT978" s="69"/>
      <c r="AU978" s="69"/>
      <c r="AV978" s="69"/>
    </row>
    <row r="979" ht="15.75" customHeight="1">
      <c r="A979" s="69"/>
      <c r="B979" s="69"/>
      <c r="C979" s="69"/>
      <c r="D979" s="4"/>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c r="AN979" s="69"/>
      <c r="AO979" s="69"/>
      <c r="AP979" s="69"/>
      <c r="AQ979" s="69"/>
      <c r="AR979" s="69"/>
      <c r="AS979" s="69"/>
      <c r="AT979" s="69"/>
      <c r="AU979" s="69"/>
      <c r="AV979" s="69"/>
    </row>
    <row r="980" ht="15.75" customHeight="1">
      <c r="A980" s="69"/>
      <c r="B980" s="69"/>
      <c r="C980" s="69"/>
      <c r="D980" s="4"/>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c r="AP980" s="69"/>
      <c r="AQ980" s="69"/>
      <c r="AR980" s="69"/>
      <c r="AS980" s="69"/>
      <c r="AT980" s="69"/>
      <c r="AU980" s="69"/>
      <c r="AV980" s="69"/>
    </row>
    <row r="981" ht="15.75" customHeight="1">
      <c r="A981" s="69"/>
      <c r="B981" s="69"/>
      <c r="C981" s="69"/>
      <c r="D981" s="4"/>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c r="AN981" s="69"/>
      <c r="AO981" s="69"/>
      <c r="AP981" s="69"/>
      <c r="AQ981" s="69"/>
      <c r="AR981" s="69"/>
      <c r="AS981" s="69"/>
      <c r="AT981" s="69"/>
      <c r="AU981" s="69"/>
      <c r="AV981" s="69"/>
    </row>
    <row r="982" ht="15.75" customHeight="1">
      <c r="A982" s="69"/>
      <c r="B982" s="69"/>
      <c r="C982" s="69"/>
      <c r="D982" s="4"/>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c r="AP982" s="69"/>
      <c r="AQ982" s="69"/>
      <c r="AR982" s="69"/>
      <c r="AS982" s="69"/>
      <c r="AT982" s="69"/>
      <c r="AU982" s="69"/>
      <c r="AV982" s="69"/>
    </row>
    <row r="983" ht="15.75" customHeight="1">
      <c r="A983" s="69"/>
      <c r="B983" s="69"/>
      <c r="C983" s="69"/>
      <c r="D983" s="4"/>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c r="AN983" s="69"/>
      <c r="AO983" s="69"/>
      <c r="AP983" s="69"/>
      <c r="AQ983" s="69"/>
      <c r="AR983" s="69"/>
      <c r="AS983" s="69"/>
      <c r="AT983" s="69"/>
      <c r="AU983" s="69"/>
      <c r="AV983" s="69"/>
    </row>
    <row r="984" ht="15.75" customHeight="1">
      <c r="A984" s="69"/>
      <c r="B984" s="69"/>
      <c r="C984" s="69"/>
      <c r="D984" s="4"/>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c r="AN984" s="69"/>
      <c r="AO984" s="69"/>
      <c r="AP984" s="69"/>
      <c r="AQ984" s="69"/>
      <c r="AR984" s="69"/>
      <c r="AS984" s="69"/>
      <c r="AT984" s="69"/>
      <c r="AU984" s="69"/>
      <c r="AV984" s="69"/>
    </row>
    <row r="985" ht="15.75" customHeight="1">
      <c r="A985" s="69"/>
      <c r="B985" s="69"/>
      <c r="C985" s="69"/>
      <c r="D985" s="4"/>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c r="AN985" s="69"/>
      <c r="AO985" s="69"/>
      <c r="AP985" s="69"/>
      <c r="AQ985" s="69"/>
      <c r="AR985" s="69"/>
      <c r="AS985" s="69"/>
      <c r="AT985" s="69"/>
      <c r="AU985" s="69"/>
      <c r="AV985" s="69"/>
    </row>
    <row r="986" ht="15.75" customHeight="1">
      <c r="A986" s="69"/>
      <c r="B986" s="69"/>
      <c r="C986" s="69"/>
      <c r="D986" s="4"/>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c r="AN986" s="69"/>
      <c r="AO986" s="69"/>
      <c r="AP986" s="69"/>
      <c r="AQ986" s="69"/>
      <c r="AR986" s="69"/>
      <c r="AS986" s="69"/>
      <c r="AT986" s="69"/>
      <c r="AU986" s="69"/>
      <c r="AV986" s="69"/>
    </row>
    <row r="987" ht="15.75" customHeight="1">
      <c r="A987" s="69"/>
      <c r="B987" s="69"/>
      <c r="C987" s="69"/>
      <c r="D987" s="4"/>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c r="AN987" s="69"/>
      <c r="AO987" s="69"/>
      <c r="AP987" s="69"/>
      <c r="AQ987" s="69"/>
      <c r="AR987" s="69"/>
      <c r="AS987" s="69"/>
      <c r="AT987" s="69"/>
      <c r="AU987" s="69"/>
      <c r="AV987" s="69"/>
    </row>
    <row r="988" ht="15.75" customHeight="1">
      <c r="A988" s="69"/>
      <c r="B988" s="69"/>
      <c r="C988" s="69"/>
      <c r="D988" s="4"/>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c r="AP988" s="69"/>
      <c r="AQ988" s="69"/>
      <c r="AR988" s="69"/>
      <c r="AS988" s="69"/>
      <c r="AT988" s="69"/>
      <c r="AU988" s="69"/>
      <c r="AV988" s="69"/>
    </row>
    <row r="989" ht="15.75" customHeight="1">
      <c r="A989" s="69"/>
      <c r="B989" s="69"/>
      <c r="C989" s="69"/>
      <c r="D989" s="4"/>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c r="AN989" s="69"/>
      <c r="AO989" s="69"/>
      <c r="AP989" s="69"/>
      <c r="AQ989" s="69"/>
      <c r="AR989" s="69"/>
      <c r="AS989" s="69"/>
      <c r="AT989" s="69"/>
      <c r="AU989" s="69"/>
      <c r="AV989" s="69"/>
    </row>
    <row r="990" ht="15.75" customHeight="1">
      <c r="A990" s="69"/>
      <c r="B990" s="69"/>
      <c r="C990" s="69"/>
      <c r="D990" s="4"/>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c r="AP990" s="69"/>
      <c r="AQ990" s="69"/>
      <c r="AR990" s="69"/>
      <c r="AS990" s="69"/>
      <c r="AT990" s="69"/>
      <c r="AU990" s="69"/>
      <c r="AV990" s="69"/>
    </row>
    <row r="991" ht="15.75" customHeight="1">
      <c r="A991" s="69"/>
      <c r="B991" s="69"/>
      <c r="C991" s="69"/>
      <c r="D991" s="4"/>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c r="AF991" s="69"/>
      <c r="AG991" s="69"/>
      <c r="AH991" s="69"/>
      <c r="AI991" s="69"/>
      <c r="AJ991" s="69"/>
      <c r="AK991" s="69"/>
      <c r="AL991" s="69"/>
      <c r="AM991" s="69"/>
      <c r="AN991" s="69"/>
      <c r="AO991" s="69"/>
      <c r="AP991" s="69"/>
      <c r="AQ991" s="69"/>
      <c r="AR991" s="69"/>
      <c r="AS991" s="69"/>
      <c r="AT991" s="69"/>
      <c r="AU991" s="69"/>
      <c r="AV991" s="69"/>
    </row>
    <row r="992" ht="15.75" customHeight="1">
      <c r="A992" s="69"/>
      <c r="B992" s="69"/>
      <c r="C992" s="69"/>
      <c r="D992" s="4"/>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c r="AF992" s="69"/>
      <c r="AG992" s="69"/>
      <c r="AH992" s="69"/>
      <c r="AI992" s="69"/>
      <c r="AJ992" s="69"/>
      <c r="AK992" s="69"/>
      <c r="AL992" s="69"/>
      <c r="AM992" s="69"/>
      <c r="AN992" s="69"/>
      <c r="AO992" s="69"/>
      <c r="AP992" s="69"/>
      <c r="AQ992" s="69"/>
      <c r="AR992" s="69"/>
      <c r="AS992" s="69"/>
      <c r="AT992" s="69"/>
      <c r="AU992" s="69"/>
      <c r="AV992" s="69"/>
    </row>
    <row r="993" ht="15.75" customHeight="1">
      <c r="A993" s="69"/>
      <c r="B993" s="69"/>
      <c r="C993" s="69"/>
      <c r="D993" s="4"/>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c r="AF993" s="69"/>
      <c r="AG993" s="69"/>
      <c r="AH993" s="69"/>
      <c r="AI993" s="69"/>
      <c r="AJ993" s="69"/>
      <c r="AK993" s="69"/>
      <c r="AL993" s="69"/>
      <c r="AM993" s="69"/>
      <c r="AN993" s="69"/>
      <c r="AO993" s="69"/>
      <c r="AP993" s="69"/>
      <c r="AQ993" s="69"/>
      <c r="AR993" s="69"/>
      <c r="AS993" s="69"/>
      <c r="AT993" s="69"/>
      <c r="AU993" s="69"/>
      <c r="AV993" s="69"/>
    </row>
    <row r="994" ht="15.75" customHeight="1">
      <c r="A994" s="69"/>
      <c r="B994" s="69"/>
      <c r="C994" s="69"/>
      <c r="D994" s="4"/>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c r="AF994" s="69"/>
      <c r="AG994" s="69"/>
      <c r="AH994" s="69"/>
      <c r="AI994" s="69"/>
      <c r="AJ994" s="69"/>
      <c r="AK994" s="69"/>
      <c r="AL994" s="69"/>
      <c r="AM994" s="69"/>
      <c r="AN994" s="69"/>
      <c r="AO994" s="69"/>
      <c r="AP994" s="69"/>
      <c r="AQ994" s="69"/>
      <c r="AR994" s="69"/>
      <c r="AS994" s="69"/>
      <c r="AT994" s="69"/>
      <c r="AU994" s="69"/>
      <c r="AV994" s="69"/>
    </row>
    <row r="995" ht="15.75" customHeight="1">
      <c r="A995" s="69"/>
      <c r="B995" s="69"/>
      <c r="C995" s="69"/>
      <c r="D995" s="4"/>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c r="AF995" s="69"/>
      <c r="AG995" s="69"/>
      <c r="AH995" s="69"/>
      <c r="AI995" s="69"/>
      <c r="AJ995" s="69"/>
      <c r="AK995" s="69"/>
      <c r="AL995" s="69"/>
      <c r="AM995" s="69"/>
      <c r="AN995" s="69"/>
      <c r="AO995" s="69"/>
      <c r="AP995" s="69"/>
      <c r="AQ995" s="69"/>
      <c r="AR995" s="69"/>
      <c r="AS995" s="69"/>
      <c r="AT995" s="69"/>
      <c r="AU995" s="69"/>
      <c r="AV995" s="69"/>
    </row>
    <row r="996" ht="15.75" customHeight="1">
      <c r="A996" s="69"/>
      <c r="B996" s="69"/>
      <c r="C996" s="69"/>
      <c r="D996" s="4"/>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c r="AP996" s="69"/>
      <c r="AQ996" s="69"/>
      <c r="AR996" s="69"/>
      <c r="AS996" s="69"/>
      <c r="AT996" s="69"/>
      <c r="AU996" s="69"/>
      <c r="AV996" s="69"/>
    </row>
    <row r="997" ht="15.75" customHeight="1">
      <c r="A997" s="69"/>
      <c r="B997" s="69"/>
      <c r="C997" s="69"/>
      <c r="D997" s="4"/>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c r="AD997" s="69"/>
      <c r="AE997" s="69"/>
      <c r="AF997" s="69"/>
      <c r="AG997" s="69"/>
      <c r="AH997" s="69"/>
      <c r="AI997" s="69"/>
      <c r="AJ997" s="69"/>
      <c r="AK997" s="69"/>
      <c r="AL997" s="69"/>
      <c r="AM997" s="69"/>
      <c r="AN997" s="69"/>
      <c r="AO997" s="69"/>
      <c r="AP997" s="69"/>
      <c r="AQ997" s="69"/>
      <c r="AR997" s="69"/>
      <c r="AS997" s="69"/>
      <c r="AT997" s="69"/>
      <c r="AU997" s="69"/>
      <c r="AV997" s="69"/>
    </row>
    <row r="998" ht="15.75" customHeight="1">
      <c r="A998" s="69"/>
      <c r="B998" s="69"/>
      <c r="C998" s="69"/>
      <c r="D998" s="4"/>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c r="AP998" s="69"/>
      <c r="AQ998" s="69"/>
      <c r="AR998" s="69"/>
      <c r="AS998" s="69"/>
      <c r="AT998" s="69"/>
      <c r="AU998" s="69"/>
      <c r="AV998" s="69"/>
    </row>
    <row r="999" ht="15.75" customHeight="1">
      <c r="A999" s="69"/>
      <c r="B999" s="69"/>
      <c r="C999" s="69"/>
      <c r="D999" s="4"/>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c r="AC999" s="69"/>
      <c r="AD999" s="69"/>
      <c r="AE999" s="69"/>
      <c r="AF999" s="69"/>
      <c r="AG999" s="69"/>
      <c r="AH999" s="69"/>
      <c r="AI999" s="69"/>
      <c r="AJ999" s="69"/>
      <c r="AK999" s="69"/>
      <c r="AL999" s="69"/>
      <c r="AM999" s="69"/>
      <c r="AN999" s="69"/>
      <c r="AO999" s="69"/>
      <c r="AP999" s="69"/>
      <c r="AQ999" s="69"/>
      <c r="AR999" s="69"/>
      <c r="AS999" s="69"/>
      <c r="AT999" s="69"/>
      <c r="AU999" s="69"/>
      <c r="AV999" s="69"/>
    </row>
    <row r="1000" ht="15.75" customHeight="1">
      <c r="A1000" s="69"/>
      <c r="B1000" s="69"/>
      <c r="C1000" s="69"/>
      <c r="D1000" s="4"/>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c r="AL1000" s="69"/>
      <c r="AM1000" s="69"/>
      <c r="AN1000" s="69"/>
      <c r="AO1000" s="69"/>
      <c r="AP1000" s="69"/>
      <c r="AQ1000" s="69"/>
      <c r="AR1000" s="69"/>
      <c r="AS1000" s="69"/>
      <c r="AT1000" s="69"/>
      <c r="AU1000" s="69"/>
      <c r="AV1000" s="69"/>
    </row>
  </sheetData>
  <mergeCells count="5">
    <mergeCell ref="A1:B2"/>
    <mergeCell ref="A3:B3"/>
    <mergeCell ref="A4:B4"/>
    <mergeCell ref="A23:C23"/>
    <mergeCell ref="A24:H24"/>
  </mergeCell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71"/>
    <col customWidth="1" min="2" max="2" width="51.29"/>
    <col customWidth="1" min="3" max="3" width="11.71"/>
    <col customWidth="1" min="4" max="4" width="12.0"/>
    <col customWidth="1" min="5" max="8" width="12.71"/>
    <col customWidth="1" min="9" max="9" width="13.29"/>
    <col customWidth="1" min="10" max="42" width="12.71"/>
  </cols>
  <sheetData>
    <row r="1" ht="15.0" customHeight="1">
      <c r="A1" s="135" t="s">
        <v>306</v>
      </c>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row>
    <row r="2">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row>
    <row r="3">
      <c r="A3" s="136" t="s">
        <v>307</v>
      </c>
      <c r="C3" s="69"/>
      <c r="D3" s="69"/>
      <c r="E3" s="69"/>
      <c r="F3" s="69"/>
      <c r="G3" s="137"/>
      <c r="H3" s="137"/>
      <c r="I3" s="137"/>
      <c r="J3" s="137"/>
      <c r="K3" s="137"/>
      <c r="L3" s="137"/>
      <c r="M3" s="137"/>
      <c r="N3" s="137"/>
      <c r="O3" s="137"/>
      <c r="P3" s="137"/>
      <c r="Q3" s="137"/>
      <c r="R3" s="137"/>
      <c r="S3" s="137"/>
      <c r="T3" s="137"/>
      <c r="U3" s="137"/>
      <c r="V3" s="69"/>
      <c r="W3" s="69"/>
      <c r="X3" s="69"/>
      <c r="Y3" s="69"/>
      <c r="Z3" s="69"/>
      <c r="AA3" s="69"/>
      <c r="AB3" s="69"/>
      <c r="AC3" s="69"/>
      <c r="AD3" s="69"/>
      <c r="AE3" s="69"/>
      <c r="AF3" s="69"/>
      <c r="AG3" s="69"/>
      <c r="AH3" s="69"/>
      <c r="AI3" s="69"/>
      <c r="AJ3" s="69"/>
      <c r="AK3" s="69"/>
      <c r="AL3" s="69"/>
      <c r="AM3" s="69"/>
      <c r="AN3" s="69"/>
      <c r="AO3" s="69"/>
      <c r="AP3" s="69"/>
    </row>
    <row r="4">
      <c r="A4" s="7" t="s">
        <v>5</v>
      </c>
      <c r="C4" s="69"/>
      <c r="D4" s="69"/>
      <c r="E4" s="69"/>
      <c r="F4" s="69"/>
      <c r="G4" s="137"/>
      <c r="H4" s="137"/>
      <c r="I4" s="137"/>
      <c r="J4" s="137"/>
      <c r="K4" s="137"/>
      <c r="L4" s="137"/>
      <c r="M4" s="137"/>
      <c r="N4" s="137"/>
      <c r="O4" s="137"/>
      <c r="P4" s="137"/>
      <c r="Q4" s="137"/>
      <c r="R4" s="137"/>
      <c r="S4" s="137"/>
      <c r="T4" s="137"/>
      <c r="U4" s="137"/>
      <c r="V4" s="69"/>
      <c r="W4" s="69"/>
      <c r="X4" s="69"/>
      <c r="Y4" s="69"/>
      <c r="Z4" s="69"/>
      <c r="AA4" s="69"/>
      <c r="AB4" s="69"/>
      <c r="AC4" s="69"/>
      <c r="AD4" s="69"/>
      <c r="AE4" s="69"/>
      <c r="AF4" s="69"/>
      <c r="AG4" s="69"/>
      <c r="AH4" s="69"/>
      <c r="AI4" s="69"/>
      <c r="AJ4" s="69"/>
      <c r="AK4" s="69"/>
      <c r="AL4" s="69"/>
      <c r="AM4" s="69"/>
      <c r="AN4" s="69"/>
      <c r="AO4" s="69"/>
      <c r="AP4" s="69"/>
    </row>
    <row r="5">
      <c r="A5" s="7"/>
      <c r="B5" s="69"/>
      <c r="C5" s="9"/>
      <c r="D5" s="137"/>
      <c r="E5" s="137"/>
      <c r="F5" s="137"/>
      <c r="G5" s="137"/>
      <c r="H5" s="137"/>
      <c r="I5" s="137"/>
      <c r="J5" s="137"/>
      <c r="K5" s="137"/>
      <c r="L5" s="137"/>
      <c r="M5" s="137"/>
      <c r="N5" s="137"/>
      <c r="O5" s="137"/>
      <c r="P5" s="137"/>
      <c r="Q5" s="137"/>
      <c r="R5" s="137"/>
      <c r="S5" s="137"/>
      <c r="T5" s="137"/>
      <c r="U5" s="137"/>
      <c r="V5" s="69"/>
      <c r="W5" s="69"/>
      <c r="X5" s="69"/>
      <c r="Y5" s="69"/>
      <c r="Z5" s="69"/>
      <c r="AA5" s="69"/>
      <c r="AB5" s="69"/>
      <c r="AC5" s="69"/>
      <c r="AD5" s="69"/>
      <c r="AE5" s="69"/>
      <c r="AF5" s="69"/>
      <c r="AG5" s="69"/>
      <c r="AH5" s="69"/>
      <c r="AI5" s="69"/>
      <c r="AJ5" s="69"/>
      <c r="AK5" s="69"/>
      <c r="AL5" s="69"/>
      <c r="AM5" s="69"/>
      <c r="AN5" s="69"/>
      <c r="AO5" s="69"/>
      <c r="AP5" s="69"/>
    </row>
    <row r="6">
      <c r="A6" s="125" t="s">
        <v>308</v>
      </c>
      <c r="B6" s="125"/>
      <c r="C6" s="125"/>
      <c r="D6" s="125"/>
      <c r="E6" s="125"/>
      <c r="F6" s="125"/>
      <c r="G6" s="125"/>
      <c r="H6" s="125"/>
      <c r="I6" s="125"/>
      <c r="J6" s="125"/>
      <c r="K6" s="125"/>
      <c r="L6" s="125"/>
      <c r="M6" s="125"/>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row>
    <row r="7">
      <c r="A7" s="95" t="s">
        <v>6</v>
      </c>
      <c r="B7" s="96" t="s">
        <v>7</v>
      </c>
      <c r="C7" s="97" t="s">
        <v>8</v>
      </c>
      <c r="D7" s="96" t="s">
        <v>9</v>
      </c>
      <c r="E7" s="96" t="s">
        <v>10</v>
      </c>
      <c r="F7" s="96" t="s">
        <v>11</v>
      </c>
      <c r="G7" s="96" t="s">
        <v>12</v>
      </c>
      <c r="H7" s="96" t="s">
        <v>13</v>
      </c>
      <c r="I7" s="98">
        <v>44127.0</v>
      </c>
      <c r="J7" s="98">
        <v>44126.0</v>
      </c>
      <c r="K7" s="98">
        <v>44125.0</v>
      </c>
      <c r="L7" s="98">
        <v>44124.0</v>
      </c>
      <c r="M7" s="98">
        <v>44123.0</v>
      </c>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row>
    <row r="8">
      <c r="A8" s="138">
        <v>1.0</v>
      </c>
      <c r="B8" s="74" t="s">
        <v>309</v>
      </c>
      <c r="C8" s="139" t="s">
        <v>86</v>
      </c>
      <c r="D8" s="75" t="s">
        <v>51</v>
      </c>
      <c r="E8" s="75">
        <v>8.0</v>
      </c>
      <c r="F8" s="75">
        <v>8.0</v>
      </c>
      <c r="G8" s="140">
        <v>44124.0</v>
      </c>
      <c r="H8" s="140">
        <v>44124.0</v>
      </c>
      <c r="I8" s="88">
        <v>1.0</v>
      </c>
      <c r="J8" s="88">
        <v>1.0</v>
      </c>
      <c r="K8" s="88">
        <v>1.0</v>
      </c>
      <c r="L8" s="88">
        <v>1.0</v>
      </c>
      <c r="M8" s="88"/>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row>
    <row r="9">
      <c r="A9" s="138">
        <v>2.0</v>
      </c>
      <c r="B9" s="74" t="s">
        <v>310</v>
      </c>
      <c r="C9" s="139" t="s">
        <v>86</v>
      </c>
      <c r="D9" s="75" t="s">
        <v>51</v>
      </c>
      <c r="E9" s="75">
        <v>8.0</v>
      </c>
      <c r="F9" s="75">
        <v>4.0</v>
      </c>
      <c r="G9" s="140">
        <v>44125.0</v>
      </c>
      <c r="H9" s="140">
        <v>44125.0</v>
      </c>
      <c r="I9" s="88">
        <v>1.0</v>
      </c>
      <c r="J9" s="88">
        <v>1.0</v>
      </c>
      <c r="K9" s="88">
        <v>1.0</v>
      </c>
      <c r="L9" s="88"/>
      <c r="M9" s="88"/>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row>
    <row r="10">
      <c r="A10" s="138">
        <v>3.0</v>
      </c>
      <c r="B10" s="74" t="s">
        <v>311</v>
      </c>
      <c r="C10" s="139" t="s">
        <v>86</v>
      </c>
      <c r="D10" s="75" t="s">
        <v>51</v>
      </c>
      <c r="E10" s="75">
        <v>8.0</v>
      </c>
      <c r="F10" s="75">
        <v>4.0</v>
      </c>
      <c r="G10" s="140">
        <v>44125.0</v>
      </c>
      <c r="H10" s="140">
        <v>44125.0</v>
      </c>
      <c r="I10" s="88">
        <v>1.0</v>
      </c>
      <c r="J10" s="88">
        <v>1.0</v>
      </c>
      <c r="K10" s="88">
        <v>1.0</v>
      </c>
      <c r="L10" s="88"/>
      <c r="M10" s="88"/>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row>
    <row r="11" ht="15.75" customHeight="1">
      <c r="A11" s="138">
        <v>4.0</v>
      </c>
      <c r="B11" s="74" t="s">
        <v>312</v>
      </c>
      <c r="C11" s="139" t="s">
        <v>86</v>
      </c>
      <c r="D11" s="75" t="s">
        <v>51</v>
      </c>
      <c r="E11" s="75">
        <v>16.0</v>
      </c>
      <c r="F11" s="131">
        <v>16.0</v>
      </c>
      <c r="G11" s="140">
        <v>44126.0</v>
      </c>
      <c r="H11" s="140">
        <v>44127.0</v>
      </c>
      <c r="I11" s="88">
        <v>1.0</v>
      </c>
      <c r="J11" s="88">
        <v>0.5</v>
      </c>
      <c r="K11" s="88"/>
      <c r="L11" s="88"/>
      <c r="M11" s="88"/>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row>
    <row r="12" ht="15.75" customHeight="1">
      <c r="A12" s="138">
        <v>5.0</v>
      </c>
      <c r="B12" s="74" t="s">
        <v>313</v>
      </c>
      <c r="C12" s="139" t="s">
        <v>314</v>
      </c>
      <c r="D12" s="75" t="s">
        <v>51</v>
      </c>
      <c r="E12" s="141">
        <v>4.0</v>
      </c>
      <c r="F12" s="142">
        <v>4.0</v>
      </c>
      <c r="G12" s="140">
        <v>44127.0</v>
      </c>
      <c r="H12" s="140">
        <v>44127.0</v>
      </c>
      <c r="I12" s="143">
        <v>1.0</v>
      </c>
      <c r="J12" s="88"/>
      <c r="K12" s="88"/>
      <c r="L12" s="88"/>
      <c r="M12" s="88"/>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row>
    <row r="13" ht="15.0" customHeight="1">
      <c r="A13" s="85" t="s">
        <v>45</v>
      </c>
      <c r="B13" s="50"/>
      <c r="C13" s="51"/>
      <c r="D13" s="139"/>
      <c r="E13" s="86">
        <f t="shared" ref="E13:F13" si="1">SUM(E8:E12)</f>
        <v>44</v>
      </c>
      <c r="F13" s="86">
        <f t="shared" si="1"/>
        <v>36</v>
      </c>
      <c r="G13" s="87"/>
      <c r="H13" s="131"/>
      <c r="I13" s="88"/>
      <c r="J13" s="88"/>
      <c r="K13" s="88"/>
      <c r="L13" s="88"/>
      <c r="M13" s="88"/>
      <c r="N13" s="69"/>
      <c r="O13" s="69"/>
      <c r="P13" s="69"/>
      <c r="Q13" s="69"/>
      <c r="R13" s="69"/>
      <c r="S13" s="69"/>
      <c r="T13" s="69"/>
      <c r="U13" s="69"/>
      <c r="V13" s="69"/>
      <c r="W13" s="69"/>
      <c r="X13" s="69"/>
      <c r="Y13" s="69"/>
      <c r="Z13" s="69"/>
      <c r="AA13" s="69"/>
      <c r="AB13" s="69"/>
      <c r="AC13" s="69"/>
      <c r="AD13" s="69"/>
      <c r="AE13" s="69"/>
      <c r="AF13" s="69"/>
      <c r="AG13" s="69"/>
      <c r="AH13" s="89"/>
      <c r="AI13" s="89"/>
      <c r="AJ13" s="89"/>
      <c r="AK13" s="89"/>
      <c r="AL13" s="89"/>
      <c r="AM13" s="89"/>
      <c r="AN13" s="89"/>
      <c r="AO13" s="89"/>
      <c r="AP13" s="89"/>
    </row>
    <row r="14" ht="19.5" customHeight="1">
      <c r="A14" s="90" t="s">
        <v>166</v>
      </c>
      <c r="B14" s="50"/>
      <c r="C14" s="50"/>
      <c r="D14" s="50"/>
      <c r="E14" s="50"/>
      <c r="F14" s="50"/>
      <c r="G14" s="50"/>
      <c r="H14" s="50"/>
      <c r="I14" s="144">
        <v>44127.0</v>
      </c>
      <c r="J14" s="144"/>
      <c r="K14" s="144"/>
      <c r="L14" s="144"/>
      <c r="M14" s="144"/>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row>
    <row r="15" ht="15.7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row>
    <row r="16">
      <c r="A16" s="125" t="s">
        <v>315</v>
      </c>
      <c r="B16" s="125"/>
      <c r="C16" s="125"/>
      <c r="D16" s="125"/>
      <c r="E16" s="125"/>
      <c r="F16" s="125"/>
      <c r="G16" s="125"/>
      <c r="H16" s="125"/>
      <c r="I16" s="125"/>
      <c r="J16" s="125"/>
      <c r="K16" s="125"/>
      <c r="L16" s="125"/>
      <c r="M16" s="125"/>
      <c r="N16" s="125"/>
      <c r="O16" s="125"/>
      <c r="P16" s="125"/>
      <c r="Q16" s="125"/>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row>
    <row r="17">
      <c r="A17" s="95" t="s">
        <v>6</v>
      </c>
      <c r="B17" s="96" t="s">
        <v>7</v>
      </c>
      <c r="C17" s="97" t="s">
        <v>8</v>
      </c>
      <c r="D17" s="96" t="s">
        <v>9</v>
      </c>
      <c r="E17" s="96" t="s">
        <v>10</v>
      </c>
      <c r="F17" s="96" t="s">
        <v>11</v>
      </c>
      <c r="G17" s="96" t="s">
        <v>12</v>
      </c>
      <c r="H17" s="96" t="s">
        <v>13</v>
      </c>
      <c r="I17" s="98">
        <v>44159.0</v>
      </c>
      <c r="J17" s="98">
        <v>44158.0</v>
      </c>
      <c r="K17" s="98">
        <v>44155.0</v>
      </c>
      <c r="L17" s="98">
        <v>44154.0</v>
      </c>
      <c r="M17" s="98">
        <v>44153.0</v>
      </c>
      <c r="N17" s="98">
        <v>44152.0</v>
      </c>
      <c r="O17" s="98">
        <v>44151.0</v>
      </c>
      <c r="P17" s="98">
        <v>44148.0</v>
      </c>
      <c r="Q17" s="98">
        <v>44147.0</v>
      </c>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row>
    <row r="18">
      <c r="A18" s="138">
        <v>1.0</v>
      </c>
      <c r="B18" s="145" t="s">
        <v>316</v>
      </c>
      <c r="C18" s="139" t="s">
        <v>86</v>
      </c>
      <c r="D18" s="75" t="s">
        <v>42</v>
      </c>
      <c r="E18" s="75">
        <v>16.0</v>
      </c>
      <c r="F18" s="75">
        <v>16.0</v>
      </c>
      <c r="G18" s="140">
        <v>44147.0</v>
      </c>
      <c r="H18" s="140">
        <v>44151.0</v>
      </c>
      <c r="I18" s="88">
        <v>1.0</v>
      </c>
      <c r="J18" s="88">
        <v>1.0</v>
      </c>
      <c r="K18" s="88">
        <v>1.0</v>
      </c>
      <c r="L18" s="88">
        <v>1.0</v>
      </c>
      <c r="M18" s="88">
        <v>1.0</v>
      </c>
      <c r="N18" s="88">
        <v>1.0</v>
      </c>
      <c r="O18" s="88">
        <v>1.0</v>
      </c>
      <c r="P18" s="88">
        <v>0.8</v>
      </c>
      <c r="Q18" s="88">
        <v>0.5</v>
      </c>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row>
    <row r="19">
      <c r="A19" s="138">
        <v>2.0</v>
      </c>
      <c r="B19" s="145" t="s">
        <v>317</v>
      </c>
      <c r="C19" s="139" t="s">
        <v>86</v>
      </c>
      <c r="D19" s="75" t="s">
        <v>55</v>
      </c>
      <c r="E19" s="75">
        <v>16.0</v>
      </c>
      <c r="F19" s="75">
        <v>16.0</v>
      </c>
      <c r="G19" s="140">
        <v>44147.0</v>
      </c>
      <c r="H19" s="140">
        <v>44151.0</v>
      </c>
      <c r="I19" s="88">
        <v>1.0</v>
      </c>
      <c r="J19" s="88">
        <v>1.0</v>
      </c>
      <c r="K19" s="88">
        <v>1.0</v>
      </c>
      <c r="L19" s="88">
        <v>1.0</v>
      </c>
      <c r="M19" s="88">
        <v>1.0</v>
      </c>
      <c r="N19" s="88">
        <v>1.0</v>
      </c>
      <c r="O19" s="88">
        <v>1.0</v>
      </c>
      <c r="P19" s="146">
        <v>0.8</v>
      </c>
      <c r="Q19" s="88">
        <v>0.5</v>
      </c>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row>
    <row r="20">
      <c r="A20" s="138">
        <v>3.0</v>
      </c>
      <c r="B20" s="145" t="s">
        <v>318</v>
      </c>
      <c r="C20" s="139" t="s">
        <v>86</v>
      </c>
      <c r="D20" s="75" t="s">
        <v>51</v>
      </c>
      <c r="E20" s="75">
        <v>8.0</v>
      </c>
      <c r="F20" s="75">
        <v>8.0</v>
      </c>
      <c r="G20" s="140">
        <v>44148.0</v>
      </c>
      <c r="H20" s="140">
        <v>44148.0</v>
      </c>
      <c r="I20" s="88">
        <v>1.0</v>
      </c>
      <c r="J20" s="88">
        <v>1.0</v>
      </c>
      <c r="K20" s="88">
        <v>1.0</v>
      </c>
      <c r="L20" s="88">
        <v>1.0</v>
      </c>
      <c r="M20" s="88">
        <v>1.0</v>
      </c>
      <c r="N20" s="88">
        <v>1.0</v>
      </c>
      <c r="O20" s="88">
        <v>1.0</v>
      </c>
      <c r="P20" s="88">
        <v>1.0</v>
      </c>
      <c r="Q20" s="88"/>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row>
    <row r="21" ht="15.75" customHeight="1">
      <c r="A21" s="138">
        <v>4.0</v>
      </c>
      <c r="B21" s="145" t="s">
        <v>319</v>
      </c>
      <c r="C21" s="139" t="s">
        <v>86</v>
      </c>
      <c r="D21" s="75" t="s">
        <v>42</v>
      </c>
      <c r="E21" s="75">
        <v>24.0</v>
      </c>
      <c r="F21" s="131">
        <v>24.0</v>
      </c>
      <c r="G21" s="140">
        <v>44152.0</v>
      </c>
      <c r="H21" s="140">
        <v>44155.0</v>
      </c>
      <c r="I21" s="88">
        <v>1.0</v>
      </c>
      <c r="J21" s="88">
        <v>1.0</v>
      </c>
      <c r="K21" s="88">
        <v>1.0</v>
      </c>
      <c r="L21" s="88">
        <v>0.9</v>
      </c>
      <c r="M21" s="88">
        <v>0.6</v>
      </c>
      <c r="N21" s="88">
        <v>0.3</v>
      </c>
      <c r="O21" s="88"/>
      <c r="P21" s="88"/>
      <c r="Q21" s="88"/>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row>
    <row r="22" ht="15.75" customHeight="1">
      <c r="A22" s="138">
        <v>5.0</v>
      </c>
      <c r="B22" s="145" t="s">
        <v>320</v>
      </c>
      <c r="C22" s="139" t="s">
        <v>86</v>
      </c>
      <c r="D22" s="75" t="s">
        <v>55</v>
      </c>
      <c r="E22" s="75">
        <v>24.0</v>
      </c>
      <c r="F22" s="142">
        <v>24.0</v>
      </c>
      <c r="G22" s="140">
        <v>44152.0</v>
      </c>
      <c r="H22" s="140">
        <v>44155.0</v>
      </c>
      <c r="I22" s="88">
        <v>1.0</v>
      </c>
      <c r="J22" s="88">
        <v>1.0</v>
      </c>
      <c r="K22" s="88">
        <v>1.0</v>
      </c>
      <c r="L22" s="88">
        <v>0.9</v>
      </c>
      <c r="M22" s="88">
        <v>0.6</v>
      </c>
      <c r="N22" s="88">
        <v>0.3</v>
      </c>
      <c r="O22" s="88"/>
      <c r="P22" s="88"/>
      <c r="Q22" s="88"/>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row>
    <row r="23" ht="15.75" customHeight="1">
      <c r="A23" s="138">
        <v>6.0</v>
      </c>
      <c r="B23" s="145" t="s">
        <v>321</v>
      </c>
      <c r="C23" s="139" t="s">
        <v>86</v>
      </c>
      <c r="D23" s="75" t="s">
        <v>51</v>
      </c>
      <c r="E23" s="75">
        <v>16.0</v>
      </c>
      <c r="F23" s="131">
        <v>16.0</v>
      </c>
      <c r="G23" s="140">
        <v>44151.0</v>
      </c>
      <c r="H23" s="140">
        <v>44152.0</v>
      </c>
      <c r="I23" s="88">
        <v>1.0</v>
      </c>
      <c r="J23" s="88">
        <v>1.0</v>
      </c>
      <c r="K23" s="88">
        <v>1.0</v>
      </c>
      <c r="L23" s="88">
        <v>1.0</v>
      </c>
      <c r="M23" s="88">
        <v>1.0</v>
      </c>
      <c r="N23" s="88">
        <v>1.0</v>
      </c>
      <c r="O23" s="88">
        <v>0.5</v>
      </c>
      <c r="P23" s="88"/>
      <c r="Q23" s="88"/>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row>
    <row r="24" ht="15.75" customHeight="1">
      <c r="A24" s="138">
        <v>7.0</v>
      </c>
      <c r="B24" s="145" t="s">
        <v>322</v>
      </c>
      <c r="C24" s="139" t="s">
        <v>86</v>
      </c>
      <c r="D24" s="75" t="s">
        <v>51</v>
      </c>
      <c r="E24" s="75">
        <v>16.0</v>
      </c>
      <c r="F24" s="131">
        <v>16.0</v>
      </c>
      <c r="G24" s="140">
        <v>44153.0</v>
      </c>
      <c r="H24" s="140">
        <v>44154.0</v>
      </c>
      <c r="I24" s="88">
        <v>1.0</v>
      </c>
      <c r="J24" s="88">
        <v>1.0</v>
      </c>
      <c r="K24" s="88">
        <v>1.0</v>
      </c>
      <c r="L24" s="88">
        <v>1.0</v>
      </c>
      <c r="M24" s="88">
        <v>0.5</v>
      </c>
      <c r="N24" s="88"/>
      <c r="O24" s="88"/>
      <c r="P24" s="88"/>
      <c r="Q24" s="88"/>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row>
    <row r="25" ht="15.75" customHeight="1">
      <c r="A25" s="138">
        <v>8.0</v>
      </c>
      <c r="B25" s="100" t="s">
        <v>323</v>
      </c>
      <c r="C25" s="139" t="s">
        <v>86</v>
      </c>
      <c r="D25" s="75" t="s">
        <v>51</v>
      </c>
      <c r="E25" s="75">
        <v>8.0</v>
      </c>
      <c r="F25" s="131">
        <v>8.0</v>
      </c>
      <c r="G25" s="140">
        <v>44155.0</v>
      </c>
      <c r="H25" s="140">
        <v>44155.0</v>
      </c>
      <c r="I25" s="88">
        <v>1.0</v>
      </c>
      <c r="J25" s="88">
        <v>1.0</v>
      </c>
      <c r="K25" s="88">
        <v>1.0</v>
      </c>
      <c r="L25" s="88"/>
      <c r="M25" s="88"/>
      <c r="N25" s="88"/>
      <c r="O25" s="88"/>
      <c r="P25" s="88"/>
      <c r="Q25" s="88"/>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row>
    <row r="26" ht="15.75" customHeight="1">
      <c r="A26" s="138">
        <v>9.0</v>
      </c>
      <c r="B26" s="100" t="s">
        <v>324</v>
      </c>
      <c r="C26" s="139" t="s">
        <v>86</v>
      </c>
      <c r="D26" s="75" t="s">
        <v>325</v>
      </c>
      <c r="E26" s="75">
        <v>16.0</v>
      </c>
      <c r="F26" s="142">
        <v>16.0</v>
      </c>
      <c r="G26" s="147">
        <v>44151.0</v>
      </c>
      <c r="H26" s="147">
        <v>44155.0</v>
      </c>
      <c r="I26" s="88">
        <v>1.0</v>
      </c>
      <c r="J26" s="88">
        <v>0.5</v>
      </c>
      <c r="K26" s="88"/>
      <c r="L26" s="88"/>
      <c r="M26" s="88"/>
      <c r="N26" s="88"/>
      <c r="O26" s="88"/>
      <c r="P26" s="88"/>
      <c r="Q26" s="88"/>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row>
    <row r="27" ht="15.0" customHeight="1">
      <c r="A27" s="85" t="s">
        <v>45</v>
      </c>
      <c r="B27" s="50"/>
      <c r="C27" s="51"/>
      <c r="D27" s="139"/>
      <c r="E27" s="86">
        <f t="shared" ref="E27:F27" si="2">SUM(E18:E26)</f>
        <v>144</v>
      </c>
      <c r="F27" s="86">
        <f t="shared" si="2"/>
        <v>144</v>
      </c>
      <c r="G27" s="87"/>
      <c r="H27" s="131"/>
      <c r="I27" s="88"/>
      <c r="J27" s="88"/>
      <c r="K27" s="88"/>
      <c r="L27" s="88"/>
      <c r="M27" s="88"/>
      <c r="N27" s="88"/>
      <c r="O27" s="88"/>
      <c r="P27" s="88"/>
      <c r="Q27" s="88"/>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row>
    <row r="28" ht="19.5" customHeight="1">
      <c r="A28" s="90" t="s">
        <v>166</v>
      </c>
      <c r="B28" s="50"/>
      <c r="C28" s="50"/>
      <c r="D28" s="50"/>
      <c r="E28" s="50"/>
      <c r="F28" s="50"/>
      <c r="G28" s="50"/>
      <c r="H28" s="50"/>
      <c r="I28" s="148">
        <v>44155.0</v>
      </c>
      <c r="J28" s="149"/>
      <c r="K28" s="149"/>
      <c r="L28" s="149"/>
      <c r="M28" s="149"/>
      <c r="N28" s="149"/>
      <c r="O28" s="149"/>
      <c r="P28" s="149"/>
      <c r="Q28" s="150"/>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row>
    <row r="29" ht="15.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row>
    <row r="30" ht="15.75" customHeight="1">
      <c r="A30" s="125" t="s">
        <v>326</v>
      </c>
      <c r="B30" s="125"/>
      <c r="C30" s="125"/>
      <c r="D30" s="125"/>
      <c r="E30" s="125"/>
      <c r="F30" s="125"/>
      <c r="G30" s="125"/>
      <c r="H30" s="125"/>
      <c r="I30" s="151"/>
      <c r="J30" s="151"/>
      <c r="K30" s="151"/>
      <c r="L30" s="151"/>
      <c r="M30" s="151"/>
      <c r="N30" s="151"/>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row>
    <row r="31" ht="15.75" customHeight="1">
      <c r="A31" s="95" t="s">
        <v>6</v>
      </c>
      <c r="B31" s="96" t="s">
        <v>7</v>
      </c>
      <c r="C31" s="97" t="s">
        <v>8</v>
      </c>
      <c r="D31" s="96" t="s">
        <v>9</v>
      </c>
      <c r="E31" s="96" t="s">
        <v>10</v>
      </c>
      <c r="F31" s="96" t="s">
        <v>11</v>
      </c>
      <c r="G31" s="96" t="s">
        <v>12</v>
      </c>
      <c r="H31" s="96" t="s">
        <v>13</v>
      </c>
      <c r="I31" s="152">
        <v>44163.0</v>
      </c>
      <c r="J31" s="152">
        <v>44162.0</v>
      </c>
      <c r="K31" s="152">
        <v>44161.0</v>
      </c>
      <c r="L31" s="153">
        <v>44160.0</v>
      </c>
      <c r="M31" s="153">
        <v>44159.0</v>
      </c>
      <c r="N31" s="153">
        <v>44158.0</v>
      </c>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row>
    <row r="32" ht="15.75" customHeight="1">
      <c r="A32" s="138">
        <v>1.0</v>
      </c>
      <c r="B32" s="145" t="s">
        <v>327</v>
      </c>
      <c r="C32" s="139" t="s">
        <v>86</v>
      </c>
      <c r="D32" s="75" t="s">
        <v>42</v>
      </c>
      <c r="E32" s="154">
        <v>16.0</v>
      </c>
      <c r="F32" s="154">
        <v>16.0</v>
      </c>
      <c r="G32" s="147">
        <v>44160.0</v>
      </c>
      <c r="H32" s="147">
        <v>44163.0</v>
      </c>
      <c r="I32" s="155">
        <v>1.0</v>
      </c>
      <c r="J32" s="155">
        <v>0.8</v>
      </c>
      <c r="K32" s="155">
        <v>0.4</v>
      </c>
      <c r="L32" s="155">
        <v>0.2</v>
      </c>
      <c r="M32" s="155">
        <v>0.2</v>
      </c>
      <c r="N32" s="155">
        <v>0.2</v>
      </c>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row>
    <row r="33" ht="15.75" customHeight="1">
      <c r="A33" s="138">
        <v>2.0</v>
      </c>
      <c r="B33" s="145" t="s">
        <v>328</v>
      </c>
      <c r="C33" s="139" t="s">
        <v>86</v>
      </c>
      <c r="D33" s="75" t="s">
        <v>55</v>
      </c>
      <c r="E33" s="154">
        <v>16.0</v>
      </c>
      <c r="F33" s="154">
        <v>16.0</v>
      </c>
      <c r="G33" s="147">
        <v>44160.0</v>
      </c>
      <c r="H33" s="147">
        <v>44163.0</v>
      </c>
      <c r="I33" s="155">
        <v>1.0</v>
      </c>
      <c r="J33" s="155">
        <v>0.8</v>
      </c>
      <c r="K33" s="155">
        <v>0.4</v>
      </c>
      <c r="L33" s="155">
        <v>0.2</v>
      </c>
      <c r="M33" s="155">
        <v>0.2</v>
      </c>
      <c r="N33" s="155">
        <v>0.2</v>
      </c>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row>
    <row r="34" ht="15.75" customHeight="1">
      <c r="A34" s="156">
        <v>3.0</v>
      </c>
      <c r="B34" s="157" t="s">
        <v>329</v>
      </c>
      <c r="C34" s="139" t="s">
        <v>86</v>
      </c>
      <c r="D34" s="154" t="s">
        <v>51</v>
      </c>
      <c r="E34" s="154">
        <v>4.0</v>
      </c>
      <c r="F34" s="154">
        <v>4.0</v>
      </c>
      <c r="G34" s="147">
        <v>44158.0</v>
      </c>
      <c r="H34" s="147">
        <v>44158.0</v>
      </c>
      <c r="I34" s="155">
        <v>1.0</v>
      </c>
      <c r="J34" s="155">
        <v>1.0</v>
      </c>
      <c r="K34" s="155">
        <v>1.0</v>
      </c>
      <c r="L34" s="155">
        <v>1.0</v>
      </c>
      <c r="M34" s="155">
        <v>1.0</v>
      </c>
      <c r="N34" s="155">
        <v>1.0</v>
      </c>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row>
    <row r="35" ht="15.75" customHeight="1">
      <c r="A35" s="156">
        <v>4.0</v>
      </c>
      <c r="B35" s="157" t="s">
        <v>330</v>
      </c>
      <c r="C35" s="139" t="s">
        <v>86</v>
      </c>
      <c r="D35" s="75" t="s">
        <v>51</v>
      </c>
      <c r="E35" s="154">
        <v>8.0</v>
      </c>
      <c r="F35" s="154">
        <v>8.0</v>
      </c>
      <c r="G35" s="147">
        <v>44158.0</v>
      </c>
      <c r="H35" s="147">
        <v>44158.0</v>
      </c>
      <c r="I35" s="155">
        <v>1.0</v>
      </c>
      <c r="J35" s="155">
        <v>1.0</v>
      </c>
      <c r="K35" s="155">
        <v>1.0</v>
      </c>
      <c r="L35" s="155">
        <v>1.0</v>
      </c>
      <c r="M35" s="155">
        <v>1.0</v>
      </c>
      <c r="N35" s="155">
        <v>1.0</v>
      </c>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row>
    <row r="36" ht="15.75" customHeight="1">
      <c r="A36" s="156">
        <v>5.0</v>
      </c>
      <c r="B36" s="157" t="s">
        <v>331</v>
      </c>
      <c r="C36" s="139" t="s">
        <v>86</v>
      </c>
      <c r="D36" s="75" t="s">
        <v>51</v>
      </c>
      <c r="E36" s="154">
        <v>8.0</v>
      </c>
      <c r="F36" s="154">
        <v>8.0</v>
      </c>
      <c r="G36" s="147">
        <v>44159.0</v>
      </c>
      <c r="H36" s="147">
        <v>44159.0</v>
      </c>
      <c r="I36" s="155">
        <v>1.0</v>
      </c>
      <c r="J36" s="155">
        <v>1.0</v>
      </c>
      <c r="K36" s="155">
        <v>1.0</v>
      </c>
      <c r="L36" s="155">
        <v>1.0</v>
      </c>
      <c r="M36" s="155">
        <v>1.0</v>
      </c>
      <c r="N36" s="155"/>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row>
    <row r="37" ht="15.75" customHeight="1">
      <c r="A37" s="156">
        <v>6.0</v>
      </c>
      <c r="B37" s="157" t="s">
        <v>332</v>
      </c>
      <c r="C37" s="139" t="s">
        <v>86</v>
      </c>
      <c r="D37" s="75" t="s">
        <v>51</v>
      </c>
      <c r="E37" s="154">
        <v>8.0</v>
      </c>
      <c r="F37" s="154">
        <v>8.0</v>
      </c>
      <c r="G37" s="147">
        <v>44160.0</v>
      </c>
      <c r="H37" s="147">
        <v>44160.0</v>
      </c>
      <c r="I37" s="155">
        <v>1.0</v>
      </c>
      <c r="J37" s="155">
        <v>1.0</v>
      </c>
      <c r="K37" s="155">
        <v>1.0</v>
      </c>
      <c r="L37" s="155">
        <v>1.0</v>
      </c>
      <c r="M37" s="155"/>
      <c r="N37" s="155"/>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row>
    <row r="38" ht="15.75" customHeight="1">
      <c r="A38" s="156">
        <v>7.0</v>
      </c>
      <c r="B38" s="157" t="s">
        <v>333</v>
      </c>
      <c r="C38" s="139" t="s">
        <v>86</v>
      </c>
      <c r="D38" s="75" t="s">
        <v>51</v>
      </c>
      <c r="E38" s="154">
        <v>16.0</v>
      </c>
      <c r="F38" s="154">
        <v>16.0</v>
      </c>
      <c r="G38" s="147">
        <v>44161.0</v>
      </c>
      <c r="H38" s="147">
        <v>44162.0</v>
      </c>
      <c r="I38" s="155">
        <v>1.0</v>
      </c>
      <c r="J38" s="155">
        <v>1.0</v>
      </c>
      <c r="K38" s="155">
        <v>0.5</v>
      </c>
      <c r="L38" s="155"/>
      <c r="M38" s="155"/>
      <c r="N38" s="155"/>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row>
    <row r="39" ht="15.75" customHeight="1">
      <c r="A39" s="156">
        <v>8.0</v>
      </c>
      <c r="B39" s="157" t="s">
        <v>334</v>
      </c>
      <c r="C39" s="139" t="s">
        <v>86</v>
      </c>
      <c r="D39" s="75" t="s">
        <v>51</v>
      </c>
      <c r="E39" s="154">
        <v>8.0</v>
      </c>
      <c r="F39" s="154">
        <v>8.0</v>
      </c>
      <c r="G39" s="147">
        <v>44163.0</v>
      </c>
      <c r="H39" s="147">
        <v>44163.0</v>
      </c>
      <c r="I39" s="155">
        <v>1.0</v>
      </c>
      <c r="J39" s="158"/>
      <c r="K39" s="158"/>
      <c r="L39" s="155"/>
      <c r="M39" s="155"/>
      <c r="N39" s="155"/>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row>
    <row r="40" ht="15.75" customHeight="1">
      <c r="A40" s="159">
        <v>9.0</v>
      </c>
      <c r="B40" s="145" t="s">
        <v>335</v>
      </c>
      <c r="C40" s="139" t="s">
        <v>86</v>
      </c>
      <c r="D40" s="75" t="s">
        <v>325</v>
      </c>
      <c r="E40" s="154">
        <v>16.0</v>
      </c>
      <c r="F40" s="154">
        <v>20.0</v>
      </c>
      <c r="G40" s="147">
        <v>44158.0</v>
      </c>
      <c r="H40" s="147">
        <v>44163.0</v>
      </c>
      <c r="I40" s="155">
        <v>1.0</v>
      </c>
      <c r="J40" s="155">
        <v>0.8</v>
      </c>
      <c r="K40" s="155">
        <v>0.6</v>
      </c>
      <c r="L40" s="155">
        <v>0.5</v>
      </c>
      <c r="M40" s="155">
        <v>0.3</v>
      </c>
      <c r="N40" s="155">
        <v>0.2</v>
      </c>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row>
    <row r="41" ht="15.0" customHeight="1">
      <c r="A41" s="85" t="s">
        <v>45</v>
      </c>
      <c r="B41" s="50"/>
      <c r="C41" s="51"/>
      <c r="D41" s="139"/>
      <c r="E41" s="86">
        <f t="shared" ref="E41:F41" si="3">SUM(E32:E40)</f>
        <v>100</v>
      </c>
      <c r="F41" s="86">
        <f t="shared" si="3"/>
        <v>104</v>
      </c>
      <c r="G41" s="87"/>
      <c r="H41" s="131"/>
      <c r="I41" s="160"/>
      <c r="J41" s="160"/>
      <c r="K41" s="160"/>
      <c r="L41" s="160"/>
      <c r="M41" s="160"/>
      <c r="N41" s="160"/>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row>
    <row r="42" ht="19.5" customHeight="1">
      <c r="A42" s="90" t="s">
        <v>166</v>
      </c>
      <c r="B42" s="50"/>
      <c r="C42" s="50"/>
      <c r="D42" s="50"/>
      <c r="E42" s="50"/>
      <c r="F42" s="50"/>
      <c r="G42" s="50"/>
      <c r="H42" s="50"/>
      <c r="I42" s="161">
        <v>44163.0</v>
      </c>
      <c r="J42" s="162"/>
      <c r="K42" s="162"/>
      <c r="L42" s="149"/>
      <c r="M42" s="149"/>
      <c r="N42" s="150"/>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row>
    <row r="43" ht="15.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row>
    <row r="44" ht="15.75" customHeight="1">
      <c r="A44" s="163" t="s">
        <v>336</v>
      </c>
      <c r="B44" s="125"/>
      <c r="C44" s="125"/>
      <c r="D44" s="125"/>
      <c r="E44" s="125"/>
      <c r="F44" s="125"/>
      <c r="G44" s="125"/>
      <c r="H44" s="125"/>
      <c r="I44" s="151"/>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row>
    <row r="45" ht="15.75" customHeight="1">
      <c r="A45" s="95" t="s">
        <v>6</v>
      </c>
      <c r="B45" s="96" t="s">
        <v>7</v>
      </c>
      <c r="C45" s="97" t="s">
        <v>8</v>
      </c>
      <c r="D45" s="96" t="s">
        <v>9</v>
      </c>
      <c r="E45" s="96" t="s">
        <v>10</v>
      </c>
      <c r="F45" s="96" t="s">
        <v>11</v>
      </c>
      <c r="G45" s="96" t="s">
        <v>12</v>
      </c>
      <c r="H45" s="96" t="s">
        <v>13</v>
      </c>
      <c r="I45" s="152">
        <v>44165.0</v>
      </c>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row>
    <row r="46" ht="15.75" customHeight="1">
      <c r="A46" s="138">
        <v>1.0</v>
      </c>
      <c r="B46" s="157" t="s">
        <v>337</v>
      </c>
      <c r="C46" s="164" t="s">
        <v>314</v>
      </c>
      <c r="D46" s="154" t="s">
        <v>51</v>
      </c>
      <c r="E46" s="154">
        <v>8.0</v>
      </c>
      <c r="F46" s="154"/>
      <c r="G46" s="147"/>
      <c r="H46" s="147"/>
      <c r="I46" s="155"/>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row>
    <row r="47" ht="15.75" customHeight="1">
      <c r="A47" s="156">
        <v>2.0</v>
      </c>
      <c r="B47" s="157" t="s">
        <v>338</v>
      </c>
      <c r="C47" s="164" t="s">
        <v>314</v>
      </c>
      <c r="D47" s="154" t="s">
        <v>51</v>
      </c>
      <c r="E47" s="154">
        <v>8.0</v>
      </c>
      <c r="F47" s="154"/>
      <c r="G47" s="147"/>
      <c r="H47" s="147"/>
      <c r="I47" s="155"/>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row>
    <row r="48" ht="15.75" customHeight="1">
      <c r="A48" s="156">
        <v>3.0</v>
      </c>
      <c r="B48" s="157" t="s">
        <v>339</v>
      </c>
      <c r="C48" s="164" t="s">
        <v>314</v>
      </c>
      <c r="D48" s="154" t="s">
        <v>51</v>
      </c>
      <c r="E48" s="154">
        <v>8.0</v>
      </c>
      <c r="F48" s="154"/>
      <c r="G48" s="147"/>
      <c r="H48" s="147"/>
      <c r="I48" s="155"/>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row>
    <row r="49" ht="15.75" customHeight="1">
      <c r="A49" s="156">
        <v>4.0</v>
      </c>
      <c r="B49" s="157" t="s">
        <v>340</v>
      </c>
      <c r="C49" s="164" t="s">
        <v>314</v>
      </c>
      <c r="D49" s="154" t="s">
        <v>51</v>
      </c>
      <c r="E49" s="154">
        <v>8.0</v>
      </c>
      <c r="F49" s="154"/>
      <c r="G49" s="147"/>
      <c r="H49" s="147"/>
      <c r="I49" s="155"/>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row>
    <row r="50" ht="15.75" customHeight="1">
      <c r="A50" s="156">
        <v>5.0</v>
      </c>
      <c r="B50" s="157" t="s">
        <v>341</v>
      </c>
      <c r="C50" s="164" t="s">
        <v>314</v>
      </c>
      <c r="D50" s="154" t="s">
        <v>51</v>
      </c>
      <c r="E50" s="154">
        <v>8.0</v>
      </c>
      <c r="F50" s="154"/>
      <c r="G50" s="147"/>
      <c r="H50" s="147"/>
      <c r="I50" s="155"/>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row>
    <row r="51" ht="15.75" customHeight="1">
      <c r="A51" s="156">
        <v>6.0</v>
      </c>
      <c r="B51" s="157" t="s">
        <v>342</v>
      </c>
      <c r="C51" s="164" t="s">
        <v>314</v>
      </c>
      <c r="D51" s="154" t="s">
        <v>51</v>
      </c>
      <c r="E51" s="154">
        <v>16.0</v>
      </c>
      <c r="F51" s="154"/>
      <c r="G51" s="147"/>
      <c r="H51" s="147"/>
      <c r="I51" s="155"/>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row>
    <row r="52" ht="15.75" customHeight="1">
      <c r="A52" s="156">
        <v>7.0</v>
      </c>
      <c r="B52" s="157" t="s">
        <v>343</v>
      </c>
      <c r="C52" s="164" t="s">
        <v>314</v>
      </c>
      <c r="D52" s="154" t="s">
        <v>51</v>
      </c>
      <c r="E52" s="154">
        <v>8.0</v>
      </c>
      <c r="F52" s="154"/>
      <c r="G52" s="147"/>
      <c r="H52" s="147"/>
      <c r="I52" s="155"/>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row>
    <row r="53" ht="15.75" customHeight="1">
      <c r="A53" s="156">
        <v>8.0</v>
      </c>
      <c r="B53" s="157" t="s">
        <v>344</v>
      </c>
      <c r="C53" s="164" t="s">
        <v>314</v>
      </c>
      <c r="D53" s="154" t="s">
        <v>51</v>
      </c>
      <c r="E53" s="154">
        <v>4.0</v>
      </c>
      <c r="F53" s="154"/>
      <c r="G53" s="147"/>
      <c r="H53" s="147"/>
      <c r="I53" s="155"/>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row>
    <row r="54" ht="15.75" customHeight="1">
      <c r="A54" s="156">
        <v>9.0</v>
      </c>
      <c r="B54" s="157" t="s">
        <v>345</v>
      </c>
      <c r="C54" s="164" t="s">
        <v>314</v>
      </c>
      <c r="D54" s="154" t="s">
        <v>51</v>
      </c>
      <c r="E54" s="154">
        <v>8.0</v>
      </c>
      <c r="F54" s="154"/>
      <c r="G54" s="147"/>
      <c r="H54" s="147"/>
      <c r="I54" s="155"/>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row>
    <row r="55" ht="15.75" customHeight="1">
      <c r="A55" s="156">
        <v>10.0</v>
      </c>
      <c r="B55" s="145" t="s">
        <v>335</v>
      </c>
      <c r="C55" s="164" t="s">
        <v>314</v>
      </c>
      <c r="D55" s="154" t="s">
        <v>346</v>
      </c>
      <c r="E55" s="154">
        <v>16.0</v>
      </c>
      <c r="F55" s="154"/>
      <c r="G55" s="147"/>
      <c r="H55" s="147"/>
      <c r="I55" s="155"/>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row>
    <row r="56" ht="15.0" customHeight="1">
      <c r="A56" s="85" t="s">
        <v>45</v>
      </c>
      <c r="B56" s="50"/>
      <c r="C56" s="51"/>
      <c r="D56" s="139"/>
      <c r="E56" s="86">
        <f>SUM(E46:E55)</f>
        <v>92</v>
      </c>
      <c r="F56" s="86">
        <f>SUM(F46:F54)</f>
        <v>0</v>
      </c>
      <c r="G56" s="87"/>
      <c r="H56" s="131"/>
      <c r="I56" s="165"/>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row>
    <row r="57" ht="19.5" customHeight="1">
      <c r="A57" s="90" t="s">
        <v>166</v>
      </c>
      <c r="B57" s="50"/>
      <c r="C57" s="50"/>
      <c r="D57" s="50"/>
      <c r="E57" s="50"/>
      <c r="F57" s="50"/>
      <c r="G57" s="50"/>
      <c r="H57" s="50"/>
      <c r="I57" s="166">
        <v>44170.0</v>
      </c>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row>
    <row r="58" ht="15.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row>
    <row r="59" ht="15.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row>
    <row r="60" ht="15.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row>
    <row r="61" ht="15.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row>
    <row r="62" ht="15.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row>
    <row r="63" ht="15.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row>
    <row r="64" ht="15.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row>
    <row r="65" ht="15.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row>
    <row r="66" ht="15.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row>
    <row r="67" ht="15.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row>
    <row r="68" ht="15.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row>
    <row r="69" ht="15.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row>
    <row r="70" ht="15.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row>
    <row r="71" ht="15.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row>
    <row r="72" ht="15.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row>
    <row r="73" ht="15.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row>
    <row r="74" ht="15.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row>
    <row r="75" ht="15.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row>
    <row r="76" ht="15.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row>
    <row r="77" ht="15.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row>
    <row r="78" ht="15.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row>
    <row r="79" ht="15.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row>
    <row r="80" ht="15.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row>
    <row r="81" ht="15.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row>
    <row r="82" ht="15.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row>
    <row r="83" ht="15.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row>
    <row r="84" ht="15.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row>
    <row r="85" ht="15.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row>
    <row r="86" ht="15.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row>
    <row r="87" ht="15.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row>
    <row r="88" ht="15.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row>
    <row r="89" ht="15.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row>
    <row r="90" ht="15.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row>
    <row r="91" ht="15.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row>
    <row r="92" ht="15.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row>
    <row r="93" ht="15.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row>
    <row r="94" ht="15.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row>
    <row r="95" ht="15.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row>
    <row r="96" ht="15.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row>
    <row r="97" ht="15.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row>
    <row r="98" ht="15.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row>
    <row r="99" ht="15.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row>
    <row r="100" ht="15.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row>
    <row r="101" ht="15.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row>
    <row r="102" ht="15.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row>
    <row r="103" ht="15.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row>
    <row r="104" ht="15.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row>
    <row r="105" ht="15.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row>
    <row r="106" ht="15.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row>
    <row r="107" ht="15.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row>
    <row r="108" ht="15.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row>
    <row r="109" ht="15.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row>
    <row r="110" ht="15.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row>
    <row r="111" ht="15.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row>
    <row r="112" ht="15.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row>
    <row r="113" ht="15.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row>
    <row r="114" ht="15.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row>
    <row r="115" ht="15.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row>
    <row r="116" ht="15.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row>
    <row r="117" ht="15.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row>
    <row r="118" ht="15.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row>
    <row r="119" ht="15.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row>
    <row r="120" ht="15.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row>
    <row r="121" ht="15.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row>
    <row r="122" ht="15.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row>
    <row r="123" ht="15.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row>
    <row r="124" ht="15.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row>
    <row r="125" ht="15.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row>
    <row r="126" ht="15.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row>
    <row r="127" ht="15.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row>
    <row r="128" ht="15.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row>
    <row r="129" ht="15.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row>
    <row r="130" ht="15.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row>
    <row r="131" ht="15.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row>
    <row r="132" ht="15.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row>
    <row r="133" ht="15.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row>
    <row r="134" ht="15.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row>
    <row r="135" ht="15.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row>
    <row r="136" ht="15.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row>
    <row r="137" ht="15.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row>
    <row r="138" ht="15.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row>
    <row r="139" ht="15.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row>
    <row r="140" ht="15.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row>
    <row r="141" ht="15.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row>
    <row r="142" ht="15.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row>
    <row r="143" ht="15.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row>
    <row r="144" ht="15.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row>
    <row r="145" ht="15.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row>
    <row r="146" ht="15.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row>
    <row r="147" ht="15.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row>
    <row r="148" ht="15.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row>
    <row r="149" ht="15.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row>
    <row r="150" ht="15.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row>
    <row r="151" ht="15.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row>
    <row r="152" ht="15.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row>
    <row r="153" ht="15.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row>
    <row r="154" ht="15.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row>
    <row r="155" ht="15.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row>
    <row r="156" ht="15.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row>
    <row r="157" ht="15.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row>
    <row r="158"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row>
    <row r="159" ht="15.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row>
    <row r="160" ht="15.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row>
    <row r="161" ht="15.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row>
    <row r="162" ht="15.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row>
    <row r="163" ht="15.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row>
    <row r="164" ht="15.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row>
    <row r="165" ht="15.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row>
    <row r="166" ht="15.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row>
    <row r="167" ht="15.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row>
    <row r="168" ht="15.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row>
    <row r="169" ht="15.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row>
    <row r="170" ht="15.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row>
    <row r="171" ht="15.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row>
    <row r="172" ht="15.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row>
    <row r="173" ht="15.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row>
    <row r="174" ht="15.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row>
    <row r="175" ht="15.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row>
    <row r="176" ht="15.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row>
    <row r="177"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row>
    <row r="178"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row>
    <row r="179"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row>
    <row r="180"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row>
    <row r="181"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row>
    <row r="182"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row>
    <row r="183"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row>
    <row r="18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row>
    <row r="185"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row>
    <row r="186"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row>
    <row r="187"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row>
    <row r="188"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row>
    <row r="189"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row>
    <row r="190" ht="15.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row>
    <row r="191"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row>
    <row r="192" ht="15.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row>
    <row r="193" ht="15.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row>
    <row r="194" ht="15.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row>
    <row r="195" ht="15.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row>
    <row r="196" ht="15.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row>
    <row r="197" ht="15.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row>
    <row r="198" ht="15.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row>
    <row r="199" ht="15.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row>
    <row r="200" ht="15.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row>
    <row r="201" ht="15.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row>
    <row r="202" ht="15.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row>
    <row r="203" ht="15.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row>
    <row r="204" ht="15.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row>
    <row r="205" ht="15.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row>
    <row r="206" ht="15.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row>
    <row r="207"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row>
    <row r="208"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row>
    <row r="209"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row>
    <row r="210"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row>
    <row r="211"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row>
    <row r="212"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row>
    <row r="213"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row>
    <row r="21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row>
    <row r="215"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row>
    <row r="216"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row>
    <row r="217"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row>
    <row r="218"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row>
    <row r="219"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row>
    <row r="220"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row>
    <row r="221"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row>
    <row r="222" ht="15.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row>
    <row r="223" ht="15.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row>
    <row r="224" ht="15.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row>
    <row r="225"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row>
    <row r="2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row>
    <row r="227"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row>
    <row r="228"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row>
    <row r="229"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row>
    <row r="230"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row>
    <row r="231"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row>
    <row r="301"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row>
    <row r="302"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row>
    <row r="303"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row>
    <row r="304"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row>
    <row r="305"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row>
    <row r="30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row>
    <row r="307"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row>
    <row r="308"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row>
    <row r="309"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row>
    <row r="310"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row>
    <row r="311"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row>
    <row r="312"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row>
    <row r="313"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row>
    <row r="314"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row>
    <row r="315"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row>
    <row r="31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row>
    <row r="317"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row>
    <row r="318"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row>
    <row r="319"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row>
    <row r="320"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row>
    <row r="321"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row>
    <row r="322"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row>
    <row r="323"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row>
    <row r="324"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row>
    <row r="325"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row>
    <row r="3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row>
    <row r="327"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row>
    <row r="328"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row>
    <row r="329"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row>
    <row r="330"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row>
    <row r="331"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row>
    <row r="332"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row>
    <row r="333"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row>
    <row r="334"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row>
    <row r="335"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row>
    <row r="33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row>
    <row r="337"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row>
    <row r="338"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row>
    <row r="339"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row>
    <row r="340"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row>
    <row r="341"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row>
    <row r="342"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row>
    <row r="343"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row>
    <row r="344"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row>
    <row r="345"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row>
    <row r="34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row>
    <row r="347"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row>
    <row r="348"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row>
    <row r="349"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row>
    <row r="350"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row>
    <row r="351"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row>
    <row r="352"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row>
    <row r="353"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row>
    <row r="354"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row>
    <row r="355"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row>
    <row r="35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row>
    <row r="357"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row>
    <row r="358"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row>
    <row r="359"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row>
    <row r="360"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row>
    <row r="361"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row>
    <row r="362"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row>
    <row r="363"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row>
    <row r="364"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row>
    <row r="365"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row>
    <row r="36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row>
    <row r="367"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row>
    <row r="368"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row>
    <row r="369"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row>
    <row r="370"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row>
    <row r="371"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row>
    <row r="372"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row>
    <row r="373"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row>
    <row r="374"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row>
    <row r="375"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row>
    <row r="37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row>
    <row r="377"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row>
    <row r="378"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row>
    <row r="379"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row>
    <row r="380"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row>
    <row r="381"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row>
    <row r="382"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row>
    <row r="383"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row>
    <row r="384"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row>
    <row r="385"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row>
    <row r="38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row>
    <row r="387"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row>
    <row r="388"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c r="AP388" s="69"/>
    </row>
    <row r="389"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row>
    <row r="390"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c r="AP390" s="69"/>
    </row>
    <row r="391"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c r="AP391" s="69"/>
    </row>
    <row r="392"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c r="AP392" s="69"/>
    </row>
    <row r="393"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c r="AP393" s="69"/>
    </row>
    <row r="394"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c r="AP394" s="69"/>
    </row>
    <row r="395"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c r="AP395" s="69"/>
    </row>
    <row r="39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c r="AP396" s="69"/>
    </row>
    <row r="397"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c r="AP397" s="69"/>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c r="AP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c r="AP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c r="AP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69"/>
      <c r="AO401" s="69"/>
      <c r="AP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c r="AP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69"/>
      <c r="AO403" s="69"/>
      <c r="AP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c r="AP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69"/>
      <c r="AO405" s="69"/>
      <c r="AP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69"/>
      <c r="AO406" s="69"/>
      <c r="AP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69"/>
      <c r="AO407" s="69"/>
      <c r="AP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69"/>
      <c r="AO408" s="69"/>
      <c r="AP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69"/>
      <c r="AO409" s="69"/>
      <c r="AP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c r="AN411" s="69"/>
      <c r="AO411" s="69"/>
      <c r="AP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c r="AP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69"/>
      <c r="AO413" s="69"/>
      <c r="AP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69"/>
      <c r="AO414" s="69"/>
      <c r="AP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69"/>
      <c r="AO415" s="69"/>
      <c r="AP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69"/>
      <c r="AO416" s="69"/>
      <c r="AP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69"/>
      <c r="AO417" s="69"/>
      <c r="AP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c r="AP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c r="AP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c r="AP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c r="AP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c r="AP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c r="AP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c r="AP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c r="AN425" s="69"/>
      <c r="AO425" s="69"/>
      <c r="AP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c r="AP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69"/>
      <c r="AO427" s="69"/>
      <c r="AP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c r="AP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69"/>
      <c r="AO429" s="69"/>
      <c r="AP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69"/>
      <c r="AO430" s="69"/>
      <c r="AP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c r="AP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c r="AP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c r="AP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c r="AP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c r="AP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c r="AP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c r="AP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c r="AP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c r="AP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c r="AP442" s="69"/>
    </row>
    <row r="443"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c r="AP443" s="69"/>
    </row>
    <row r="444"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c r="AP444" s="69"/>
    </row>
    <row r="445"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c r="AP445" s="69"/>
    </row>
    <row r="44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c r="AP446" s="69"/>
    </row>
    <row r="447"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c r="AP447" s="69"/>
    </row>
    <row r="448"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c r="AP448" s="69"/>
    </row>
    <row r="449"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69"/>
      <c r="AO449" s="69"/>
      <c r="AP449" s="69"/>
    </row>
    <row r="450"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c r="AP450" s="69"/>
    </row>
    <row r="451"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c r="AP451" s="69"/>
    </row>
    <row r="452"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c r="AP452" s="69"/>
    </row>
    <row r="453"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c r="AP453" s="69"/>
    </row>
    <row r="454"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c r="AP454" s="69"/>
    </row>
    <row r="455"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c r="AP455" s="69"/>
    </row>
    <row r="45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c r="AP456" s="69"/>
    </row>
    <row r="457"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c r="AP457" s="69"/>
    </row>
    <row r="458"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c r="AP458" s="69"/>
    </row>
    <row r="459"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c r="AP459" s="69"/>
    </row>
    <row r="460"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c r="AP460" s="69"/>
    </row>
    <row r="461"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c r="AP461" s="69"/>
    </row>
    <row r="462"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row>
    <row r="463"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c r="AP463" s="69"/>
    </row>
    <row r="464"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c r="AP464" s="69"/>
    </row>
    <row r="465"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c r="AP465" s="69"/>
    </row>
    <row r="46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c r="AP466" s="69"/>
    </row>
    <row r="467"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c r="AP467" s="69"/>
    </row>
    <row r="468"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c r="AP468" s="69"/>
    </row>
    <row r="469"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c r="AP469" s="69"/>
    </row>
    <row r="470"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69"/>
      <c r="AO470" s="69"/>
      <c r="AP470" s="69"/>
    </row>
    <row r="471"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c r="AN471" s="69"/>
      <c r="AO471" s="69"/>
      <c r="AP471" s="69"/>
    </row>
    <row r="472"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c r="AP472" s="69"/>
    </row>
    <row r="473"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69"/>
      <c r="AO473" s="69"/>
      <c r="AP473" s="69"/>
    </row>
    <row r="474"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c r="AP474" s="69"/>
    </row>
    <row r="475"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69"/>
      <c r="AO475" s="69"/>
      <c r="AP475" s="69"/>
    </row>
    <row r="47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c r="AP476" s="69"/>
    </row>
    <row r="477"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69"/>
      <c r="AO477" s="69"/>
      <c r="AP477" s="69"/>
    </row>
    <row r="478"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69"/>
      <c r="AO478" s="69"/>
      <c r="AP478" s="69"/>
    </row>
    <row r="479"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69"/>
      <c r="AO479" s="69"/>
      <c r="AP479" s="69"/>
    </row>
    <row r="480"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c r="AP480" s="69"/>
    </row>
    <row r="481"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c r="AN481" s="69"/>
      <c r="AO481" s="69"/>
      <c r="AP481" s="69"/>
    </row>
    <row r="482"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c r="AP482" s="69"/>
    </row>
    <row r="483"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c r="AP483" s="69"/>
    </row>
    <row r="484"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c r="AP484" s="69"/>
    </row>
    <row r="485"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c r="AP485" s="69"/>
    </row>
    <row r="48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c r="AN486" s="69"/>
      <c r="AO486" s="69"/>
      <c r="AP486" s="69"/>
    </row>
    <row r="487"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69"/>
      <c r="AO487" s="69"/>
      <c r="AP487" s="69"/>
    </row>
    <row r="488"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c r="AP488" s="69"/>
    </row>
    <row r="489"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69"/>
      <c r="AO489" s="69"/>
      <c r="AP489" s="69"/>
    </row>
    <row r="490"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c r="AP490" s="69"/>
    </row>
    <row r="491"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69"/>
      <c r="AO491" s="69"/>
      <c r="AP491" s="69"/>
    </row>
    <row r="492"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69"/>
      <c r="AO492" s="69"/>
      <c r="AP492" s="69"/>
    </row>
    <row r="493"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69"/>
      <c r="AO493" s="69"/>
      <c r="AP493" s="69"/>
    </row>
    <row r="494"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69"/>
      <c r="AO494" s="69"/>
      <c r="AP494" s="69"/>
    </row>
    <row r="495"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c r="AN495" s="69"/>
      <c r="AO495" s="69"/>
      <c r="AP495" s="69"/>
    </row>
    <row r="49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c r="AP496" s="69"/>
    </row>
    <row r="497"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69"/>
      <c r="AO497" s="69"/>
      <c r="AP497" s="69"/>
    </row>
    <row r="498"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c r="AP498" s="69"/>
    </row>
    <row r="499"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69"/>
      <c r="AO499" s="69"/>
      <c r="AP499" s="69"/>
    </row>
    <row r="500"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69"/>
      <c r="AO500" s="69"/>
      <c r="AP500" s="69"/>
    </row>
    <row r="501"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69"/>
      <c r="AO501" s="69"/>
      <c r="AP501" s="69"/>
    </row>
    <row r="502"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69"/>
      <c r="AO502" s="69"/>
      <c r="AP502" s="69"/>
    </row>
    <row r="503"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c r="AP503" s="69"/>
    </row>
    <row r="504"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c r="AP504" s="69"/>
    </row>
    <row r="505"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69"/>
      <c r="AO505" s="69"/>
      <c r="AP505" s="69"/>
    </row>
    <row r="50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c r="AP506" s="69"/>
    </row>
    <row r="507"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c r="AN507" s="69"/>
      <c r="AO507" s="69"/>
      <c r="AP507" s="69"/>
    </row>
    <row r="508"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c r="AN508" s="69"/>
      <c r="AO508" s="69"/>
      <c r="AP508" s="69"/>
    </row>
    <row r="509"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row>
    <row r="510"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c r="AP510" s="69"/>
    </row>
    <row r="511"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c r="AP511" s="69"/>
    </row>
    <row r="512"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c r="AP512" s="69"/>
    </row>
    <row r="513"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c r="AN513" s="69"/>
      <c r="AO513" s="69"/>
      <c r="AP513" s="69"/>
    </row>
    <row r="514"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c r="AP514" s="69"/>
    </row>
    <row r="515"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c r="AN515" s="69"/>
      <c r="AO515" s="69"/>
      <c r="AP515" s="69"/>
    </row>
    <row r="51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c r="AN516" s="69"/>
      <c r="AO516" s="69"/>
      <c r="AP516" s="69"/>
    </row>
    <row r="517"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c r="AN517" s="69"/>
      <c r="AO517" s="69"/>
      <c r="AP517" s="69"/>
    </row>
    <row r="518"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c r="AN518" s="69"/>
      <c r="AO518" s="69"/>
      <c r="AP518" s="69"/>
    </row>
    <row r="519"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c r="AN519" s="69"/>
      <c r="AO519" s="69"/>
      <c r="AP519" s="69"/>
    </row>
    <row r="520"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c r="AP520" s="69"/>
    </row>
    <row r="521"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c r="AN521" s="69"/>
      <c r="AO521" s="69"/>
      <c r="AP521" s="69"/>
    </row>
    <row r="522"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c r="AP522" s="69"/>
    </row>
    <row r="523"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c r="AN523" s="69"/>
      <c r="AO523" s="69"/>
      <c r="AP523" s="69"/>
    </row>
    <row r="524"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c r="AN524" s="69"/>
      <c r="AO524" s="69"/>
      <c r="AP524" s="69"/>
    </row>
    <row r="525"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c r="AN525" s="69"/>
      <c r="AO525" s="69"/>
      <c r="AP525" s="69"/>
    </row>
    <row r="5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c r="AN526" s="69"/>
      <c r="AO526" s="69"/>
      <c r="AP526" s="69"/>
    </row>
    <row r="527"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c r="AN527" s="69"/>
      <c r="AO527" s="69"/>
      <c r="AP527" s="69"/>
    </row>
    <row r="528"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c r="AP528" s="69"/>
    </row>
    <row r="529"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c r="AN529" s="69"/>
      <c r="AO529" s="69"/>
      <c r="AP529" s="69"/>
    </row>
    <row r="530"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c r="AP530" s="69"/>
    </row>
    <row r="531"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c r="AN531" s="69"/>
      <c r="AO531" s="69"/>
      <c r="AP531" s="69"/>
    </row>
    <row r="532"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c r="AN532" s="69"/>
      <c r="AO532" s="69"/>
      <c r="AP532" s="69"/>
    </row>
    <row r="533"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c r="AN533" s="69"/>
      <c r="AO533" s="69"/>
      <c r="AP533" s="69"/>
    </row>
    <row r="534"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c r="AN534" s="69"/>
      <c r="AO534" s="69"/>
      <c r="AP534" s="69"/>
    </row>
    <row r="535"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c r="AN535" s="69"/>
      <c r="AO535" s="69"/>
      <c r="AP535" s="69"/>
    </row>
    <row r="53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c r="AP536" s="69"/>
    </row>
    <row r="537"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c r="AN537" s="69"/>
      <c r="AO537" s="69"/>
      <c r="AP537" s="69"/>
    </row>
    <row r="538"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c r="AP538" s="69"/>
    </row>
    <row r="539"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c r="AN539" s="69"/>
      <c r="AO539" s="69"/>
      <c r="AP539" s="69"/>
    </row>
    <row r="540"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c r="AN540" s="69"/>
      <c r="AO540" s="69"/>
      <c r="AP540" s="69"/>
    </row>
    <row r="541"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c r="AN541" s="69"/>
      <c r="AO541" s="69"/>
      <c r="AP541" s="69"/>
    </row>
    <row r="542"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c r="AN542" s="69"/>
      <c r="AO542" s="69"/>
      <c r="AP542" s="69"/>
    </row>
    <row r="543"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c r="AN543" s="69"/>
      <c r="AO543" s="69"/>
      <c r="AP543" s="69"/>
    </row>
    <row r="544"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c r="AP544" s="69"/>
    </row>
    <row r="545"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c r="AN545" s="69"/>
      <c r="AO545" s="69"/>
      <c r="AP545" s="69"/>
    </row>
    <row r="54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c r="AP546" s="69"/>
    </row>
    <row r="547"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c r="AN547" s="69"/>
      <c r="AO547" s="69"/>
      <c r="AP547" s="69"/>
    </row>
    <row r="548"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c r="AN548" s="69"/>
      <c r="AO548" s="69"/>
      <c r="AP548" s="69"/>
    </row>
    <row r="549"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c r="AP549" s="69"/>
    </row>
    <row r="550"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c r="AN550" s="69"/>
      <c r="AO550" s="69"/>
      <c r="AP550" s="69"/>
    </row>
    <row r="551"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c r="AN551" s="69"/>
      <c r="AO551" s="69"/>
      <c r="AP551" s="69"/>
    </row>
    <row r="552"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c r="AP552" s="69"/>
    </row>
    <row r="553"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c r="AN553" s="69"/>
      <c r="AO553" s="69"/>
      <c r="AP553" s="69"/>
    </row>
    <row r="554"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c r="AP554" s="69"/>
    </row>
    <row r="555"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c r="AN555" s="69"/>
      <c r="AO555" s="69"/>
      <c r="AP555" s="69"/>
    </row>
    <row r="55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c r="AN556" s="69"/>
      <c r="AO556" s="69"/>
      <c r="AP556" s="69"/>
    </row>
    <row r="557"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c r="AN557" s="69"/>
      <c r="AO557" s="69"/>
      <c r="AP557" s="69"/>
    </row>
    <row r="558"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c r="AN558" s="69"/>
      <c r="AO558" s="69"/>
      <c r="AP558" s="69"/>
    </row>
    <row r="559"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c r="AN559" s="69"/>
      <c r="AO559" s="69"/>
      <c r="AP559" s="69"/>
    </row>
    <row r="560"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c r="AP560" s="69"/>
    </row>
    <row r="561"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c r="AN561" s="69"/>
      <c r="AO561" s="69"/>
      <c r="AP561" s="69"/>
    </row>
    <row r="562"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c r="AP562" s="69"/>
    </row>
    <row r="563"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c r="AN563" s="69"/>
      <c r="AO563" s="69"/>
      <c r="AP563" s="69"/>
    </row>
    <row r="564"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c r="AN564" s="69"/>
      <c r="AO564" s="69"/>
      <c r="AP564" s="69"/>
    </row>
    <row r="565"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c r="AN565" s="69"/>
      <c r="AO565" s="69"/>
      <c r="AP565" s="69"/>
    </row>
    <row r="56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c r="AN566" s="69"/>
      <c r="AO566" s="69"/>
      <c r="AP566" s="69"/>
    </row>
    <row r="567"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c r="AN567" s="69"/>
      <c r="AO567" s="69"/>
      <c r="AP567" s="69"/>
    </row>
    <row r="568"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c r="AP568" s="69"/>
    </row>
    <row r="569"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c r="AN569" s="69"/>
      <c r="AO569" s="69"/>
      <c r="AP569" s="69"/>
    </row>
    <row r="570"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c r="AP570" s="69"/>
    </row>
    <row r="571"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c r="AN571" s="69"/>
      <c r="AO571" s="69"/>
      <c r="AP571" s="69"/>
    </row>
    <row r="572"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c r="AN572" s="69"/>
      <c r="AO572" s="69"/>
      <c r="AP572" s="69"/>
    </row>
    <row r="573"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c r="AN573" s="69"/>
      <c r="AO573" s="69"/>
      <c r="AP573" s="69"/>
    </row>
    <row r="574"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c r="AN574" s="69"/>
      <c r="AO574" s="69"/>
      <c r="AP574" s="69"/>
    </row>
    <row r="575"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c r="AN575" s="69"/>
      <c r="AO575" s="69"/>
      <c r="AP575" s="69"/>
    </row>
    <row r="57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c r="AP576" s="69"/>
    </row>
    <row r="577"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c r="AN577" s="69"/>
      <c r="AO577" s="69"/>
      <c r="AP577" s="69"/>
    </row>
    <row r="578"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c r="AP578" s="69"/>
    </row>
    <row r="579"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c r="AN579" s="69"/>
      <c r="AO579" s="69"/>
      <c r="AP579" s="69"/>
    </row>
    <row r="580"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c r="AN580" s="69"/>
      <c r="AO580" s="69"/>
      <c r="AP580" s="69"/>
    </row>
    <row r="581"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c r="AN581" s="69"/>
      <c r="AO581" s="69"/>
      <c r="AP581" s="69"/>
    </row>
    <row r="582"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c r="AO582" s="69"/>
      <c r="AP582" s="69"/>
    </row>
    <row r="583"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c r="AO583" s="69"/>
      <c r="AP583" s="69"/>
    </row>
    <row r="584"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c r="AP584" s="69"/>
    </row>
    <row r="585"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c r="AN585" s="69"/>
      <c r="AO585" s="69"/>
      <c r="AP585" s="69"/>
    </row>
    <row r="58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c r="AP586" s="69"/>
    </row>
    <row r="587"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c r="AN587" s="69"/>
      <c r="AO587" s="69"/>
      <c r="AP587" s="69"/>
    </row>
    <row r="588"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c r="AN588" s="69"/>
      <c r="AO588" s="69"/>
      <c r="AP588" s="69"/>
    </row>
    <row r="589"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c r="AN589" s="69"/>
      <c r="AO589" s="69"/>
      <c r="AP589" s="69"/>
    </row>
    <row r="590"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c r="AN590" s="69"/>
      <c r="AO590" s="69"/>
      <c r="AP590" s="69"/>
    </row>
    <row r="591"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c r="AN591" s="69"/>
      <c r="AO591" s="69"/>
      <c r="AP591" s="69"/>
    </row>
    <row r="592"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c r="AP592" s="69"/>
    </row>
    <row r="593"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c r="AN593" s="69"/>
      <c r="AO593" s="69"/>
      <c r="AP593" s="69"/>
    </row>
    <row r="594"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c r="AP594" s="69"/>
    </row>
    <row r="595"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c r="AN595" s="69"/>
      <c r="AO595" s="69"/>
      <c r="AP595" s="69"/>
    </row>
    <row r="59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c r="AN596" s="69"/>
      <c r="AO596" s="69"/>
      <c r="AP596" s="69"/>
    </row>
    <row r="597"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c r="AN597" s="69"/>
      <c r="AO597" s="69"/>
      <c r="AP597" s="69"/>
    </row>
    <row r="598"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c r="AN598" s="69"/>
      <c r="AO598" s="69"/>
      <c r="AP598" s="69"/>
    </row>
    <row r="599"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c r="AN599" s="69"/>
      <c r="AO599" s="69"/>
      <c r="AP599" s="69"/>
    </row>
    <row r="600"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c r="AP600" s="69"/>
    </row>
    <row r="601"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c r="AN601" s="69"/>
      <c r="AO601" s="69"/>
      <c r="AP601" s="69"/>
    </row>
    <row r="602"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c r="AP602" s="69"/>
    </row>
    <row r="603"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c r="AN603" s="69"/>
      <c r="AO603" s="69"/>
      <c r="AP603" s="69"/>
    </row>
    <row r="604"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c r="AN604" s="69"/>
      <c r="AO604" s="69"/>
      <c r="AP604" s="69"/>
    </row>
    <row r="605"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c r="AN605" s="69"/>
      <c r="AO605" s="69"/>
      <c r="AP605" s="69"/>
    </row>
    <row r="60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c r="AN606" s="69"/>
      <c r="AO606" s="69"/>
      <c r="AP606" s="69"/>
    </row>
    <row r="607"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c r="AN607" s="69"/>
      <c r="AO607" s="69"/>
      <c r="AP607" s="69"/>
    </row>
    <row r="608"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c r="AP608" s="69"/>
    </row>
    <row r="609"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c r="AN609" s="69"/>
      <c r="AO609" s="69"/>
      <c r="AP609" s="69"/>
    </row>
    <row r="610"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c r="AP610" s="69"/>
    </row>
    <row r="611"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c r="AN611" s="69"/>
      <c r="AO611" s="69"/>
      <c r="AP611" s="69"/>
    </row>
    <row r="612"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c r="AO612" s="69"/>
      <c r="AP612" s="69"/>
    </row>
    <row r="613"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c r="AN613" s="69"/>
      <c r="AO613" s="69"/>
      <c r="AP613" s="69"/>
    </row>
    <row r="614"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c r="AN614" s="69"/>
      <c r="AO614" s="69"/>
      <c r="AP614" s="69"/>
    </row>
    <row r="615"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c r="AN615" s="69"/>
      <c r="AO615" s="69"/>
      <c r="AP615" s="69"/>
    </row>
    <row r="61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c r="AP616" s="69"/>
    </row>
    <row r="617"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c r="AN617" s="69"/>
      <c r="AO617" s="69"/>
      <c r="AP617" s="69"/>
    </row>
    <row r="618"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c r="AP618" s="69"/>
    </row>
    <row r="619"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c r="AN619" s="69"/>
      <c r="AO619" s="69"/>
      <c r="AP619" s="69"/>
    </row>
    <row r="620"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c r="AN620" s="69"/>
      <c r="AO620" s="69"/>
      <c r="AP620" s="69"/>
    </row>
    <row r="621"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c r="AN621" s="69"/>
      <c r="AO621" s="69"/>
      <c r="AP621" s="69"/>
    </row>
    <row r="622"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c r="AN622" s="69"/>
      <c r="AO622" s="69"/>
      <c r="AP622" s="69"/>
    </row>
    <row r="623"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c r="AN623" s="69"/>
      <c r="AO623" s="69"/>
      <c r="AP623" s="69"/>
    </row>
    <row r="624"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c r="AP624" s="69"/>
    </row>
    <row r="625"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c r="AN625" s="69"/>
      <c r="AO625" s="69"/>
      <c r="AP625" s="69"/>
    </row>
    <row r="6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c r="AP626" s="69"/>
    </row>
    <row r="627"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c r="AN627" s="69"/>
      <c r="AO627" s="69"/>
      <c r="AP627" s="69"/>
    </row>
    <row r="628"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c r="AN628" s="69"/>
      <c r="AO628" s="69"/>
      <c r="AP628" s="69"/>
    </row>
    <row r="629"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c r="AN629" s="69"/>
      <c r="AO629" s="69"/>
      <c r="AP629" s="69"/>
    </row>
    <row r="630"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c r="AN630" s="69"/>
      <c r="AO630" s="69"/>
      <c r="AP630" s="69"/>
    </row>
    <row r="631"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c r="AN631" s="69"/>
      <c r="AO631" s="69"/>
      <c r="AP631" s="69"/>
    </row>
    <row r="632"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c r="AP632" s="69"/>
    </row>
    <row r="633"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c r="AN633" s="69"/>
      <c r="AO633" s="69"/>
      <c r="AP633" s="69"/>
    </row>
    <row r="634"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c r="AP634" s="69"/>
    </row>
    <row r="635"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c r="AN635" s="69"/>
      <c r="AO635" s="69"/>
      <c r="AP635" s="69"/>
    </row>
    <row r="63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c r="AN636" s="69"/>
      <c r="AO636" s="69"/>
      <c r="AP636" s="69"/>
    </row>
    <row r="637"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c r="AN637" s="69"/>
      <c r="AO637" s="69"/>
      <c r="AP637" s="69"/>
    </row>
    <row r="638"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c r="AN638" s="69"/>
      <c r="AO638" s="69"/>
      <c r="AP638" s="69"/>
    </row>
    <row r="639"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c r="AN639" s="69"/>
      <c r="AO639" s="69"/>
      <c r="AP639" s="69"/>
    </row>
    <row r="640"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c r="AP640" s="69"/>
    </row>
    <row r="641"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c r="AP641" s="69"/>
    </row>
    <row r="642"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c r="AP642" s="69"/>
    </row>
    <row r="643"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c r="AN643" s="69"/>
      <c r="AO643" s="69"/>
      <c r="AP643" s="69"/>
    </row>
    <row r="644"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c r="AN644" s="69"/>
      <c r="AO644" s="69"/>
      <c r="AP644" s="69"/>
    </row>
    <row r="645"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c r="AN645" s="69"/>
      <c r="AO645" s="69"/>
      <c r="AP645" s="69"/>
    </row>
    <row r="64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c r="AN646" s="69"/>
      <c r="AO646" s="69"/>
      <c r="AP646" s="69"/>
    </row>
    <row r="647"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c r="AN647" s="69"/>
      <c r="AO647" s="69"/>
      <c r="AP647" s="69"/>
    </row>
    <row r="648"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c r="AP648" s="69"/>
    </row>
    <row r="649"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c r="AN649" s="69"/>
      <c r="AO649" s="69"/>
      <c r="AP649" s="69"/>
    </row>
    <row r="650"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c r="AP650" s="69"/>
    </row>
    <row r="651"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c r="AN651" s="69"/>
      <c r="AO651" s="69"/>
      <c r="AP651" s="69"/>
    </row>
    <row r="652"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c r="AN652" s="69"/>
      <c r="AO652" s="69"/>
      <c r="AP652" s="69"/>
    </row>
    <row r="653"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c r="AN653" s="69"/>
      <c r="AO653" s="69"/>
      <c r="AP653" s="69"/>
    </row>
    <row r="654"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c r="AN654" s="69"/>
      <c r="AO654" s="69"/>
      <c r="AP654" s="69"/>
    </row>
    <row r="655"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c r="AO655" s="69"/>
      <c r="AP655" s="69"/>
    </row>
    <row r="65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c r="AP656" s="69"/>
    </row>
    <row r="657"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c r="AN657" s="69"/>
      <c r="AO657" s="69"/>
      <c r="AP657" s="69"/>
    </row>
    <row r="658"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c r="AP658" s="69"/>
    </row>
    <row r="659"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c r="AN659" s="69"/>
      <c r="AO659" s="69"/>
      <c r="AP659" s="69"/>
    </row>
    <row r="660"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c r="AN660" s="69"/>
      <c r="AO660" s="69"/>
      <c r="AP660" s="69"/>
    </row>
    <row r="661"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c r="AN661" s="69"/>
      <c r="AO661" s="69"/>
      <c r="AP661" s="69"/>
    </row>
    <row r="662"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c r="AN662" s="69"/>
      <c r="AO662" s="69"/>
      <c r="AP662" s="69"/>
    </row>
    <row r="663"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c r="AN663" s="69"/>
      <c r="AO663" s="69"/>
      <c r="AP663" s="69"/>
    </row>
    <row r="664"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c r="AP664" s="69"/>
    </row>
    <row r="665"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c r="AN665" s="69"/>
      <c r="AO665" s="69"/>
      <c r="AP665" s="69"/>
    </row>
    <row r="66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c r="AP666" s="69"/>
    </row>
    <row r="667"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c r="AN667" s="69"/>
      <c r="AO667" s="69"/>
      <c r="AP667" s="69"/>
    </row>
    <row r="668"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c r="AN668" s="69"/>
      <c r="AO668" s="69"/>
      <c r="AP668" s="69"/>
    </row>
    <row r="669"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row>
    <row r="670"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c r="AN670" s="69"/>
      <c r="AO670" s="69"/>
      <c r="AP670" s="69"/>
    </row>
    <row r="671"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c r="AN671" s="69"/>
      <c r="AO671" s="69"/>
      <c r="AP671" s="69"/>
    </row>
    <row r="672"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c r="AP672" s="69"/>
    </row>
    <row r="673"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c r="AN673" s="69"/>
      <c r="AO673" s="69"/>
      <c r="AP673" s="69"/>
    </row>
    <row r="674"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c r="AP674" s="69"/>
    </row>
    <row r="675"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c r="AN675" s="69"/>
      <c r="AO675" s="69"/>
      <c r="AP675" s="69"/>
    </row>
    <row r="67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c r="AN676" s="69"/>
      <c r="AO676" s="69"/>
      <c r="AP676" s="69"/>
    </row>
    <row r="677"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c r="AN677" s="69"/>
      <c r="AO677" s="69"/>
      <c r="AP677" s="69"/>
    </row>
    <row r="678"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c r="AN678" s="69"/>
      <c r="AO678" s="69"/>
      <c r="AP678" s="69"/>
    </row>
    <row r="679"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c r="AN679" s="69"/>
      <c r="AO679" s="69"/>
      <c r="AP679" s="69"/>
    </row>
    <row r="680"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c r="AP680" s="69"/>
    </row>
    <row r="681"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c r="AN681" s="69"/>
      <c r="AO681" s="69"/>
      <c r="AP681" s="69"/>
    </row>
    <row r="682"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c r="AP682" s="69"/>
    </row>
    <row r="683"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c r="AN683" s="69"/>
      <c r="AO683" s="69"/>
      <c r="AP683" s="69"/>
    </row>
    <row r="684"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c r="AN684" s="69"/>
      <c r="AO684" s="69"/>
      <c r="AP684" s="69"/>
    </row>
    <row r="685"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c r="AN685" s="69"/>
      <c r="AO685" s="69"/>
      <c r="AP685" s="69"/>
    </row>
    <row r="68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c r="AN686" s="69"/>
      <c r="AO686" s="69"/>
      <c r="AP686" s="69"/>
    </row>
    <row r="687"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c r="AN687" s="69"/>
      <c r="AO687" s="69"/>
      <c r="AP687" s="69"/>
    </row>
    <row r="688"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c r="AP688" s="69"/>
    </row>
    <row r="689"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c r="AN689" s="69"/>
      <c r="AO689" s="69"/>
      <c r="AP689" s="69"/>
    </row>
    <row r="690"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c r="AP690" s="69"/>
    </row>
    <row r="691"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c r="AN691" s="69"/>
      <c r="AO691" s="69"/>
      <c r="AP691" s="69"/>
    </row>
    <row r="692"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c r="AN692" s="69"/>
      <c r="AO692" s="69"/>
      <c r="AP692" s="69"/>
    </row>
    <row r="693"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c r="AN693" s="69"/>
      <c r="AO693" s="69"/>
      <c r="AP693" s="69"/>
    </row>
    <row r="694"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c r="AP694" s="69"/>
    </row>
    <row r="695"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c r="AN695" s="69"/>
      <c r="AO695" s="69"/>
      <c r="AP695" s="69"/>
    </row>
    <row r="69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c r="AP696" s="69"/>
    </row>
    <row r="697"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c r="AN697" s="69"/>
      <c r="AO697" s="69"/>
      <c r="AP697" s="69"/>
    </row>
    <row r="698"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c r="AN698" s="69"/>
      <c r="AO698" s="69"/>
      <c r="AP698" s="69"/>
    </row>
    <row r="699"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c r="AN699" s="69"/>
      <c r="AO699" s="69"/>
      <c r="AP699" s="69"/>
    </row>
    <row r="700"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c r="AN700" s="69"/>
      <c r="AO700" s="69"/>
      <c r="AP700" s="69"/>
    </row>
    <row r="701"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c r="AN701" s="69"/>
      <c r="AO701" s="69"/>
      <c r="AP701" s="69"/>
    </row>
    <row r="702"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c r="AP702" s="69"/>
    </row>
    <row r="703"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c r="AN703" s="69"/>
      <c r="AO703" s="69"/>
      <c r="AP703" s="69"/>
    </row>
    <row r="704"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c r="AP704" s="69"/>
    </row>
    <row r="705"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c r="AN705" s="69"/>
      <c r="AO705" s="69"/>
      <c r="AP705" s="69"/>
    </row>
    <row r="70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c r="AN706" s="69"/>
      <c r="AO706" s="69"/>
      <c r="AP706" s="69"/>
    </row>
    <row r="707"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c r="AN707" s="69"/>
      <c r="AO707" s="69"/>
      <c r="AP707" s="69"/>
    </row>
    <row r="708"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c r="AN708" s="69"/>
      <c r="AO708" s="69"/>
      <c r="AP708" s="69"/>
    </row>
    <row r="709"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c r="AN709" s="69"/>
      <c r="AO709" s="69"/>
      <c r="AP709" s="69"/>
    </row>
    <row r="710"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c r="AP710" s="69"/>
    </row>
    <row r="711"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c r="AN711" s="69"/>
      <c r="AO711" s="69"/>
      <c r="AP711" s="69"/>
    </row>
    <row r="712"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c r="AP712" s="69"/>
    </row>
    <row r="713"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c r="AN713" s="69"/>
      <c r="AO713" s="69"/>
      <c r="AP713" s="69"/>
    </row>
    <row r="714"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c r="AN714" s="69"/>
      <c r="AO714" s="69"/>
      <c r="AP714" s="69"/>
    </row>
    <row r="715"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c r="AN715" s="69"/>
      <c r="AO715" s="69"/>
      <c r="AP715" s="69"/>
    </row>
    <row r="71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c r="AN716" s="69"/>
      <c r="AO716" s="69"/>
      <c r="AP716" s="69"/>
    </row>
    <row r="717"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c r="AN717" s="69"/>
      <c r="AO717" s="69"/>
      <c r="AP717" s="69"/>
    </row>
    <row r="718"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c r="AP718" s="69"/>
    </row>
    <row r="719"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c r="AN719" s="69"/>
      <c r="AO719" s="69"/>
      <c r="AP719" s="69"/>
    </row>
    <row r="720"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c r="AP720" s="69"/>
    </row>
    <row r="721"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c r="AN721" s="69"/>
      <c r="AO721" s="69"/>
      <c r="AP721" s="69"/>
    </row>
    <row r="722"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c r="AN722" s="69"/>
      <c r="AO722" s="69"/>
      <c r="AP722" s="69"/>
    </row>
    <row r="723"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row>
    <row r="724"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c r="AN724" s="69"/>
      <c r="AO724" s="69"/>
      <c r="AP724" s="69"/>
    </row>
    <row r="725"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c r="AN725" s="69"/>
      <c r="AO725" s="69"/>
      <c r="AP725" s="69"/>
    </row>
    <row r="7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c r="AP726" s="69"/>
    </row>
    <row r="727"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c r="AN727" s="69"/>
      <c r="AO727" s="69"/>
      <c r="AP727" s="69"/>
    </row>
    <row r="728"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c r="AP728" s="69"/>
    </row>
    <row r="729"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c r="AN729" s="69"/>
      <c r="AO729" s="69"/>
      <c r="AP729" s="69"/>
    </row>
    <row r="730"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c r="AN730" s="69"/>
      <c r="AO730" s="69"/>
      <c r="AP730" s="69"/>
    </row>
    <row r="731"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c r="AN731" s="69"/>
      <c r="AO731" s="69"/>
      <c r="AP731" s="69"/>
    </row>
    <row r="732"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c r="AN732" s="69"/>
      <c r="AO732" s="69"/>
      <c r="AP732" s="69"/>
    </row>
    <row r="733"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c r="AN733" s="69"/>
      <c r="AO733" s="69"/>
      <c r="AP733" s="69"/>
    </row>
    <row r="734"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c r="AP734" s="69"/>
    </row>
    <row r="735"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c r="AP735" s="69"/>
    </row>
    <row r="73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c r="AP736" s="69"/>
    </row>
    <row r="737"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c r="AP737" s="69"/>
    </row>
    <row r="738"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c r="AP738" s="69"/>
    </row>
    <row r="739"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c r="AP739" s="69"/>
    </row>
    <row r="740"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c r="AP740" s="69"/>
    </row>
    <row r="741"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c r="AP741" s="69"/>
    </row>
    <row r="742"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c r="AP742" s="69"/>
    </row>
    <row r="743"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c r="AP743" s="69"/>
    </row>
    <row r="744"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c r="AP744" s="69"/>
    </row>
    <row r="745"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c r="AP745" s="69"/>
    </row>
    <row r="74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c r="AN746" s="69"/>
      <c r="AO746" s="69"/>
      <c r="AP746" s="69"/>
    </row>
    <row r="747"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c r="AN747" s="69"/>
      <c r="AO747" s="69"/>
      <c r="AP747" s="69"/>
    </row>
    <row r="748"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c r="AN748" s="69"/>
      <c r="AO748" s="69"/>
      <c r="AP748" s="69"/>
    </row>
    <row r="749"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c r="AN749" s="69"/>
      <c r="AO749" s="69"/>
      <c r="AP749" s="69"/>
    </row>
    <row r="750"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c r="AP750" s="69"/>
    </row>
    <row r="751"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c r="AN751" s="69"/>
      <c r="AO751" s="69"/>
      <c r="AP751" s="69"/>
    </row>
    <row r="752"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c r="AP752" s="69"/>
    </row>
    <row r="753"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c r="AN753" s="69"/>
      <c r="AO753" s="69"/>
      <c r="AP753" s="69"/>
    </row>
    <row r="754"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c r="AN754" s="69"/>
      <c r="AO754" s="69"/>
      <c r="AP754" s="69"/>
    </row>
    <row r="755"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c r="AN755" s="69"/>
      <c r="AO755" s="69"/>
      <c r="AP755" s="69"/>
    </row>
    <row r="75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c r="AN756" s="69"/>
      <c r="AO756" s="69"/>
      <c r="AP756" s="69"/>
    </row>
    <row r="757"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c r="AN757" s="69"/>
      <c r="AO757" s="69"/>
      <c r="AP757" s="69"/>
    </row>
    <row r="758"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c r="AP758" s="69"/>
    </row>
    <row r="759"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c r="AN759" s="69"/>
      <c r="AO759" s="69"/>
      <c r="AP759" s="69"/>
    </row>
    <row r="760"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c r="AP760" s="69"/>
    </row>
    <row r="761"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c r="AN761" s="69"/>
      <c r="AO761" s="69"/>
      <c r="AP761" s="69"/>
    </row>
    <row r="762"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row>
    <row r="763"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c r="AN763" s="69"/>
      <c r="AO763" s="69"/>
      <c r="AP763" s="69"/>
    </row>
    <row r="764"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c r="AN764" s="69"/>
      <c r="AO764" s="69"/>
      <c r="AP764" s="69"/>
    </row>
    <row r="765"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c r="AP765" s="69"/>
    </row>
    <row r="76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c r="AP766" s="69"/>
    </row>
    <row r="767"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c r="AP767" s="69"/>
    </row>
    <row r="768"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c r="AP768" s="69"/>
    </row>
    <row r="769"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c r="AP769" s="69"/>
    </row>
    <row r="770"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c r="AP770" s="69"/>
    </row>
    <row r="771"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c r="AP771" s="69"/>
    </row>
    <row r="772"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c r="AP772" s="69"/>
    </row>
    <row r="773"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c r="AP773" s="69"/>
    </row>
    <row r="774"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c r="AP774" s="69"/>
    </row>
    <row r="775"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c r="AN775" s="69"/>
      <c r="AO775" s="69"/>
      <c r="AP775" s="69"/>
    </row>
    <row r="77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c r="AP776" s="69"/>
    </row>
    <row r="777"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c r="AN777" s="69"/>
      <c r="AO777" s="69"/>
      <c r="AP777" s="69"/>
    </row>
    <row r="778"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c r="AN778" s="69"/>
      <c r="AO778" s="69"/>
      <c r="AP778" s="69"/>
    </row>
    <row r="779"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c r="AN779" s="69"/>
      <c r="AO779" s="69"/>
      <c r="AP779" s="69"/>
    </row>
    <row r="780"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c r="AN780" s="69"/>
      <c r="AO780" s="69"/>
      <c r="AP780" s="69"/>
    </row>
    <row r="781"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c r="AN781" s="69"/>
      <c r="AO781" s="69"/>
      <c r="AP781" s="69"/>
    </row>
    <row r="782"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c r="AP782" s="69"/>
    </row>
    <row r="783"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c r="AN783" s="69"/>
      <c r="AO783" s="69"/>
      <c r="AP783" s="69"/>
    </row>
    <row r="784"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c r="AP784" s="69"/>
    </row>
    <row r="785"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c r="AN785" s="69"/>
      <c r="AO785" s="69"/>
      <c r="AP785" s="69"/>
    </row>
    <row r="78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c r="AN786" s="69"/>
      <c r="AO786" s="69"/>
      <c r="AP786" s="69"/>
    </row>
    <row r="787"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c r="AN787" s="69"/>
      <c r="AO787" s="69"/>
      <c r="AP787" s="69"/>
    </row>
    <row r="788"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c r="AN788" s="69"/>
      <c r="AO788" s="69"/>
      <c r="AP788" s="69"/>
    </row>
    <row r="789"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c r="AN789" s="69"/>
      <c r="AO789" s="69"/>
      <c r="AP789" s="69"/>
    </row>
    <row r="790"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c r="AP790" s="69"/>
    </row>
    <row r="791"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c r="AN791" s="69"/>
      <c r="AO791" s="69"/>
      <c r="AP791" s="69"/>
    </row>
    <row r="792"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c r="AP792" s="69"/>
    </row>
    <row r="793"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c r="AN793" s="69"/>
      <c r="AO793" s="69"/>
      <c r="AP793" s="69"/>
    </row>
    <row r="794"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c r="AN794" s="69"/>
      <c r="AO794" s="69"/>
      <c r="AP794" s="69"/>
    </row>
    <row r="795"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row>
    <row r="79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c r="AN796" s="69"/>
      <c r="AO796" s="69"/>
      <c r="AP796" s="69"/>
    </row>
    <row r="797"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c r="AN797" s="69"/>
      <c r="AO797" s="69"/>
      <c r="AP797" s="69"/>
    </row>
    <row r="798"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c r="AP798" s="69"/>
    </row>
    <row r="799"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c r="AN799" s="69"/>
      <c r="AO799" s="69"/>
      <c r="AP799" s="69"/>
    </row>
    <row r="800"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c r="AP800" s="69"/>
    </row>
    <row r="801"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c r="AN801" s="69"/>
      <c r="AO801" s="69"/>
      <c r="AP801" s="69"/>
    </row>
    <row r="802"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row>
    <row r="803"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c r="AN803" s="69"/>
      <c r="AO803" s="69"/>
      <c r="AP803" s="69"/>
    </row>
    <row r="804"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c r="AN804" s="69"/>
      <c r="AO804" s="69"/>
      <c r="AP804" s="69"/>
    </row>
    <row r="805"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c r="AN805" s="69"/>
      <c r="AO805" s="69"/>
      <c r="AP805" s="69"/>
    </row>
    <row r="80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c r="AP806" s="69"/>
    </row>
    <row r="807"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c r="AN807" s="69"/>
      <c r="AO807" s="69"/>
      <c r="AP807" s="69"/>
    </row>
    <row r="808"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c r="AP808" s="69"/>
    </row>
    <row r="809"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row>
    <row r="810"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row>
    <row r="811"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c r="AN811" s="69"/>
      <c r="AO811" s="69"/>
      <c r="AP811" s="69"/>
    </row>
    <row r="812"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c r="AP812" s="69"/>
    </row>
    <row r="813"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c r="AN813" s="69"/>
      <c r="AO813" s="69"/>
      <c r="AP813" s="69"/>
    </row>
    <row r="814"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c r="AP814" s="69"/>
    </row>
    <row r="815"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c r="AN815" s="69"/>
      <c r="AO815" s="69"/>
      <c r="AP815" s="69"/>
    </row>
    <row r="81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c r="AP816" s="69"/>
    </row>
    <row r="817"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c r="AN817" s="69"/>
      <c r="AO817" s="69"/>
      <c r="AP817" s="69"/>
    </row>
    <row r="818"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c r="AN818" s="69"/>
      <c r="AO818" s="69"/>
      <c r="AP818" s="69"/>
    </row>
    <row r="819"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c r="AN819" s="69"/>
      <c r="AO819" s="69"/>
      <c r="AP819" s="69"/>
    </row>
    <row r="820"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c r="AN820" s="69"/>
      <c r="AO820" s="69"/>
      <c r="AP820" s="69"/>
    </row>
    <row r="821"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c r="AN821" s="69"/>
      <c r="AO821" s="69"/>
      <c r="AP821" s="69"/>
    </row>
    <row r="822"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c r="AP822" s="69"/>
    </row>
    <row r="823"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c r="AN823" s="69"/>
      <c r="AO823" s="69"/>
      <c r="AP823" s="69"/>
    </row>
    <row r="824"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c r="AP824" s="69"/>
    </row>
    <row r="825"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c r="AN825" s="69"/>
      <c r="AO825" s="69"/>
      <c r="AP825" s="69"/>
    </row>
    <row r="8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c r="AN826" s="69"/>
      <c r="AO826" s="69"/>
      <c r="AP826" s="69"/>
    </row>
    <row r="827"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c r="AN827" s="69"/>
      <c r="AO827" s="69"/>
      <c r="AP827" s="69"/>
    </row>
    <row r="828"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c r="AN828" s="69"/>
      <c r="AO828" s="69"/>
      <c r="AP828" s="69"/>
    </row>
    <row r="829"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c r="AN829" s="69"/>
      <c r="AO829" s="69"/>
      <c r="AP829" s="69"/>
    </row>
    <row r="830"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c r="AP830" s="69"/>
    </row>
    <row r="831"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c r="AN831" s="69"/>
      <c r="AO831" s="69"/>
      <c r="AP831" s="69"/>
    </row>
    <row r="832"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c r="AP832" s="69"/>
    </row>
    <row r="833"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c r="AN833" s="69"/>
      <c r="AO833" s="69"/>
      <c r="AP833" s="69"/>
    </row>
    <row r="834"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c r="AP834" s="69"/>
    </row>
    <row r="835"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c r="AN835" s="69"/>
      <c r="AO835" s="69"/>
      <c r="AP835" s="69"/>
    </row>
    <row r="83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c r="AN836" s="69"/>
      <c r="AO836" s="69"/>
      <c r="AP836" s="69"/>
    </row>
    <row r="837"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c r="AN837" s="69"/>
      <c r="AO837" s="69"/>
      <c r="AP837" s="69"/>
    </row>
    <row r="838"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c r="AP838" s="69"/>
    </row>
    <row r="839"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c r="AN839" s="69"/>
      <c r="AO839" s="69"/>
      <c r="AP839" s="69"/>
    </row>
    <row r="840"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c r="AP840" s="69"/>
    </row>
    <row r="841"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c r="AN841" s="69"/>
      <c r="AO841" s="69"/>
      <c r="AP841" s="69"/>
    </row>
    <row r="842"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c r="AN842" s="69"/>
      <c r="AO842" s="69"/>
      <c r="AP842" s="69"/>
    </row>
    <row r="843"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c r="AN843" s="69"/>
      <c r="AO843" s="69"/>
      <c r="AP843" s="69"/>
    </row>
    <row r="844"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c r="AN844" s="69"/>
      <c r="AO844" s="69"/>
      <c r="AP844" s="69"/>
    </row>
    <row r="845"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c r="AN845" s="69"/>
      <c r="AO845" s="69"/>
      <c r="AP845" s="69"/>
    </row>
    <row r="84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c r="AP846" s="69"/>
    </row>
    <row r="847"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c r="AN847" s="69"/>
      <c r="AO847" s="69"/>
      <c r="AP847" s="69"/>
    </row>
    <row r="848"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c r="AP848" s="69"/>
    </row>
    <row r="849"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c r="AN849" s="69"/>
      <c r="AO849" s="69"/>
      <c r="AP849" s="69"/>
    </row>
    <row r="850"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c r="AN850" s="69"/>
      <c r="AO850" s="69"/>
      <c r="AP850" s="69"/>
    </row>
    <row r="851"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c r="AN851" s="69"/>
      <c r="AO851" s="69"/>
      <c r="AP851" s="69"/>
    </row>
    <row r="852"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c r="AN852" s="69"/>
      <c r="AO852" s="69"/>
      <c r="AP852" s="69"/>
    </row>
    <row r="853"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c r="AN853" s="69"/>
      <c r="AO853" s="69"/>
      <c r="AP853" s="69"/>
    </row>
    <row r="854"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c r="AP854" s="69"/>
    </row>
    <row r="855"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c r="AN855" s="69"/>
      <c r="AO855" s="69"/>
      <c r="AP855" s="69"/>
    </row>
    <row r="85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c r="AP856" s="69"/>
    </row>
    <row r="857"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c r="AN857" s="69"/>
      <c r="AO857" s="69"/>
      <c r="AP857" s="69"/>
    </row>
    <row r="858"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c r="AN858" s="69"/>
      <c r="AO858" s="69"/>
      <c r="AP858" s="69"/>
    </row>
    <row r="859"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c r="AN859" s="69"/>
      <c r="AO859" s="69"/>
      <c r="AP859" s="69"/>
    </row>
    <row r="860"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c r="AN860" s="69"/>
      <c r="AO860" s="69"/>
      <c r="AP860" s="69"/>
    </row>
    <row r="861"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c r="AN861" s="69"/>
      <c r="AO861" s="69"/>
      <c r="AP861" s="69"/>
    </row>
    <row r="862"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c r="AP862" s="69"/>
    </row>
    <row r="863"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c r="AN863" s="69"/>
      <c r="AO863" s="69"/>
      <c r="AP863" s="69"/>
    </row>
    <row r="864"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c r="AP864" s="69"/>
    </row>
    <row r="865"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c r="AN865" s="69"/>
      <c r="AO865" s="69"/>
      <c r="AP865" s="69"/>
    </row>
    <row r="86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c r="AN866" s="69"/>
      <c r="AO866" s="69"/>
      <c r="AP866" s="69"/>
    </row>
    <row r="867"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c r="AN867" s="69"/>
      <c r="AO867" s="69"/>
      <c r="AP867" s="69"/>
    </row>
    <row r="868"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c r="AN868" s="69"/>
      <c r="AO868" s="69"/>
      <c r="AP868" s="69"/>
    </row>
    <row r="869"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c r="AN869" s="69"/>
      <c r="AO869" s="69"/>
      <c r="AP869" s="69"/>
    </row>
    <row r="870"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c r="AP870" s="69"/>
    </row>
    <row r="871"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c r="AN871" s="69"/>
      <c r="AO871" s="69"/>
      <c r="AP871" s="69"/>
    </row>
    <row r="872"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c r="AP872" s="69"/>
    </row>
    <row r="873"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c r="AN873" s="69"/>
      <c r="AO873" s="69"/>
      <c r="AP873" s="69"/>
    </row>
    <row r="874"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c r="AN874" s="69"/>
      <c r="AO874" s="69"/>
      <c r="AP874" s="69"/>
    </row>
    <row r="875"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c r="AN875" s="69"/>
      <c r="AO875" s="69"/>
      <c r="AP875" s="69"/>
    </row>
    <row r="87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c r="AN876" s="69"/>
      <c r="AO876" s="69"/>
      <c r="AP876" s="69"/>
    </row>
    <row r="877"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c r="AN877" s="69"/>
      <c r="AO877" s="69"/>
      <c r="AP877" s="69"/>
    </row>
    <row r="878"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c r="AP878" s="69"/>
    </row>
    <row r="879"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c r="AN879" s="69"/>
      <c r="AO879" s="69"/>
      <c r="AP879" s="69"/>
    </row>
    <row r="880"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c r="AP880" s="69"/>
    </row>
    <row r="881"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c r="AN881" s="69"/>
      <c r="AO881" s="69"/>
      <c r="AP881" s="69"/>
    </row>
    <row r="882"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c r="AN882" s="69"/>
      <c r="AO882" s="69"/>
      <c r="AP882" s="69"/>
    </row>
    <row r="883"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c r="AN883" s="69"/>
      <c r="AO883" s="69"/>
      <c r="AP883" s="69"/>
    </row>
    <row r="884"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c r="AN884" s="69"/>
      <c r="AO884" s="69"/>
      <c r="AP884" s="69"/>
    </row>
    <row r="885"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c r="AN885" s="69"/>
      <c r="AO885" s="69"/>
      <c r="AP885" s="69"/>
    </row>
    <row r="88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c r="AP886" s="69"/>
    </row>
    <row r="887"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c r="AN887" s="69"/>
      <c r="AO887" s="69"/>
      <c r="AP887" s="69"/>
    </row>
    <row r="888"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c r="AP888" s="69"/>
    </row>
    <row r="889"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c r="AN889" s="69"/>
      <c r="AO889" s="69"/>
      <c r="AP889" s="69"/>
    </row>
    <row r="890"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c r="AN890" s="69"/>
      <c r="AO890" s="69"/>
      <c r="AP890" s="69"/>
    </row>
    <row r="891"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c r="AN891" s="69"/>
      <c r="AO891" s="69"/>
      <c r="AP891" s="69"/>
    </row>
    <row r="892"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c r="AN892" s="69"/>
      <c r="AO892" s="69"/>
      <c r="AP892" s="69"/>
    </row>
    <row r="893"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c r="AN893" s="69"/>
      <c r="AO893" s="69"/>
      <c r="AP893" s="69"/>
    </row>
    <row r="894"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c r="AP894" s="69"/>
    </row>
    <row r="895"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c r="AN895" s="69"/>
      <c r="AO895" s="69"/>
      <c r="AP895" s="69"/>
    </row>
    <row r="89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c r="AP896" s="69"/>
    </row>
    <row r="897"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c r="AN897" s="69"/>
      <c r="AO897" s="69"/>
      <c r="AP897" s="69"/>
    </row>
    <row r="898"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c r="AN898" s="69"/>
      <c r="AO898" s="69"/>
      <c r="AP898" s="69"/>
    </row>
    <row r="899"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c r="AN899" s="69"/>
      <c r="AO899" s="69"/>
      <c r="AP899" s="69"/>
    </row>
    <row r="900"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c r="AN900" s="69"/>
      <c r="AO900" s="69"/>
      <c r="AP900" s="69"/>
    </row>
    <row r="901"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c r="AN901" s="69"/>
      <c r="AO901" s="69"/>
      <c r="AP901" s="69"/>
    </row>
    <row r="902"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c r="AP902" s="69"/>
    </row>
    <row r="903"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c r="AN903" s="69"/>
      <c r="AO903" s="69"/>
      <c r="AP903" s="69"/>
    </row>
    <row r="904"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c r="AP904" s="69"/>
    </row>
    <row r="905"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c r="AN905" s="69"/>
      <c r="AO905" s="69"/>
      <c r="AP905" s="69"/>
    </row>
    <row r="90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c r="AN906" s="69"/>
      <c r="AO906" s="69"/>
      <c r="AP906" s="69"/>
    </row>
    <row r="907"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c r="AN907" s="69"/>
      <c r="AO907" s="69"/>
      <c r="AP907" s="69"/>
    </row>
    <row r="908"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c r="AN908" s="69"/>
      <c r="AO908" s="69"/>
      <c r="AP908" s="69"/>
    </row>
    <row r="909"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c r="AN909" s="69"/>
      <c r="AO909" s="69"/>
      <c r="AP909" s="69"/>
    </row>
    <row r="910"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c r="AP910" s="69"/>
    </row>
    <row r="911"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c r="AN911" s="69"/>
      <c r="AO911" s="69"/>
      <c r="AP911" s="69"/>
    </row>
    <row r="912"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c r="AP912" s="69"/>
    </row>
    <row r="913"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c r="AN913" s="69"/>
      <c r="AO913" s="69"/>
      <c r="AP913" s="69"/>
    </row>
    <row r="914"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c r="AN914" s="69"/>
      <c r="AO914" s="69"/>
      <c r="AP914" s="69"/>
    </row>
    <row r="915"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c r="AN915" s="69"/>
      <c r="AO915" s="69"/>
      <c r="AP915" s="69"/>
    </row>
    <row r="91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c r="AN916" s="69"/>
      <c r="AO916" s="69"/>
      <c r="AP916" s="69"/>
    </row>
    <row r="917"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c r="AN917" s="69"/>
      <c r="AO917" s="69"/>
      <c r="AP917" s="69"/>
    </row>
    <row r="918"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c r="AP918" s="69"/>
    </row>
    <row r="919"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c r="AN919" s="69"/>
      <c r="AO919" s="69"/>
      <c r="AP919" s="69"/>
    </row>
    <row r="920"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c r="AP920" s="69"/>
    </row>
    <row r="921"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c r="AN921" s="69"/>
      <c r="AO921" s="69"/>
      <c r="AP921" s="69"/>
    </row>
    <row r="922"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c r="AN922" s="69"/>
      <c r="AO922" s="69"/>
      <c r="AP922" s="69"/>
    </row>
    <row r="923"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c r="AN923" s="69"/>
      <c r="AO923" s="69"/>
      <c r="AP923" s="69"/>
    </row>
    <row r="924"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c r="AP924" s="69"/>
    </row>
    <row r="925"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c r="AN925" s="69"/>
      <c r="AO925" s="69"/>
      <c r="AP925" s="69"/>
    </row>
    <row r="9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c r="AP926" s="69"/>
    </row>
    <row r="927"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c r="AN927" s="69"/>
      <c r="AO927" s="69"/>
      <c r="AP927" s="69"/>
    </row>
    <row r="928"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c r="AN928" s="69"/>
      <c r="AO928" s="69"/>
      <c r="AP928" s="69"/>
    </row>
    <row r="929"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c r="AN929" s="69"/>
      <c r="AO929" s="69"/>
      <c r="AP929" s="69"/>
    </row>
    <row r="930"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c r="AN930" s="69"/>
      <c r="AO930" s="69"/>
      <c r="AP930" s="69"/>
    </row>
    <row r="931"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c r="AN931" s="69"/>
      <c r="AO931" s="69"/>
      <c r="AP931" s="69"/>
    </row>
    <row r="932"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c r="AP932" s="69"/>
    </row>
    <row r="933"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c r="AN933" s="69"/>
      <c r="AO933" s="69"/>
      <c r="AP933" s="69"/>
    </row>
    <row r="934"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c r="AP934" s="69"/>
    </row>
    <row r="935"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c r="AN935" s="69"/>
      <c r="AO935" s="69"/>
      <c r="AP935" s="69"/>
    </row>
    <row r="93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c r="AN936" s="69"/>
      <c r="AO936" s="69"/>
      <c r="AP936" s="69"/>
    </row>
    <row r="937"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c r="AN937" s="69"/>
      <c r="AO937" s="69"/>
      <c r="AP937" s="69"/>
    </row>
    <row r="938"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c r="AN938" s="69"/>
      <c r="AO938" s="69"/>
      <c r="AP938" s="69"/>
    </row>
    <row r="939"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c r="AN939" s="69"/>
      <c r="AO939" s="69"/>
      <c r="AP939" s="69"/>
    </row>
    <row r="940"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c r="AP940" s="69"/>
    </row>
    <row r="941"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c r="AN941" s="69"/>
      <c r="AO941" s="69"/>
      <c r="AP941" s="69"/>
    </row>
    <row r="942"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c r="AP942" s="69"/>
    </row>
    <row r="943"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c r="AN943" s="69"/>
      <c r="AO943" s="69"/>
      <c r="AP943" s="69"/>
    </row>
    <row r="944"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c r="AN944" s="69"/>
      <c r="AO944" s="69"/>
      <c r="AP944" s="69"/>
    </row>
    <row r="945"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c r="AN945" s="69"/>
      <c r="AO945" s="69"/>
      <c r="AP945" s="69"/>
    </row>
    <row r="94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c r="AN946" s="69"/>
      <c r="AO946" s="69"/>
      <c r="AP946" s="69"/>
    </row>
    <row r="947"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c r="AN947" s="69"/>
      <c r="AO947" s="69"/>
      <c r="AP947" s="69"/>
    </row>
    <row r="948"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c r="AP948" s="69"/>
    </row>
    <row r="949"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c r="AN949" s="69"/>
      <c r="AO949" s="69"/>
      <c r="AP949" s="69"/>
    </row>
    <row r="950"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c r="AP950" s="69"/>
    </row>
    <row r="951"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c r="AN951" s="69"/>
      <c r="AO951" s="69"/>
      <c r="AP951" s="69"/>
    </row>
    <row r="952"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c r="AN952" s="69"/>
      <c r="AO952" s="69"/>
      <c r="AP952" s="69"/>
    </row>
    <row r="953"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c r="AN953" s="69"/>
      <c r="AO953" s="69"/>
      <c r="AP953" s="69"/>
    </row>
    <row r="954"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c r="AN954" s="69"/>
      <c r="AO954" s="69"/>
      <c r="AP954" s="69"/>
    </row>
    <row r="955"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c r="AN955" s="69"/>
      <c r="AO955" s="69"/>
      <c r="AP955" s="69"/>
    </row>
    <row r="95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c r="AP956" s="69"/>
    </row>
    <row r="957"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c r="AN957" s="69"/>
      <c r="AO957" s="69"/>
      <c r="AP957" s="69"/>
    </row>
    <row r="958"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c r="AP958" s="69"/>
    </row>
    <row r="959"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c r="AN959" s="69"/>
      <c r="AO959" s="69"/>
      <c r="AP959" s="69"/>
    </row>
    <row r="960"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c r="AN960" s="69"/>
      <c r="AO960" s="69"/>
      <c r="AP960" s="69"/>
    </row>
    <row r="961"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c r="AN961" s="69"/>
      <c r="AO961" s="69"/>
      <c r="AP961" s="69"/>
    </row>
    <row r="962"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c r="AN962" s="69"/>
      <c r="AO962" s="69"/>
      <c r="AP962" s="69"/>
    </row>
    <row r="963"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c r="AN963" s="69"/>
      <c r="AO963" s="69"/>
      <c r="AP963" s="69"/>
    </row>
    <row r="964"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c r="AP964" s="69"/>
    </row>
    <row r="965"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c r="AN965" s="69"/>
      <c r="AO965" s="69"/>
      <c r="AP965" s="69"/>
    </row>
    <row r="96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c r="AP966" s="69"/>
    </row>
    <row r="967"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c r="AN967" s="69"/>
      <c r="AO967" s="69"/>
      <c r="AP967" s="69"/>
    </row>
    <row r="968"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c r="AP968" s="69"/>
    </row>
    <row r="969"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c r="AN969" s="69"/>
      <c r="AO969" s="69"/>
      <c r="AP969" s="69"/>
    </row>
    <row r="970"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c r="AN970" s="69"/>
      <c r="AO970" s="69"/>
      <c r="AP970" s="69"/>
    </row>
    <row r="971"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c r="AN971" s="69"/>
      <c r="AO971" s="69"/>
      <c r="AP971" s="69"/>
    </row>
    <row r="972"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c r="AP972" s="69"/>
    </row>
    <row r="973"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c r="AN973" s="69"/>
      <c r="AO973" s="69"/>
      <c r="AP973" s="69"/>
    </row>
    <row r="974"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c r="AP974" s="69"/>
    </row>
    <row r="975"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c r="AN975" s="69"/>
      <c r="AO975" s="69"/>
      <c r="AP975" s="69"/>
    </row>
    <row r="97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c r="AN976" s="69"/>
      <c r="AO976" s="69"/>
      <c r="AP976" s="69"/>
    </row>
    <row r="977"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c r="AN977" s="69"/>
      <c r="AO977" s="69"/>
      <c r="AP977" s="69"/>
    </row>
    <row r="978"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c r="AN978" s="69"/>
      <c r="AO978" s="69"/>
      <c r="AP978" s="69"/>
    </row>
    <row r="979"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c r="AN979" s="69"/>
      <c r="AO979" s="69"/>
      <c r="AP979" s="69"/>
    </row>
    <row r="980"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c r="AP980" s="69"/>
    </row>
    <row r="981"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c r="AN981" s="69"/>
      <c r="AO981" s="69"/>
      <c r="AP981" s="69"/>
    </row>
    <row r="982"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c r="AP982" s="69"/>
    </row>
    <row r="983"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c r="AN983" s="69"/>
      <c r="AO983" s="69"/>
      <c r="AP983" s="69"/>
    </row>
    <row r="984"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c r="AN984" s="69"/>
      <c r="AO984" s="69"/>
      <c r="AP984" s="69"/>
    </row>
    <row r="985"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c r="AN985" s="69"/>
      <c r="AO985" s="69"/>
      <c r="AP985" s="69"/>
    </row>
    <row r="98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c r="AN986" s="69"/>
      <c r="AO986" s="69"/>
      <c r="AP986" s="69"/>
    </row>
    <row r="987"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c r="AN987" s="69"/>
      <c r="AO987" s="69"/>
      <c r="AP987" s="69"/>
    </row>
    <row r="988"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c r="AP988" s="69"/>
    </row>
    <row r="989"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c r="AN989" s="69"/>
      <c r="AO989" s="69"/>
      <c r="AP989" s="69"/>
    </row>
    <row r="990"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c r="AP990" s="69"/>
    </row>
    <row r="991"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c r="AF991" s="69"/>
      <c r="AG991" s="69"/>
      <c r="AH991" s="69"/>
      <c r="AI991" s="69"/>
      <c r="AJ991" s="69"/>
      <c r="AK991" s="69"/>
      <c r="AL991" s="69"/>
      <c r="AM991" s="69"/>
      <c r="AN991" s="69"/>
      <c r="AO991" s="69"/>
      <c r="AP991" s="69"/>
    </row>
    <row r="992"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c r="AF992" s="69"/>
      <c r="AG992" s="69"/>
      <c r="AH992" s="69"/>
      <c r="AI992" s="69"/>
      <c r="AJ992" s="69"/>
      <c r="AK992" s="69"/>
      <c r="AL992" s="69"/>
      <c r="AM992" s="69"/>
      <c r="AN992" s="69"/>
      <c r="AO992" s="69"/>
      <c r="AP992" s="69"/>
    </row>
    <row r="993"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c r="AF993" s="69"/>
      <c r="AG993" s="69"/>
      <c r="AH993" s="69"/>
      <c r="AI993" s="69"/>
      <c r="AJ993" s="69"/>
      <c r="AK993" s="69"/>
      <c r="AL993" s="69"/>
      <c r="AM993" s="69"/>
      <c r="AN993" s="69"/>
      <c r="AO993" s="69"/>
      <c r="AP993" s="69"/>
    </row>
    <row r="994"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c r="AF994" s="69"/>
      <c r="AG994" s="69"/>
      <c r="AH994" s="69"/>
      <c r="AI994" s="69"/>
      <c r="AJ994" s="69"/>
      <c r="AK994" s="69"/>
      <c r="AL994" s="69"/>
      <c r="AM994" s="69"/>
      <c r="AN994" s="69"/>
      <c r="AO994" s="69"/>
      <c r="AP994" s="69"/>
    </row>
    <row r="995"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c r="AF995" s="69"/>
      <c r="AG995" s="69"/>
      <c r="AH995" s="69"/>
      <c r="AI995" s="69"/>
      <c r="AJ995" s="69"/>
      <c r="AK995" s="69"/>
      <c r="AL995" s="69"/>
      <c r="AM995" s="69"/>
      <c r="AN995" s="69"/>
      <c r="AO995" s="69"/>
      <c r="AP995" s="69"/>
    </row>
    <row r="99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c r="AP996" s="69"/>
    </row>
    <row r="997"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c r="AD997" s="69"/>
      <c r="AE997" s="69"/>
      <c r="AF997" s="69"/>
      <c r="AG997" s="69"/>
      <c r="AH997" s="69"/>
      <c r="AI997" s="69"/>
      <c r="AJ997" s="69"/>
      <c r="AK997" s="69"/>
      <c r="AL997" s="69"/>
      <c r="AM997" s="69"/>
      <c r="AN997" s="69"/>
      <c r="AO997" s="69"/>
      <c r="AP997" s="69"/>
    </row>
    <row r="998"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c r="AP998" s="69"/>
    </row>
    <row r="999"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c r="AC999" s="69"/>
      <c r="AD999" s="69"/>
      <c r="AE999" s="69"/>
      <c r="AF999" s="69"/>
      <c r="AG999" s="69"/>
      <c r="AH999" s="69"/>
      <c r="AI999" s="69"/>
      <c r="AJ999" s="69"/>
      <c r="AK999" s="69"/>
      <c r="AL999" s="69"/>
      <c r="AM999" s="69"/>
      <c r="AN999" s="69"/>
      <c r="AO999" s="69"/>
      <c r="AP999" s="69"/>
    </row>
    <row r="1000"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c r="AL1000" s="69"/>
      <c r="AM1000" s="69"/>
      <c r="AN1000" s="69"/>
      <c r="AO1000" s="69"/>
      <c r="AP1000" s="69"/>
    </row>
    <row r="1001" ht="15.75" customHeight="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c r="AA1001" s="69"/>
      <c r="AB1001" s="69"/>
      <c r="AC1001" s="69"/>
      <c r="AD1001" s="69"/>
      <c r="AE1001" s="69"/>
      <c r="AF1001" s="69"/>
      <c r="AG1001" s="69"/>
      <c r="AH1001" s="69"/>
      <c r="AI1001" s="69"/>
      <c r="AJ1001" s="69"/>
      <c r="AK1001" s="69"/>
      <c r="AL1001" s="69"/>
      <c r="AM1001" s="69"/>
      <c r="AN1001" s="69"/>
      <c r="AO1001" s="69"/>
      <c r="AP1001" s="69"/>
    </row>
    <row r="1002" ht="15.75" customHeight="1">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c r="AA1002" s="69"/>
      <c r="AB1002" s="69"/>
      <c r="AC1002" s="69"/>
      <c r="AD1002" s="69"/>
      <c r="AE1002" s="69"/>
      <c r="AF1002" s="69"/>
      <c r="AG1002" s="69"/>
      <c r="AH1002" s="69"/>
      <c r="AI1002" s="69"/>
      <c r="AJ1002" s="69"/>
      <c r="AK1002" s="69"/>
      <c r="AL1002" s="69"/>
      <c r="AM1002" s="69"/>
      <c r="AN1002" s="69"/>
      <c r="AO1002" s="69"/>
      <c r="AP1002" s="69"/>
    </row>
    <row r="1003" ht="15.75" customHeight="1">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c r="AA1003" s="69"/>
      <c r="AB1003" s="69"/>
      <c r="AC1003" s="69"/>
      <c r="AD1003" s="69"/>
      <c r="AE1003" s="69"/>
      <c r="AF1003" s="69"/>
      <c r="AG1003" s="69"/>
      <c r="AH1003" s="69"/>
      <c r="AI1003" s="69"/>
      <c r="AJ1003" s="69"/>
      <c r="AK1003" s="69"/>
      <c r="AL1003" s="69"/>
      <c r="AM1003" s="69"/>
      <c r="AN1003" s="69"/>
      <c r="AO1003" s="69"/>
      <c r="AP1003" s="69"/>
    </row>
    <row r="1004" ht="15.75" customHeight="1">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c r="X1004" s="69"/>
      <c r="Y1004" s="69"/>
      <c r="Z1004" s="69"/>
      <c r="AA1004" s="69"/>
      <c r="AB1004" s="69"/>
      <c r="AC1004" s="69"/>
      <c r="AD1004" s="69"/>
      <c r="AE1004" s="69"/>
      <c r="AF1004" s="69"/>
      <c r="AG1004" s="69"/>
      <c r="AH1004" s="69"/>
      <c r="AI1004" s="69"/>
      <c r="AJ1004" s="69"/>
      <c r="AK1004" s="69"/>
      <c r="AL1004" s="69"/>
      <c r="AM1004" s="69"/>
      <c r="AN1004" s="69"/>
      <c r="AO1004" s="69"/>
      <c r="AP1004" s="69"/>
    </row>
    <row r="1005" ht="15.75" customHeight="1">
      <c r="A1005" s="69"/>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c r="X1005" s="69"/>
      <c r="Y1005" s="69"/>
      <c r="Z1005" s="69"/>
      <c r="AA1005" s="69"/>
      <c r="AB1005" s="69"/>
      <c r="AC1005" s="69"/>
      <c r="AD1005" s="69"/>
      <c r="AE1005" s="69"/>
      <c r="AF1005" s="69"/>
      <c r="AG1005" s="69"/>
      <c r="AH1005" s="69"/>
      <c r="AI1005" s="69"/>
      <c r="AJ1005" s="69"/>
      <c r="AK1005" s="69"/>
      <c r="AL1005" s="69"/>
      <c r="AM1005" s="69"/>
      <c r="AN1005" s="69"/>
      <c r="AO1005" s="69"/>
      <c r="AP1005" s="69"/>
    </row>
    <row r="1006" ht="15.75" customHeight="1">
      <c r="A1006" s="69"/>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c r="X1006" s="69"/>
      <c r="Y1006" s="69"/>
      <c r="Z1006" s="69"/>
      <c r="AA1006" s="69"/>
      <c r="AB1006" s="69"/>
      <c r="AC1006" s="69"/>
      <c r="AD1006" s="69"/>
      <c r="AE1006" s="69"/>
      <c r="AF1006" s="69"/>
      <c r="AG1006" s="69"/>
      <c r="AH1006" s="69"/>
      <c r="AI1006" s="69"/>
      <c r="AJ1006" s="69"/>
      <c r="AK1006" s="69"/>
      <c r="AL1006" s="69"/>
      <c r="AM1006" s="69"/>
      <c r="AN1006" s="69"/>
      <c r="AO1006" s="69"/>
      <c r="AP1006" s="69"/>
    </row>
    <row r="1007" ht="15.75" customHeight="1">
      <c r="A1007" s="69"/>
      <c r="B1007" s="69"/>
      <c r="C1007" s="69"/>
      <c r="D1007" s="69"/>
      <c r="E1007" s="69"/>
      <c r="F1007" s="69"/>
      <c r="G1007" s="69"/>
      <c r="H1007" s="69"/>
      <c r="I1007" s="69"/>
      <c r="J1007" s="69"/>
      <c r="K1007" s="69"/>
      <c r="L1007" s="69"/>
      <c r="M1007" s="69"/>
      <c r="N1007" s="69"/>
      <c r="O1007" s="69"/>
      <c r="P1007" s="69"/>
      <c r="Q1007" s="69"/>
      <c r="R1007" s="69"/>
      <c r="S1007" s="69"/>
      <c r="T1007" s="69"/>
      <c r="U1007" s="69"/>
      <c r="V1007" s="69"/>
      <c r="W1007" s="69"/>
      <c r="X1007" s="69"/>
      <c r="Y1007" s="69"/>
      <c r="Z1007" s="69"/>
      <c r="AA1007" s="69"/>
      <c r="AB1007" s="69"/>
      <c r="AC1007" s="69"/>
      <c r="AD1007" s="69"/>
      <c r="AE1007" s="69"/>
      <c r="AF1007" s="69"/>
      <c r="AG1007" s="69"/>
      <c r="AH1007" s="69"/>
      <c r="AI1007" s="69"/>
      <c r="AJ1007" s="69"/>
      <c r="AK1007" s="69"/>
      <c r="AL1007" s="69"/>
      <c r="AM1007" s="69"/>
      <c r="AN1007" s="69"/>
      <c r="AO1007" s="69"/>
      <c r="AP1007" s="69"/>
    </row>
    <row r="1008" ht="15.75" customHeight="1">
      <c r="A1008" s="69"/>
      <c r="B1008" s="69"/>
      <c r="C1008" s="69"/>
      <c r="D1008" s="69"/>
      <c r="E1008" s="69"/>
      <c r="F1008" s="69"/>
      <c r="G1008" s="69"/>
      <c r="H1008" s="69"/>
      <c r="I1008" s="69"/>
      <c r="J1008" s="69"/>
      <c r="K1008" s="69"/>
      <c r="L1008" s="69"/>
      <c r="M1008" s="69"/>
      <c r="N1008" s="69"/>
      <c r="O1008" s="69"/>
      <c r="P1008" s="69"/>
      <c r="Q1008" s="69"/>
      <c r="R1008" s="69"/>
      <c r="S1008" s="69"/>
      <c r="T1008" s="69"/>
      <c r="U1008" s="69"/>
      <c r="V1008" s="69"/>
      <c r="W1008" s="69"/>
      <c r="X1008" s="69"/>
      <c r="Y1008" s="69"/>
      <c r="Z1008" s="69"/>
      <c r="AA1008" s="69"/>
      <c r="AB1008" s="69"/>
      <c r="AC1008" s="69"/>
      <c r="AD1008" s="69"/>
      <c r="AE1008" s="69"/>
      <c r="AF1008" s="69"/>
      <c r="AG1008" s="69"/>
      <c r="AH1008" s="69"/>
      <c r="AI1008" s="69"/>
      <c r="AJ1008" s="69"/>
      <c r="AK1008" s="69"/>
      <c r="AL1008" s="69"/>
      <c r="AM1008" s="69"/>
      <c r="AN1008" s="69"/>
      <c r="AO1008" s="69"/>
      <c r="AP1008" s="69"/>
    </row>
    <row r="1009" ht="15.75" customHeight="1">
      <c r="A1009" s="69"/>
      <c r="B1009" s="69"/>
      <c r="C1009" s="69"/>
      <c r="D1009" s="69"/>
      <c r="E1009" s="69"/>
      <c r="F1009" s="69"/>
      <c r="G1009" s="69"/>
      <c r="H1009" s="69"/>
      <c r="I1009" s="69"/>
      <c r="J1009" s="69"/>
      <c r="K1009" s="69"/>
      <c r="L1009" s="69"/>
      <c r="M1009" s="69"/>
      <c r="N1009" s="69"/>
      <c r="O1009" s="69"/>
      <c r="P1009" s="69"/>
      <c r="Q1009" s="69"/>
      <c r="R1009" s="69"/>
      <c r="S1009" s="69"/>
      <c r="T1009" s="69"/>
      <c r="U1009" s="69"/>
      <c r="V1009" s="69"/>
      <c r="W1009" s="69"/>
      <c r="X1009" s="69"/>
      <c r="Y1009" s="69"/>
      <c r="Z1009" s="69"/>
      <c r="AA1009" s="69"/>
      <c r="AB1009" s="69"/>
      <c r="AC1009" s="69"/>
      <c r="AD1009" s="69"/>
      <c r="AE1009" s="69"/>
      <c r="AF1009" s="69"/>
      <c r="AG1009" s="69"/>
      <c r="AH1009" s="69"/>
      <c r="AI1009" s="69"/>
      <c r="AJ1009" s="69"/>
      <c r="AK1009" s="69"/>
      <c r="AL1009" s="69"/>
      <c r="AM1009" s="69"/>
      <c r="AN1009" s="69"/>
      <c r="AO1009" s="69"/>
      <c r="AP1009" s="69"/>
    </row>
    <row r="1010" ht="15.75" customHeight="1">
      <c r="A1010" s="69"/>
      <c r="B1010" s="69"/>
      <c r="C1010" s="69"/>
      <c r="D1010" s="69"/>
      <c r="E1010" s="69"/>
      <c r="F1010" s="69"/>
      <c r="G1010" s="69"/>
      <c r="H1010" s="69"/>
      <c r="I1010" s="69"/>
      <c r="J1010" s="69"/>
      <c r="K1010" s="69"/>
      <c r="L1010" s="69"/>
      <c r="M1010" s="69"/>
      <c r="N1010" s="69"/>
      <c r="O1010" s="69"/>
      <c r="P1010" s="69"/>
      <c r="Q1010" s="69"/>
      <c r="R1010" s="69"/>
      <c r="S1010" s="69"/>
      <c r="T1010" s="69"/>
      <c r="U1010" s="69"/>
      <c r="V1010" s="69"/>
      <c r="W1010" s="69"/>
      <c r="X1010" s="69"/>
      <c r="Y1010" s="69"/>
      <c r="Z1010" s="69"/>
      <c r="AA1010" s="69"/>
      <c r="AB1010" s="69"/>
      <c r="AC1010" s="69"/>
      <c r="AD1010" s="69"/>
      <c r="AE1010" s="69"/>
      <c r="AF1010" s="69"/>
      <c r="AG1010" s="69"/>
      <c r="AH1010" s="69"/>
      <c r="AI1010" s="69"/>
      <c r="AJ1010" s="69"/>
      <c r="AK1010" s="69"/>
      <c r="AL1010" s="69"/>
      <c r="AM1010" s="69"/>
      <c r="AN1010" s="69"/>
      <c r="AO1010" s="69"/>
      <c r="AP1010" s="69"/>
    </row>
    <row r="1011" ht="15.75" customHeight="1">
      <c r="A1011" s="69"/>
      <c r="B1011" s="69"/>
      <c r="C1011" s="69"/>
      <c r="D1011" s="69"/>
      <c r="E1011" s="69"/>
      <c r="F1011" s="69"/>
      <c r="G1011" s="69"/>
      <c r="H1011" s="69"/>
      <c r="I1011" s="69"/>
      <c r="J1011" s="69"/>
      <c r="K1011" s="69"/>
      <c r="L1011" s="69"/>
      <c r="M1011" s="69"/>
      <c r="N1011" s="69"/>
      <c r="O1011" s="69"/>
      <c r="P1011" s="69"/>
      <c r="Q1011" s="69"/>
      <c r="R1011" s="69"/>
      <c r="S1011" s="69"/>
      <c r="T1011" s="69"/>
      <c r="U1011" s="69"/>
      <c r="V1011" s="69"/>
      <c r="W1011" s="69"/>
      <c r="X1011" s="69"/>
      <c r="Y1011" s="69"/>
      <c r="Z1011" s="69"/>
      <c r="AA1011" s="69"/>
      <c r="AB1011" s="69"/>
      <c r="AC1011" s="69"/>
      <c r="AD1011" s="69"/>
      <c r="AE1011" s="69"/>
      <c r="AF1011" s="69"/>
      <c r="AG1011" s="69"/>
      <c r="AH1011" s="69"/>
      <c r="AI1011" s="69"/>
      <c r="AJ1011" s="69"/>
      <c r="AK1011" s="69"/>
      <c r="AL1011" s="69"/>
      <c r="AM1011" s="69"/>
      <c r="AN1011" s="69"/>
      <c r="AO1011" s="69"/>
      <c r="AP1011" s="69"/>
    </row>
    <row r="1012" ht="15.75" customHeight="1">
      <c r="A1012" s="69"/>
      <c r="B1012" s="69"/>
      <c r="C1012" s="69"/>
      <c r="D1012" s="69"/>
      <c r="E1012" s="69"/>
      <c r="F1012" s="69"/>
      <c r="G1012" s="69"/>
      <c r="H1012" s="69"/>
      <c r="I1012" s="69"/>
      <c r="J1012" s="69"/>
      <c r="K1012" s="69"/>
      <c r="L1012" s="69"/>
      <c r="M1012" s="69"/>
      <c r="N1012" s="69"/>
      <c r="O1012" s="69"/>
      <c r="P1012" s="69"/>
      <c r="Q1012" s="69"/>
      <c r="R1012" s="69"/>
      <c r="S1012" s="69"/>
      <c r="T1012" s="69"/>
      <c r="U1012" s="69"/>
      <c r="V1012" s="69"/>
      <c r="W1012" s="69"/>
      <c r="X1012" s="69"/>
      <c r="Y1012" s="69"/>
      <c r="Z1012" s="69"/>
      <c r="AA1012" s="69"/>
      <c r="AB1012" s="69"/>
      <c r="AC1012" s="69"/>
      <c r="AD1012" s="69"/>
      <c r="AE1012" s="69"/>
      <c r="AF1012" s="69"/>
      <c r="AG1012" s="69"/>
      <c r="AH1012" s="69"/>
      <c r="AI1012" s="69"/>
      <c r="AJ1012" s="69"/>
      <c r="AK1012" s="69"/>
      <c r="AL1012" s="69"/>
      <c r="AM1012" s="69"/>
      <c r="AN1012" s="69"/>
      <c r="AO1012" s="69"/>
      <c r="AP1012" s="69"/>
    </row>
    <row r="1013" ht="15.75" customHeight="1">
      <c r="A1013" s="69"/>
      <c r="B1013" s="69"/>
      <c r="C1013" s="69"/>
      <c r="D1013" s="69"/>
      <c r="E1013" s="69"/>
      <c r="F1013" s="69"/>
      <c r="G1013" s="69"/>
      <c r="H1013" s="69"/>
      <c r="I1013" s="69"/>
      <c r="J1013" s="69"/>
      <c r="K1013" s="69"/>
      <c r="L1013" s="69"/>
      <c r="M1013" s="69"/>
      <c r="N1013" s="69"/>
      <c r="O1013" s="69"/>
      <c r="P1013" s="69"/>
      <c r="Q1013" s="69"/>
      <c r="R1013" s="69"/>
      <c r="S1013" s="69"/>
      <c r="T1013" s="69"/>
      <c r="U1013" s="69"/>
      <c r="V1013" s="69"/>
      <c r="W1013" s="69"/>
      <c r="X1013" s="69"/>
      <c r="Y1013" s="69"/>
      <c r="Z1013" s="69"/>
      <c r="AA1013" s="69"/>
      <c r="AB1013" s="69"/>
      <c r="AC1013" s="69"/>
      <c r="AD1013" s="69"/>
      <c r="AE1013" s="69"/>
      <c r="AF1013" s="69"/>
      <c r="AG1013" s="69"/>
      <c r="AH1013" s="69"/>
      <c r="AI1013" s="69"/>
      <c r="AJ1013" s="69"/>
      <c r="AK1013" s="69"/>
      <c r="AL1013" s="69"/>
      <c r="AM1013" s="69"/>
      <c r="AN1013" s="69"/>
      <c r="AO1013" s="69"/>
      <c r="AP1013" s="69"/>
    </row>
    <row r="1014" ht="15.75" customHeight="1">
      <c r="A1014" s="69"/>
      <c r="B1014" s="69"/>
      <c r="C1014" s="69"/>
      <c r="D1014" s="69"/>
      <c r="E1014" s="69"/>
      <c r="F1014" s="69"/>
      <c r="G1014" s="69"/>
      <c r="H1014" s="69"/>
      <c r="I1014" s="69"/>
      <c r="J1014" s="69"/>
      <c r="K1014" s="69"/>
      <c r="L1014" s="69"/>
      <c r="M1014" s="69"/>
      <c r="N1014" s="69"/>
      <c r="O1014" s="69"/>
      <c r="P1014" s="69"/>
      <c r="Q1014" s="69"/>
      <c r="R1014" s="69"/>
      <c r="S1014" s="69"/>
      <c r="T1014" s="69"/>
      <c r="U1014" s="69"/>
      <c r="V1014" s="69"/>
      <c r="W1014" s="69"/>
      <c r="X1014" s="69"/>
      <c r="Y1014" s="69"/>
      <c r="Z1014" s="69"/>
      <c r="AA1014" s="69"/>
      <c r="AB1014" s="69"/>
      <c r="AC1014" s="69"/>
      <c r="AD1014" s="69"/>
      <c r="AE1014" s="69"/>
      <c r="AF1014" s="69"/>
      <c r="AG1014" s="69"/>
      <c r="AH1014" s="69"/>
      <c r="AI1014" s="69"/>
      <c r="AJ1014" s="69"/>
      <c r="AK1014" s="69"/>
      <c r="AL1014" s="69"/>
      <c r="AM1014" s="69"/>
      <c r="AN1014" s="69"/>
      <c r="AO1014" s="69"/>
      <c r="AP1014" s="69"/>
    </row>
  </sheetData>
  <mergeCells count="11">
    <mergeCell ref="A41:C41"/>
    <mergeCell ref="A42:H42"/>
    <mergeCell ref="A56:C56"/>
    <mergeCell ref="A57:H57"/>
    <mergeCell ref="A1:B2"/>
    <mergeCell ref="A3:B3"/>
    <mergeCell ref="A4:B4"/>
    <mergeCell ref="A13:C13"/>
    <mergeCell ref="A14:H14"/>
    <mergeCell ref="A27:C27"/>
    <mergeCell ref="A28:H28"/>
  </mergeCell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2020-02-13T16:40:55Z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