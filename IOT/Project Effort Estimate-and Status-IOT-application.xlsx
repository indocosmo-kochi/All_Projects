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Effort Estimate" sheetId="1" r:id="rId4"/>
    <sheet state="visible" name="ManPower" sheetId="2" r:id="rId5"/>
  </sheets>
  <definedNames/>
  <calcPr/>
  <extLst>
    <ext uri="GoogleSheetsCustomDataVersion1">
      <go:sheetsCustomData xmlns:go="http://customooxmlschemas.google.com/" r:id="rId6" roundtripDataSignature="AMtx7mh95T3AIZL8/taw4yXKQ2umSZuwDg=="/>
    </ext>
  </extLst>
</workbook>
</file>

<file path=xl/sharedStrings.xml><?xml version="1.0" encoding="utf-8"?>
<sst xmlns="http://schemas.openxmlformats.org/spreadsheetml/2006/main" count="87" uniqueCount="77">
  <si>
    <t xml:space="preserve">Project Time Estimation </t>
  </si>
  <si>
    <t>PROJECT TITLE</t>
  </si>
  <si>
    <t>INDYGOIOT</t>
  </si>
  <si>
    <t>COMPANY NAME</t>
  </si>
  <si>
    <t>INDOCOSMO</t>
  </si>
  <si>
    <t>PROJECT LEAD</t>
  </si>
  <si>
    <t>DATE</t>
  </si>
  <si>
    <t>PROJECT MEMBERS</t>
  </si>
  <si>
    <t>ARJUN R K, SHIMITHA, DEEPAK, NITHIN, ANJU</t>
  </si>
  <si>
    <t>CLIENT</t>
  </si>
  <si>
    <t>PHASE</t>
  </si>
  <si>
    <t>DETAILS</t>
  </si>
  <si>
    <t>Q1</t>
  </si>
  <si>
    <t>Q2</t>
  </si>
  <si>
    <t>Estimated Hrs</t>
  </si>
  <si>
    <t>Project Conception and Initiation</t>
  </si>
  <si>
    <t>: Knowledge transfer</t>
  </si>
  <si>
    <t>: Plan Review</t>
  </si>
  <si>
    <t xml:space="preserve">- Questionary </t>
  </si>
  <si>
    <t>Project Definition and Planning</t>
  </si>
  <si>
    <t>: Scope and Goal Setting</t>
  </si>
  <si>
    <t>: MEAN stack recap</t>
  </si>
  <si>
    <t>:  Work Breakdown Schedule</t>
  </si>
  <si>
    <t>:  Github set up</t>
  </si>
  <si>
    <t>: Communication Plan</t>
  </si>
  <si>
    <t>: Risk Management</t>
  </si>
  <si>
    <t>Project Launch &amp; Execution</t>
  </si>
  <si>
    <t>: Environment set up</t>
  </si>
  <si>
    <t>:AWS Configuration</t>
  </si>
  <si>
    <t>: Git versioning | Branching</t>
  </si>
  <si>
    <t>: DB Design</t>
  </si>
  <si>
    <t>- Variable naming strategy</t>
  </si>
  <si>
    <t xml:space="preserve">: Login &amp; Registration </t>
  </si>
  <si>
    <t>JointCompany</t>
  </si>
  <si>
    <t>Company</t>
  </si>
  <si>
    <t>Store</t>
  </si>
  <si>
    <t>Device</t>
  </si>
  <si>
    <t>DeviceCloud</t>
  </si>
  <si>
    <t>Language Support</t>
  </si>
  <si>
    <t>Project Performance &amp; Control</t>
  </si>
  <si>
    <t>: Checking variable naming</t>
  </si>
  <si>
    <t>: Code quality checking</t>
  </si>
  <si>
    <t>: Code reusability checking</t>
  </si>
  <si>
    <t>: Total rewap</t>
  </si>
  <si>
    <t>Other</t>
  </si>
  <si>
    <t>- Documentation-Project close</t>
  </si>
  <si>
    <t>- Weekly meetings</t>
  </si>
  <si>
    <t>Total</t>
  </si>
  <si>
    <t>Phases</t>
  </si>
  <si>
    <t>%ge</t>
  </si>
  <si>
    <t>Meeting</t>
  </si>
  <si>
    <t>Development</t>
  </si>
  <si>
    <t>Design(Template Design Modification)</t>
  </si>
  <si>
    <t>Testing Documentation</t>
  </si>
  <si>
    <t>Unit Testing</t>
  </si>
  <si>
    <t>Integration Testing</t>
  </si>
  <si>
    <t>User Acceptance Testing</t>
  </si>
  <si>
    <t>PM</t>
  </si>
  <si>
    <t>Buffer</t>
  </si>
  <si>
    <t>Total hours</t>
  </si>
  <si>
    <t>________</t>
  </si>
  <si>
    <t xml:space="preserve"> </t>
  </si>
  <si>
    <t>Human Power</t>
  </si>
  <si>
    <t>INDYGO</t>
  </si>
  <si>
    <t>No</t>
  </si>
  <si>
    <t>Members</t>
  </si>
  <si>
    <t xml:space="preserve">Effort </t>
  </si>
  <si>
    <t>Detials</t>
  </si>
  <si>
    <t>Arjun Rk</t>
  </si>
  <si>
    <t xml:space="preserve">Full time </t>
  </si>
  <si>
    <t>Shimitha</t>
  </si>
  <si>
    <t>Nithin</t>
  </si>
  <si>
    <t>40 % per day</t>
  </si>
  <si>
    <t>Anju</t>
  </si>
  <si>
    <t>Weekly 2 days</t>
  </si>
  <si>
    <t>Deepak</t>
  </si>
  <si>
    <t>50% per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</si>
</sst>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3">
    <font>
      <sz val="12.0"/>
      <color rgb="FF000000"/>
      <name val="Corbel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2.0"/>
      <color theme="1"/>
      <name val="Poppins"/>
    </font>
    <font>
      <sz val="11.0"/>
      <color rgb="FF000000"/>
      <name val="Poppins"/>
    </font>
    <font>
      <b/>
      <sz val="30.0"/>
      <color rgb="FF0B5394"/>
      <name val="Roboto"/>
    </font>
    <font/>
    <font>
      <sz val="12.0"/>
      <color rgb="FF000000"/>
      <name val="Roboto"/>
    </font>
    <font>
      <sz val="12.0"/>
      <color rgb="FF0B5394"/>
      <name val="Roboto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color theme="1"/>
      <name val="Hind"/>
    </font>
    <font>
      <b/>
      <sz val="10.0"/>
      <color rgb="FF000000"/>
      <name val="Roboto"/>
    </font>
    <font>
      <b/>
      <sz val="10.0"/>
      <color rgb="FF666666"/>
      <name val="Roboto"/>
    </font>
    <font>
      <sz val="10.0"/>
      <color rgb="FF999999"/>
      <name val="Roboto"/>
    </font>
    <font>
      <sz val="10.0"/>
      <color rgb="FF000000"/>
      <name val="Roboto"/>
    </font>
    <font>
      <sz val="11.0"/>
      <color rgb="FFFFFFFF"/>
      <name val="Poppins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000000"/>
      <name val="Roboto"/>
    </font>
    <font>
      <b/>
      <sz val="9.0"/>
      <color rgb="FF434343"/>
      <name val="Roboto"/>
    </font>
    <font>
      <sz val="9.0"/>
      <color theme="1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000000"/>
      <name val="Roboto"/>
    </font>
    <font>
      <sz val="9.0"/>
      <color rgb="FF1F4E78"/>
      <name val="Roboto"/>
    </font>
    <font>
      <sz val="9.0"/>
      <color rgb="FFFFFFFF"/>
      <name val="Roboto"/>
    </font>
    <font>
      <b/>
      <sz val="12.0"/>
      <color rgb="FFFFFFFF"/>
      <name val="Roboto"/>
    </font>
    <font>
      <sz val="9.0"/>
      <color rgb="FFB85B22"/>
      <name val="Roboto"/>
    </font>
    <font>
      <b/>
      <sz val="14.0"/>
      <color rgb="FF45818E"/>
      <name val="Roboto"/>
    </font>
    <font>
      <sz val="9.0"/>
      <color rgb="FF45818E"/>
      <name val="Roboto"/>
    </font>
    <font>
      <b/>
      <sz val="14.0"/>
      <color rgb="FFB85B22"/>
      <name val="Roboto"/>
    </font>
    <font>
      <sz val="12.0"/>
      <color theme="1"/>
      <name val="Corbel"/>
    </font>
    <font>
      <b/>
      <sz val="14.0"/>
      <color rgb="FF38761D"/>
      <name val="Roboto"/>
    </font>
    <font>
      <sz val="9.0"/>
      <color rgb="FF38761D"/>
      <name val="Roboto"/>
    </font>
    <font>
      <b/>
      <sz val="14.0"/>
      <color rgb="FF351C75"/>
      <name val="Roboto"/>
    </font>
    <font>
      <sz val="9.0"/>
      <color rgb="FF351C75"/>
      <name val="Roboto"/>
    </font>
    <font>
      <b/>
      <sz val="11.0"/>
      <color rgb="FFFFFFFF"/>
      <name val="Roboto"/>
    </font>
    <font>
      <b/>
      <sz val="11.0"/>
      <color theme="1"/>
      <name val="Roboto"/>
    </font>
    <font>
      <sz val="11.0"/>
      <color rgb="FFFFFFFF"/>
      <name val="Roboto"/>
    </font>
    <font>
      <sz val="11.0"/>
      <color theme="1"/>
      <name val="Calibri"/>
    </font>
    <font>
      <color theme="1"/>
      <name val="Calibri"/>
    </font>
    <font>
      <b/>
      <sz val="11.0"/>
      <color rgb="FF000000"/>
      <name val="Roboto"/>
    </font>
    <font>
      <sz val="14.0"/>
      <color rgb="FFFFFFFF"/>
      <name val="Calibri"/>
    </font>
    <font>
      <sz val="12.0"/>
      <color theme="1"/>
      <name val="Calibri"/>
    </font>
    <font>
      <sz val="12.0"/>
      <color theme="1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theme="0"/>
        <bgColor theme="0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0C343D"/>
        <bgColor rgb="FF0C343D"/>
      </patternFill>
    </fill>
    <fill>
      <patternFill patternType="solid">
        <fgColor rgb="FF134F5C"/>
        <bgColor rgb="FF134F5C"/>
      </patternFill>
    </fill>
    <fill>
      <patternFill patternType="solid">
        <fgColor rgb="FFA61C00"/>
        <bgColor rgb="FFA61C00"/>
      </patternFill>
    </fill>
    <fill>
      <patternFill patternType="solid">
        <fgColor rgb="FF17365D"/>
        <bgColor rgb="FF17365D"/>
      </patternFill>
    </fill>
  </fills>
  <borders count="128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left style="thin">
        <color rgb="FF999999"/>
      </left>
      <top/>
      <bottom/>
    </border>
    <border>
      <top/>
      <bottom/>
    </border>
    <border>
      <right style="thin">
        <color rgb="FF999999"/>
      </right>
      <top/>
      <bottom/>
    </border>
    <border>
      <left style="thin">
        <color rgb="FF999999"/>
      </left>
      <top/>
      <bottom style="thin">
        <color rgb="FF999999"/>
      </bottom>
    </border>
    <border>
      <top/>
      <bottom style="thin">
        <color rgb="FF999999"/>
      </bottom>
    </border>
    <border>
      <left/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  <border>
      <left/>
      <right/>
      <top/>
      <bottom style="thin">
        <color rgb="FF999999"/>
      </bottom>
    </border>
    <border>
      <left/>
      <right/>
      <top/>
    </border>
    <border>
      <left/>
      <top/>
    </border>
    <border>
      <top/>
    </border>
    <border>
      <left/>
      <top/>
      <bottom/>
    </border>
    <border>
      <right style="thin">
        <color rgb="FFD9D9D9"/>
      </right>
      <top/>
      <bottom/>
    </border>
    <border>
      <left style="thin">
        <color rgb="FF999999"/>
      </left>
      <right style="hair">
        <color rgb="FFCCCCCC"/>
      </right>
      <top/>
      <bottom style="hair">
        <color rgb="FFCCCCCC"/>
      </bottom>
    </border>
    <border>
      <left style="hair">
        <color rgb="FFCCCCCC"/>
      </left>
      <right style="hair">
        <color rgb="FFCCCCCC"/>
      </right>
      <top/>
      <bottom style="hair">
        <color rgb="FFCCCCCC"/>
      </bottom>
    </border>
    <border>
      <left style="hair">
        <color rgb="FFCCCCCC"/>
      </left>
      <right/>
      <top/>
      <bottom style="hair">
        <color rgb="FFCCCCCC"/>
      </bottom>
    </border>
    <border>
      <left/>
      <right/>
      <top/>
      <bottom style="hair">
        <color rgb="FFCCCCCC"/>
      </bottom>
    </border>
    <border>
      <left/>
      <top/>
      <bottom style="hair">
        <color rgb="FFCCCCCC"/>
      </bottom>
    </border>
    <border>
      <top/>
      <bottom style="hair">
        <color rgb="FFCCCCCC"/>
      </bottom>
    </border>
    <border>
      <right style="hair">
        <color rgb="FFCCCCCC"/>
      </right>
      <top/>
      <bottom style="hair">
        <color rgb="FFCCCCCC"/>
      </bottom>
    </border>
    <border>
      <left style="hair">
        <color rgb="FFCCCCCC"/>
      </left>
      <right style="hair">
        <color rgb="FFCCCCCC"/>
      </right>
      <top/>
      <bottom/>
    </border>
    <border>
      <left style="hair">
        <color rgb="FFCCCCCC"/>
      </left>
      <right style="thin">
        <color rgb="FF999999"/>
      </right>
      <top/>
      <bottom style="hair">
        <color rgb="FFCCCCCC"/>
      </bottom>
    </border>
    <border>
      <left style="hair">
        <color rgb="FFCCCCCC"/>
      </left>
      <right style="hair">
        <color rgb="FFEFEFEF"/>
      </right>
      <top/>
      <bottom style="hair">
        <color rgb="FFCCCCCC"/>
      </bottom>
    </border>
    <border>
      <left style="hair">
        <color rgb="FFEFEFEF"/>
      </left>
      <right style="hair">
        <color rgb="FFEFEFEF"/>
      </right>
      <top/>
    </border>
    <border>
      <left style="hair">
        <color rgb="FFEFEFEF"/>
      </left>
      <right style="hair">
        <color rgb="FFEFEFEF"/>
      </right>
      <top/>
      <bottom style="hair">
        <color rgb="FFEFEFEF"/>
      </bottom>
    </border>
    <border>
      <left/>
      <right/>
    </border>
    <border>
      <left/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/>
      <right/>
      <top style="hair">
        <color rgb="FFCCCCCC"/>
      </top>
      <bottom style="hair">
        <color rgb="FFCCCCCC"/>
      </bottom>
    </border>
    <border>
      <left/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</border>
    <border>
      <left style="hair">
        <color rgb="FFEFEFEF"/>
      </left>
      <right style="hair">
        <color rgb="FFEFEFEF"/>
      </right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</border>
    <border>
      <left/>
      <right/>
      <top/>
      <bottom style="medium">
        <color rgb="FF0B5394"/>
      </bottom>
    </border>
    <border>
      <left/>
      <bottom style="medium">
        <color rgb="FF0B5394"/>
      </bottom>
    </border>
    <border>
      <bottom style="medium">
        <color rgb="FF0B5394"/>
      </bottom>
    </border>
    <border>
      <left/>
      <top/>
      <bottom style="medium">
        <color rgb="FF0B5394"/>
      </bottom>
    </border>
    <border>
      <right style="thin">
        <color rgb="FFD9D9D9"/>
      </right>
      <top/>
      <bottom style="medium">
        <color rgb="FF0B5394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top style="hair">
        <color rgb="FFCCCCCC"/>
      </top>
      <bottom style="medium">
        <color rgb="FF0B5394"/>
      </bottom>
    </border>
    <border>
      <top style="hair">
        <color rgb="FFCCCCCC"/>
      </top>
      <bottom style="medium">
        <color rgb="FF0B5394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0B5394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thin">
        <color rgb="FF999999"/>
      </left>
      <top/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/>
    </border>
    <border>
      <left style="hair">
        <color rgb="FFCCCCCC"/>
      </left>
      <right style="hair">
        <color rgb="FFCCCCCC"/>
      </right>
      <top style="hair">
        <color rgb="FFCCCCCC"/>
      </top>
      <bottom/>
    </border>
    <border>
      <left style="hair">
        <color rgb="FFCCCCCC"/>
      </left>
      <right style="thin">
        <color rgb="FF999999"/>
      </right>
      <top style="hair">
        <color rgb="FFCCCCCC"/>
      </top>
      <bottom/>
    </border>
    <border>
      <left style="hair">
        <color rgb="FFCCCCCC"/>
      </left>
      <right style="hair">
        <color rgb="FFEFEFEF"/>
      </right>
      <top style="hair">
        <color rgb="FFCCCCCC"/>
      </top>
      <bottom/>
    </border>
    <border>
      <left/>
      <right/>
      <top/>
      <bottom style="medium">
        <color rgb="FF45818E"/>
      </bottom>
    </border>
    <border>
      <left/>
      <bottom style="medium">
        <color rgb="FF45818E"/>
      </bottom>
    </border>
    <border>
      <bottom style="medium">
        <color rgb="FF45818E"/>
      </bottom>
    </border>
    <border>
      <left/>
      <top/>
      <bottom style="medium">
        <color rgb="FF45818E"/>
      </bottom>
    </border>
    <border>
      <right style="thin">
        <color rgb="FFD9D9D9"/>
      </right>
      <top/>
      <bottom style="medium">
        <color rgb="FF45818E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thin">
        <color rgb="FF999999"/>
      </right>
      <bottom style="hair">
        <color rgb="FFCCCCCC"/>
      </bottom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EFEFEF"/>
      </right>
      <bottom style="hair">
        <color rgb="FFCCCCCC"/>
      </bottom>
    </border>
    <border>
      <left style="hair">
        <color rgb="FFEFEFEF"/>
      </left>
      <right style="hair">
        <color rgb="FFEFEFEF"/>
      </right>
      <bottom style="hair">
        <color rgb="FFEFEFEF"/>
      </bottom>
    </border>
    <border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hair">
        <color rgb="FFEFEFEF"/>
      </left>
      <right style="hair">
        <color rgb="FFEFEFEF"/>
      </right>
      <top style="hair">
        <color rgb="FFEFEFEF"/>
      </top>
      <bottom/>
    </border>
    <border>
      <right style="thin">
        <color rgb="FF999999"/>
      </right>
      <top/>
    </border>
    <border>
      <left style="thin">
        <color rgb="FF999999"/>
      </left>
      <right style="hair">
        <color rgb="FFCCCCCC"/>
      </right>
      <top style="hair">
        <color rgb="FFCCCCCC"/>
      </top>
    </border>
    <border>
      <left style="thin">
        <color rgb="FF000000"/>
      </left>
    </border>
    <border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right style="hair">
        <color rgb="FFCCCCCC"/>
      </right>
    </border>
    <border>
      <left style="hair">
        <color rgb="FFCCCCCC"/>
      </left>
      <right style="thin">
        <color rgb="FF999999"/>
      </right>
      <top style="hair">
        <color rgb="FFCCCCCC"/>
      </top>
    </border>
    <border>
      <left style="hair">
        <color rgb="FFCCCCCC"/>
      </left>
      <right style="hair">
        <color rgb="FFEFEFEF"/>
      </right>
      <top style="hair">
        <color rgb="FFCCCCCC"/>
      </top>
    </border>
    <border>
      <left style="hair">
        <color rgb="FFEFEFEF"/>
      </left>
      <right style="hair">
        <color rgb="FFEFEFEF"/>
      </right>
      <top style="hair">
        <color rgb="FFEFEFEF"/>
      </top>
    </border>
    <border>
      <bottom style="thin">
        <color rgb="FFE36C09"/>
      </bottom>
    </border>
    <border>
      <left/>
      <right/>
      <top/>
      <bottom style="thin">
        <color rgb="FFE36C09"/>
      </bottom>
    </border>
    <border>
      <right style="hair">
        <color rgb="FFCCCCCC"/>
      </right>
      <top style="hair">
        <color rgb="FFCCCCCC"/>
      </top>
      <bottom style="thin">
        <color rgb="FFE36C09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E36C09"/>
      </bottom>
    </border>
    <border>
      <right style="hair">
        <color rgb="FFCCCCCC"/>
      </right>
      <bottom style="thin">
        <color rgb="FFE36C09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thin">
        <color rgb="FFE36C09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thin">
        <color rgb="FFE36C09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thin">
        <color rgb="FFE36C09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thin">
        <color rgb="FFE36C09"/>
      </bottom>
    </border>
    <border>
      <left/>
      <bottom/>
    </border>
    <border>
      <right style="thin">
        <color rgb="FFD9D9D9"/>
      </right>
      <bottom/>
    </border>
    <border>
      <left/>
      <right/>
      <top/>
      <bottom style="medium">
        <color rgb="FF38761D"/>
      </bottom>
    </border>
    <border>
      <left/>
      <bottom style="medium">
        <color rgb="FF38761D"/>
      </bottom>
    </border>
    <border>
      <bottom style="medium">
        <color rgb="FF38761D"/>
      </bottom>
    </border>
    <border>
      <left/>
      <top/>
      <bottom style="medium">
        <color rgb="FF38761D"/>
      </bottom>
    </border>
    <border>
      <right style="thin">
        <color rgb="FFD9D9D9"/>
      </right>
      <top/>
      <bottom style="medium">
        <color rgb="FF38761D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38761D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38761D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38761D"/>
      </bottom>
    </border>
    <border>
      <right style="dotted">
        <color rgb="FFFFFFFF"/>
      </right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left style="dotted">
        <color rgb="FFFFFFFF"/>
      </left>
      <bottom style="dotted">
        <color rgb="FFFFFFFF"/>
      </bottom>
    </border>
    <border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top style="dotted">
        <color rgb="FFFFFFFF"/>
      </top>
      <bottom style="thick">
        <color rgb="FF4F81BD"/>
      </bottom>
    </border>
    <border>
      <top style="dotted">
        <color rgb="FFFFFFFF"/>
      </top>
      <bottom style="thick">
        <color rgb="FF4F81BD"/>
      </bottom>
    </border>
    <border>
      <right style="dotted">
        <color rgb="FFFFFFFF"/>
      </right>
      <top style="dotted">
        <color rgb="FFFFFFFF"/>
      </top>
      <bottom style="thick">
        <color rgb="FF4F81BD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thick">
        <color rgb="FF4F81BD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medium">
        <color rgb="FFCCCCCC"/>
      </bottom>
    </border>
    <border>
      <left style="dotted">
        <color rgb="FFFFFFFF"/>
      </left>
      <right style="dotted">
        <color rgb="FFFFFFFF"/>
      </right>
      <bottom style="medium">
        <color rgb="FFCCCCCC"/>
      </bottom>
    </border>
    <border>
      <left style="dotted">
        <color rgb="FFFFFFFF"/>
      </left>
      <bottom style="medium">
        <color rgb="FFCCCCCC"/>
      </bottom>
    </border>
    <border>
      <right style="dotted">
        <color rgb="FFFFFFFF"/>
      </right>
      <bottom style="medium">
        <color rgb="FFCCCCCC"/>
      </bottom>
    </border>
    <border>
      <top style="dotted">
        <color rgb="FFFFFFFF"/>
      </top>
      <bottom style="dotted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FFFFFF"/>
      </right>
      <top style="dotted">
        <color rgb="FFFFFFFF"/>
      </top>
    </border>
    <border>
      <left style="dotted">
        <color rgb="FFFFFFFF"/>
      </left>
      <right style="dotted">
        <color rgb="FFFFFFFF"/>
      </right>
      <top style="dotted">
        <color rgb="FFFFFFFF"/>
      </top>
    </border>
    <border>
      <left style="dotted">
        <color rgb="FFFFFFFF"/>
      </left>
      <top style="dotted">
        <color rgb="FFFFFFFF"/>
      </top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5" numFmtId="4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2" fillId="2" fontId="6" numFmtId="0" xfId="0" applyAlignment="1" applyBorder="1" applyFont="1">
      <alignment vertical="center"/>
    </xf>
    <xf borderId="3" fillId="0" fontId="7" numFmtId="0" xfId="0" applyBorder="1" applyFont="1"/>
    <xf borderId="2" fillId="2" fontId="8" numFmtId="4" xfId="0" applyAlignment="1" applyBorder="1" applyFont="1" applyNumberFormat="1">
      <alignment vertical="center"/>
    </xf>
    <xf borderId="2" fillId="2" fontId="9" numFmtId="0" xfId="0" applyAlignment="1" applyBorder="1" applyFont="1">
      <alignment shrinkToFit="0" vertical="center" wrapText="1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ont="1">
      <alignment vertical="center"/>
    </xf>
    <xf borderId="1" fillId="2" fontId="12" numFmtId="4" xfId="0" applyAlignment="1" applyBorder="1" applyFont="1" applyNumberFormat="1">
      <alignment vertical="center"/>
    </xf>
    <xf borderId="1" fillId="2" fontId="12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4" fillId="0" fontId="14" numFmtId="0" xfId="0" applyAlignment="1" applyBorder="1" applyFont="1">
      <alignment horizontal="left" vertical="center"/>
    </xf>
    <xf borderId="4" fillId="0" fontId="15" numFmtId="0" xfId="0" applyAlignment="1" applyBorder="1" applyFont="1">
      <alignment horizontal="left" vertical="center"/>
    </xf>
    <xf borderId="5" fillId="2" fontId="16" numFmtId="0" xfId="0" applyAlignment="1" applyBorder="1" applyFont="1">
      <alignment vertical="center"/>
    </xf>
    <xf borderId="6" fillId="2" fontId="17" numFmtId="0" xfId="0" applyAlignment="1" applyBorder="1" applyFont="1">
      <alignment horizontal="left" vertical="center"/>
    </xf>
    <xf borderId="7" fillId="0" fontId="7" numFmtId="0" xfId="0" applyBorder="1" applyFont="1"/>
    <xf borderId="1" fillId="2" fontId="16" numFmtId="0" xfId="0" applyAlignment="1" applyBorder="1" applyFont="1">
      <alignment vertical="center"/>
    </xf>
    <xf borderId="6" fillId="2" fontId="17" numFmtId="4" xfId="0" applyAlignment="1" applyBorder="1" applyFont="1" applyNumberFormat="1">
      <alignment horizontal="left" vertical="center"/>
    </xf>
    <xf borderId="4" fillId="0" fontId="17" numFmtId="0" xfId="0" applyAlignment="1" applyBorder="1" applyFont="1">
      <alignment horizontal="left" vertical="center"/>
    </xf>
    <xf borderId="4" fillId="0" fontId="7" numFmtId="0" xfId="0" applyBorder="1" applyFont="1"/>
    <xf borderId="0" fillId="0" fontId="4" numFmtId="0" xfId="0" applyFont="1"/>
    <xf borderId="0" fillId="0" fontId="18" numFmtId="0" xfId="0" applyAlignment="1" applyFont="1">
      <alignment vertical="center"/>
    </xf>
    <xf borderId="4" fillId="0" fontId="16" numFmtId="0" xfId="0" applyAlignment="1" applyBorder="1" applyFont="1">
      <alignment vertical="center"/>
    </xf>
    <xf borderId="4" fillId="0" fontId="17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4" fillId="0" fontId="17" numFmtId="14" xfId="0" applyAlignment="1" applyBorder="1" applyFont="1" applyNumberFormat="1">
      <alignment horizontal="left" vertical="center"/>
    </xf>
    <xf borderId="4" fillId="0" fontId="16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1" fillId="2" fontId="20" numFmtId="0" xfId="0" applyAlignment="1" applyBorder="1" applyFont="1">
      <alignment vertical="center"/>
    </xf>
    <xf borderId="1" fillId="2" fontId="20" numFmtId="0" xfId="0" applyAlignment="1" applyBorder="1" applyFont="1">
      <alignment horizontal="center" vertical="center"/>
    </xf>
    <xf borderId="1" fillId="2" fontId="20" numFmtId="4" xfId="0" applyAlignment="1" applyBorder="1" applyFont="1" applyNumberFormat="1">
      <alignment vertical="center"/>
    </xf>
    <xf borderId="0" fillId="0" fontId="20" numFmtId="0" xfId="0" applyAlignment="1" applyFont="1">
      <alignment vertical="center"/>
    </xf>
    <xf borderId="1" fillId="3" fontId="21" numFmtId="0" xfId="0" applyAlignment="1" applyBorder="1" applyFill="1" applyFont="1">
      <alignment horizontal="center" shrinkToFit="0" vertical="center" wrapText="1"/>
    </xf>
    <xf borderId="1" fillId="3" fontId="21" numFmtId="0" xfId="0" applyAlignment="1" applyBorder="1" applyFont="1">
      <alignment horizontal="left" shrinkToFit="0" vertical="center" wrapText="1"/>
    </xf>
    <xf borderId="8" fillId="3" fontId="22" numFmtId="4" xfId="0" applyAlignment="1" applyBorder="1" applyFont="1" applyNumberForma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8" fillId="3" fontId="22" numFmtId="0" xfId="0" applyAlignment="1" applyBorder="1" applyFont="1">
      <alignment horizontal="center" vertical="center"/>
    </xf>
    <xf borderId="8" fillId="2" fontId="22" numFmtId="0" xfId="0" applyAlignment="1" applyBorder="1" applyFont="1">
      <alignment horizontal="center" vertical="center"/>
    </xf>
    <xf borderId="0" fillId="0" fontId="23" numFmtId="0" xfId="0" applyAlignment="1" applyFont="1">
      <alignment vertical="center"/>
    </xf>
    <xf borderId="1" fillId="4" fontId="24" numFmtId="0" xfId="0" applyAlignment="1" applyBorder="1" applyFill="1" applyFont="1">
      <alignment horizontal="center" shrinkToFit="0" vertical="center" wrapText="1"/>
    </xf>
    <xf borderId="1" fillId="4" fontId="24" numFmtId="0" xfId="0" applyAlignment="1" applyBorder="1" applyFont="1">
      <alignment horizontal="left" shrinkToFit="0" vertical="center" wrapText="1"/>
    </xf>
    <xf borderId="11" fillId="2" fontId="25" numFmtId="4" xfId="0" applyAlignment="1" applyBorder="1" applyFont="1" applyNumberFormat="1">
      <alignment horizontal="left" vertical="center"/>
    </xf>
    <xf borderId="12" fillId="0" fontId="7" numFmtId="0" xfId="0" applyBorder="1" applyFont="1"/>
    <xf borderId="13" fillId="2" fontId="25" numFmtId="0" xfId="0" applyAlignment="1" applyBorder="1" applyFont="1">
      <alignment horizontal="left" vertical="center"/>
    </xf>
    <xf borderId="13" fillId="2" fontId="26" numFmtId="0" xfId="0" applyAlignment="1" applyBorder="1" applyFont="1">
      <alignment horizontal="center" vertical="center"/>
    </xf>
    <xf borderId="14" fillId="0" fontId="7" numFmtId="0" xfId="0" applyBorder="1" applyFont="1"/>
    <xf borderId="11" fillId="2" fontId="26" numFmtId="0" xfId="0" applyAlignment="1" applyBorder="1" applyFont="1">
      <alignment horizontal="center" vertical="center"/>
    </xf>
    <xf borderId="15" fillId="2" fontId="26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16" fillId="5" fontId="28" numFmtId="0" xfId="0" applyAlignment="1" applyBorder="1" applyFill="1" applyFont="1">
      <alignment horizontal="center" vertical="center"/>
    </xf>
    <xf borderId="1" fillId="6" fontId="28" numFmtId="0" xfId="0" applyAlignment="1" applyBorder="1" applyFill="1" applyFont="1">
      <alignment horizontal="center" vertical="center"/>
    </xf>
    <xf borderId="17" fillId="6" fontId="29" numFmtId="0" xfId="0" applyAlignment="1" applyBorder="1" applyFont="1">
      <alignment horizontal="left" shrinkToFit="0" vertical="center" wrapText="1"/>
    </xf>
    <xf borderId="18" fillId="0" fontId="7" numFmtId="0" xfId="0" applyBorder="1" applyFont="1"/>
    <xf borderId="19" fillId="6" fontId="30" numFmtId="0" xfId="0" applyAlignment="1" applyBorder="1" applyFont="1">
      <alignment horizontal="left" shrinkToFit="0" vertical="center" wrapText="1"/>
    </xf>
    <xf borderId="20" fillId="0" fontId="7" numFmtId="0" xfId="0" applyBorder="1" applyFont="1"/>
    <xf borderId="21" fillId="2" fontId="31" numFmtId="4" xfId="0" applyAlignment="1" applyBorder="1" applyFont="1" applyNumberFormat="1">
      <alignment horizontal="left" vertical="center"/>
    </xf>
    <xf borderId="22" fillId="2" fontId="32" numFmtId="164" xfId="0" applyAlignment="1" applyBorder="1" applyFont="1" applyNumberFormat="1">
      <alignment horizontal="left" vertical="center"/>
    </xf>
    <xf borderId="23" fillId="2" fontId="33" numFmtId="0" xfId="0" applyAlignment="1" applyBorder="1" applyFont="1">
      <alignment horizontal="left" vertical="center"/>
    </xf>
    <xf borderId="24" fillId="2" fontId="33" numFmtId="0" xfId="0" applyAlignment="1" applyBorder="1" applyFont="1">
      <alignment horizontal="left" vertical="center"/>
    </xf>
    <xf borderId="25" fillId="7" fontId="31" numFmtId="0" xfId="0" applyAlignment="1" applyBorder="1" applyFill="1" applyFont="1">
      <alignment horizontal="left" vertical="center"/>
    </xf>
    <xf borderId="26" fillId="0" fontId="7" numFmtId="0" xfId="0" applyBorder="1" applyFont="1"/>
    <xf borderId="27" fillId="0" fontId="7" numFmtId="0" xfId="0" applyBorder="1" applyFont="1"/>
    <xf borderId="28" fillId="2" fontId="32" numFmtId="0" xfId="0" applyAlignment="1" applyBorder="1" applyFont="1">
      <alignment horizontal="left" vertical="center"/>
    </xf>
    <xf borderId="29" fillId="2" fontId="32" numFmtId="0" xfId="0" applyAlignment="1" applyBorder="1" applyFont="1">
      <alignment horizontal="left" vertical="center"/>
    </xf>
    <xf borderId="21" fillId="2" fontId="32" numFmtId="0" xfId="0" applyAlignment="1" applyBorder="1" applyFont="1">
      <alignment horizontal="left" vertical="center"/>
    </xf>
    <xf borderId="22" fillId="2" fontId="32" numFmtId="0" xfId="0" applyAlignment="1" applyBorder="1" applyFont="1">
      <alignment horizontal="left" vertical="center"/>
    </xf>
    <xf borderId="30" fillId="2" fontId="32" numFmtId="0" xfId="0" applyAlignment="1" applyBorder="1" applyFont="1">
      <alignment horizontal="left" vertical="center"/>
    </xf>
    <xf borderId="31" fillId="2" fontId="34" numFmtId="0" xfId="0" applyAlignment="1" applyBorder="1" applyFont="1">
      <alignment horizontal="center" shrinkToFit="0" textRotation="255" vertical="center" wrapText="1"/>
    </xf>
    <xf borderId="32" fillId="2" fontId="32" numFmtId="0" xfId="0" applyAlignment="1" applyBorder="1" applyFont="1">
      <alignment horizontal="left" vertical="center"/>
    </xf>
    <xf borderId="33" fillId="0" fontId="7" numFmtId="0" xfId="0" applyBorder="1" applyFont="1"/>
    <xf borderId="34" fillId="0" fontId="7" numFmtId="0" xfId="0" applyBorder="1" applyFont="1"/>
    <xf borderId="35" fillId="2" fontId="31" numFmtId="4" xfId="0" applyAlignment="1" applyBorder="1" applyFont="1" applyNumberFormat="1">
      <alignment horizontal="left" vertical="center"/>
    </xf>
    <xf borderId="36" fillId="2" fontId="32" numFmtId="164" xfId="0" applyAlignment="1" applyBorder="1" applyFont="1" applyNumberFormat="1">
      <alignment horizontal="left" vertical="center"/>
    </xf>
    <xf borderId="36" fillId="2" fontId="32" numFmtId="0" xfId="0" applyAlignment="1" applyBorder="1" applyFont="1">
      <alignment horizontal="left" vertical="center"/>
    </xf>
    <xf borderId="37" fillId="2" fontId="33" numFmtId="0" xfId="0" applyAlignment="1" applyBorder="1" applyFont="1">
      <alignment horizontal="left" vertical="center"/>
    </xf>
    <xf borderId="38" fillId="2" fontId="33" numFmtId="0" xfId="0" applyAlignment="1" applyBorder="1" applyFont="1">
      <alignment horizontal="left" vertical="center"/>
    </xf>
    <xf borderId="39" fillId="2" fontId="32" numFmtId="0" xfId="0" applyAlignment="1" applyBorder="1" applyFont="1">
      <alignment horizontal="left" vertical="center"/>
    </xf>
    <xf borderId="35" fillId="2" fontId="32" numFmtId="0" xfId="0" applyAlignment="1" applyBorder="1" applyFont="1">
      <alignment horizontal="left" vertical="center"/>
    </xf>
    <xf borderId="40" fillId="2" fontId="32" numFmtId="0" xfId="0" applyAlignment="1" applyBorder="1" applyFont="1">
      <alignment horizontal="left" vertical="center"/>
    </xf>
    <xf borderId="41" fillId="0" fontId="7" numFmtId="0" xfId="0" applyBorder="1" applyFont="1"/>
    <xf borderId="42" fillId="2" fontId="32" numFmtId="0" xfId="0" applyAlignment="1" applyBorder="1" applyFont="1">
      <alignment horizontal="left" vertical="center"/>
    </xf>
    <xf borderId="43" fillId="6" fontId="28" numFmtId="0" xfId="0" applyAlignment="1" applyBorder="1" applyFont="1">
      <alignment horizontal="center" vertical="center"/>
    </xf>
    <xf borderId="44" fillId="0" fontId="7" numFmtId="0" xfId="0" applyBorder="1" applyFont="1"/>
    <xf borderId="45" fillId="0" fontId="7" numFmtId="0" xfId="0" applyBorder="1" applyFont="1"/>
    <xf borderId="46" fillId="6" fontId="30" numFmtId="0" xfId="0" applyAlignment="1" applyBorder="1" applyFont="1">
      <alignment horizontal="left" shrinkToFit="0" vertical="center" wrapText="1"/>
    </xf>
    <xf borderId="47" fillId="0" fontId="7" numFmtId="0" xfId="0" applyBorder="1" applyFont="1"/>
    <xf borderId="48" fillId="2" fontId="31" numFmtId="4" xfId="0" applyAlignment="1" applyBorder="1" applyFont="1" applyNumberFormat="1">
      <alignment horizontal="left" vertical="center"/>
    </xf>
    <xf borderId="49" fillId="2" fontId="32" numFmtId="4" xfId="0" applyAlignment="1" applyBorder="1" applyFont="1" applyNumberFormat="1">
      <alignment horizontal="left" vertical="center"/>
    </xf>
    <xf borderId="49" fillId="2" fontId="32" numFmtId="0" xfId="0" applyAlignment="1" applyBorder="1" applyFont="1">
      <alignment horizontal="left" vertical="center"/>
    </xf>
    <xf borderId="50" fillId="2" fontId="33" numFmtId="0" xfId="0" applyAlignment="1" applyBorder="1" applyFont="1">
      <alignment horizontal="left" vertical="center"/>
    </xf>
    <xf borderId="51" fillId="0" fontId="7" numFmtId="0" xfId="0" applyBorder="1" applyFont="1"/>
    <xf borderId="49" fillId="2" fontId="35" numFmtId="0" xfId="0" applyAlignment="1" applyBorder="1" applyFont="1">
      <alignment horizontal="left" vertical="center"/>
    </xf>
    <xf borderId="52" fillId="2" fontId="32" numFmtId="0" xfId="0" applyAlignment="1" applyBorder="1" applyFont="1">
      <alignment horizontal="left" vertical="center"/>
    </xf>
    <xf borderId="48" fillId="2" fontId="32" numFmtId="0" xfId="0" applyAlignment="1" applyBorder="1" applyFont="1">
      <alignment horizontal="left" vertical="center"/>
    </xf>
    <xf borderId="53" fillId="2" fontId="32" numFmtId="0" xfId="0" applyAlignment="1" applyBorder="1" applyFont="1">
      <alignment horizontal="left" vertical="center"/>
    </xf>
    <xf borderId="54" fillId="2" fontId="32" numFmtId="0" xfId="0" applyAlignment="1" applyBorder="1" applyFont="1">
      <alignment horizontal="left" vertical="center"/>
    </xf>
    <xf borderId="16" fillId="8" fontId="28" numFmtId="0" xfId="0" applyAlignment="1" applyBorder="1" applyFill="1" applyFont="1">
      <alignment horizontal="center" vertical="center"/>
    </xf>
    <xf borderId="17" fillId="6" fontId="36" numFmtId="0" xfId="0" applyAlignment="1" applyBorder="1" applyFont="1">
      <alignment horizontal="left" shrinkToFit="0" vertical="center" wrapText="1"/>
    </xf>
    <xf borderId="19" fillId="6" fontId="37" numFmtId="0" xfId="0" applyAlignment="1" applyBorder="1" applyFont="1">
      <alignment horizontal="left" shrinkToFit="0" vertical="center" wrapText="1"/>
    </xf>
    <xf borderId="22" fillId="2" fontId="35" numFmtId="164" xfId="0" applyAlignment="1" applyBorder="1" applyFont="1" applyNumberFormat="1">
      <alignment horizontal="left" vertical="center"/>
    </xf>
    <xf borderId="22" fillId="2" fontId="35" numFmtId="0" xfId="0" applyAlignment="1" applyBorder="1" applyFont="1">
      <alignment horizontal="left" vertical="center"/>
    </xf>
    <xf borderId="29" fillId="2" fontId="35" numFmtId="0" xfId="0" applyAlignment="1" applyBorder="1" applyFont="1">
      <alignment horizontal="left" vertical="center"/>
    </xf>
    <xf borderId="55" fillId="2" fontId="33" numFmtId="0" xfId="0" applyAlignment="1" applyBorder="1" applyFont="1">
      <alignment horizontal="left" vertical="center"/>
    </xf>
    <xf borderId="21" fillId="2" fontId="35" numFmtId="0" xfId="0" applyAlignment="1" applyBorder="1" applyFont="1">
      <alignment horizontal="left" vertical="center"/>
    </xf>
    <xf borderId="30" fillId="2" fontId="35" numFmtId="0" xfId="0" applyAlignment="1" applyBorder="1" applyFont="1">
      <alignment horizontal="left" vertical="center"/>
    </xf>
    <xf borderId="32" fillId="2" fontId="35" numFmtId="0" xfId="0" applyAlignment="1" applyBorder="1" applyFont="1">
      <alignment horizontal="left" vertical="center"/>
    </xf>
    <xf borderId="35" fillId="2" fontId="31" numFmtId="4" xfId="0" applyAlignment="1" applyBorder="1" applyFont="1" applyNumberFormat="1">
      <alignment horizontal="left" readingOrder="0" vertical="center"/>
    </xf>
    <xf borderId="36" fillId="2" fontId="35" numFmtId="164" xfId="0" applyAlignment="1" applyBorder="1" applyFont="1" applyNumberFormat="1">
      <alignment horizontal="left" vertical="center"/>
    </xf>
    <xf borderId="36" fillId="2" fontId="35" numFmtId="0" xfId="0" applyAlignment="1" applyBorder="1" applyFont="1">
      <alignment horizontal="left" vertical="center"/>
    </xf>
    <xf borderId="39" fillId="2" fontId="35" numFmtId="0" xfId="0" applyAlignment="1" applyBorder="1" applyFont="1">
      <alignment horizontal="left" vertical="center"/>
    </xf>
    <xf borderId="35" fillId="2" fontId="35" numFmtId="0" xfId="0" applyAlignment="1" applyBorder="1" applyFont="1">
      <alignment horizontal="left" vertical="center"/>
    </xf>
    <xf borderId="56" fillId="2" fontId="33" numFmtId="0" xfId="0" applyAlignment="1" applyBorder="1" applyFont="1">
      <alignment horizontal="left" vertical="center"/>
    </xf>
    <xf borderId="57" fillId="0" fontId="7" numFmtId="0" xfId="0" applyBorder="1" applyFont="1"/>
    <xf borderId="40" fillId="2" fontId="35" numFmtId="0" xfId="0" applyAlignment="1" applyBorder="1" applyFont="1">
      <alignment horizontal="left" vertical="center"/>
    </xf>
    <xf borderId="42" fillId="2" fontId="35" numFmtId="0" xfId="0" applyAlignment="1" applyBorder="1" applyFont="1">
      <alignment horizontal="left" vertical="center"/>
    </xf>
    <xf borderId="25" fillId="2" fontId="31" numFmtId="0" xfId="0" applyAlignment="1" applyBorder="1" applyFont="1">
      <alignment horizontal="left" vertical="center"/>
    </xf>
    <xf borderId="58" fillId="2" fontId="31" numFmtId="4" xfId="0" applyAlignment="1" applyBorder="1" applyFont="1" applyNumberFormat="1">
      <alignment horizontal="left" vertical="center"/>
    </xf>
    <xf borderId="59" fillId="2" fontId="35" numFmtId="164" xfId="0" applyAlignment="1" applyBorder="1" applyFont="1" applyNumberFormat="1">
      <alignment horizontal="left" vertical="center"/>
    </xf>
    <xf borderId="59" fillId="2" fontId="35" numFmtId="0" xfId="0" applyAlignment="1" applyBorder="1" applyFont="1">
      <alignment horizontal="left" vertical="center"/>
    </xf>
    <xf borderId="60" fillId="2" fontId="35" numFmtId="0" xfId="0" applyAlignment="1" applyBorder="1" applyFont="1">
      <alignment horizontal="left" vertical="center"/>
    </xf>
    <xf borderId="58" fillId="2" fontId="35" numFmtId="0" xfId="0" applyAlignment="1" applyBorder="1" applyFont="1">
      <alignment horizontal="left" vertical="center"/>
    </xf>
    <xf borderId="61" fillId="2" fontId="35" numFmtId="0" xfId="0" applyAlignment="1" applyBorder="1" applyFont="1">
      <alignment horizontal="left" vertical="center"/>
    </xf>
    <xf borderId="62" fillId="6" fontId="28" numFmtId="0" xfId="0" applyAlignment="1" applyBorder="1" applyFont="1">
      <alignment horizontal="center" vertical="center"/>
    </xf>
    <xf borderId="63" fillId="0" fontId="7" numFmtId="0" xfId="0" applyBorder="1" applyFont="1"/>
    <xf borderId="64" fillId="0" fontId="7" numFmtId="0" xfId="0" applyBorder="1" applyFont="1"/>
    <xf borderId="65" fillId="6" fontId="37" numFmtId="0" xfId="0" applyAlignment="1" applyBorder="1" applyFont="1">
      <alignment horizontal="left" shrinkToFit="0" vertical="center" wrapText="1"/>
    </xf>
    <xf borderId="66" fillId="0" fontId="7" numFmtId="0" xfId="0" applyBorder="1" applyFont="1"/>
    <xf borderId="67" fillId="2" fontId="31" numFmtId="4" xfId="0" applyAlignment="1" applyBorder="1" applyFont="1" applyNumberFormat="1">
      <alignment horizontal="left" vertical="center"/>
    </xf>
    <xf borderId="68" fillId="2" fontId="35" numFmtId="164" xfId="0" applyAlignment="1" applyBorder="1" applyFont="1" applyNumberFormat="1">
      <alignment horizontal="left" vertical="center"/>
    </xf>
    <xf borderId="68" fillId="2" fontId="35" numFmtId="0" xfId="0" applyAlignment="1" applyBorder="1" applyFont="1">
      <alignment horizontal="left" vertical="center"/>
    </xf>
    <xf borderId="69" fillId="2" fontId="35" numFmtId="0" xfId="0" applyAlignment="1" applyBorder="1" applyFont="1">
      <alignment horizontal="left" vertical="center"/>
    </xf>
    <xf borderId="67" fillId="2" fontId="35" numFmtId="0" xfId="0" applyAlignment="1" applyBorder="1" applyFont="1">
      <alignment horizontal="left" vertical="center"/>
    </xf>
    <xf borderId="70" fillId="2" fontId="35" numFmtId="0" xfId="0" applyAlignment="1" applyBorder="1" applyFont="1">
      <alignment horizontal="left" vertical="center"/>
    </xf>
    <xf borderId="54" fillId="2" fontId="35" numFmtId="0" xfId="0" applyAlignment="1" applyBorder="1" applyFont="1">
      <alignment horizontal="left" vertical="center"/>
    </xf>
    <xf borderId="16" fillId="9" fontId="28" numFmtId="0" xfId="0" applyAlignment="1" applyBorder="1" applyFill="1" applyFont="1">
      <alignment horizontal="center" vertical="center"/>
    </xf>
    <xf borderId="17" fillId="6" fontId="38" numFmtId="0" xfId="0" applyAlignment="1" applyBorder="1" applyFont="1">
      <alignment horizontal="left" shrinkToFit="0" vertical="center" wrapText="1"/>
    </xf>
    <xf borderId="19" fillId="6" fontId="35" numFmtId="0" xfId="0" applyAlignment="1" applyBorder="1" applyFont="1">
      <alignment horizontal="left" shrinkToFit="0" vertical="center" wrapText="1"/>
    </xf>
    <xf borderId="22" fillId="2" fontId="31" numFmtId="164" xfId="0" applyAlignment="1" applyBorder="1" applyFont="1" applyNumberFormat="1">
      <alignment horizontal="left" vertical="center"/>
    </xf>
    <xf borderId="22" fillId="2" fontId="31" numFmtId="0" xfId="0" applyAlignment="1" applyBorder="1" applyFont="1">
      <alignment horizontal="left" vertical="center"/>
    </xf>
    <xf borderId="29" fillId="2" fontId="31" numFmtId="0" xfId="0" applyAlignment="1" applyBorder="1" applyFont="1">
      <alignment horizontal="left" vertical="center"/>
    </xf>
    <xf borderId="21" fillId="2" fontId="31" numFmtId="0" xfId="0" applyAlignment="1" applyBorder="1" applyFont="1">
      <alignment horizontal="left" vertical="center"/>
    </xf>
    <xf borderId="30" fillId="2" fontId="31" numFmtId="0" xfId="0" applyAlignment="1" applyBorder="1" applyFont="1">
      <alignment horizontal="left" vertical="center"/>
    </xf>
    <xf borderId="32" fillId="2" fontId="31" numFmtId="0" xfId="0" applyAlignment="1" applyBorder="1" applyFont="1">
      <alignment horizontal="left" vertical="center"/>
    </xf>
    <xf borderId="36" fillId="2" fontId="31" numFmtId="164" xfId="0" applyAlignment="1" applyBorder="1" applyFont="1" applyNumberFormat="1">
      <alignment horizontal="left" vertical="center"/>
    </xf>
    <xf borderId="36" fillId="2" fontId="31" numFmtId="0" xfId="0" applyAlignment="1" applyBorder="1" applyFont="1">
      <alignment horizontal="left" vertical="center"/>
    </xf>
    <xf borderId="71" fillId="2" fontId="31" numFmtId="0" xfId="0" applyAlignment="1" applyBorder="1" applyFont="1">
      <alignment horizontal="left" vertical="center"/>
    </xf>
    <xf borderId="72" fillId="2" fontId="31" numFmtId="0" xfId="0" applyAlignment="1" applyBorder="1" applyFont="1">
      <alignment horizontal="left" vertical="center"/>
    </xf>
    <xf borderId="73" fillId="2" fontId="31" numFmtId="0" xfId="0" applyAlignment="1" applyBorder="1" applyFont="1">
      <alignment horizontal="left" vertical="center"/>
    </xf>
    <xf borderId="74" fillId="2" fontId="31" numFmtId="0" xfId="0" applyAlignment="1" applyBorder="1" applyFont="1">
      <alignment horizontal="left" vertical="center"/>
    </xf>
    <xf borderId="75" fillId="2" fontId="31" numFmtId="0" xfId="0" applyAlignment="1" applyBorder="1" applyFont="1">
      <alignment horizontal="left" vertical="center"/>
    </xf>
    <xf borderId="39" fillId="2" fontId="31" numFmtId="0" xfId="0" applyAlignment="1" applyBorder="1" applyFont="1">
      <alignment horizontal="left" vertical="center"/>
    </xf>
    <xf borderId="35" fillId="2" fontId="31" numFmtId="0" xfId="0" applyAlignment="1" applyBorder="1" applyFont="1">
      <alignment horizontal="left" vertical="center"/>
    </xf>
    <xf borderId="40" fillId="2" fontId="31" numFmtId="0" xfId="0" applyAlignment="1" applyBorder="1" applyFont="1">
      <alignment horizontal="left" vertical="center"/>
    </xf>
    <xf borderId="42" fillId="2" fontId="31" numFmtId="0" xfId="0" applyAlignment="1" applyBorder="1" applyFont="1">
      <alignment horizontal="left" vertical="center"/>
    </xf>
    <xf borderId="24" fillId="2" fontId="31" numFmtId="0" xfId="0" applyAlignment="1" applyBorder="1" applyFont="1">
      <alignment horizontal="left" vertical="center"/>
    </xf>
    <xf borderId="76" fillId="0" fontId="39" numFmtId="0" xfId="0" applyBorder="1" applyFont="1"/>
    <xf borderId="77" fillId="0" fontId="39" numFmtId="0" xfId="0" applyBorder="1" applyFont="1"/>
    <xf borderId="59" fillId="2" fontId="31" numFmtId="164" xfId="0" applyAlignment="1" applyBorder="1" applyFont="1" applyNumberFormat="1">
      <alignment horizontal="left" vertical="center"/>
    </xf>
    <xf borderId="59" fillId="2" fontId="31" numFmtId="0" xfId="0" applyAlignment="1" applyBorder="1" applyFont="1">
      <alignment horizontal="left" vertical="center"/>
    </xf>
    <xf borderId="60" fillId="2" fontId="31" numFmtId="0" xfId="0" applyAlignment="1" applyBorder="1" applyFont="1">
      <alignment horizontal="left" vertical="center"/>
    </xf>
    <xf borderId="58" fillId="2" fontId="31" numFmtId="0" xfId="0" applyAlignment="1" applyBorder="1" applyFont="1">
      <alignment horizontal="left" vertical="center"/>
    </xf>
    <xf borderId="61" fillId="2" fontId="31" numFmtId="0" xfId="0" applyAlignment="1" applyBorder="1" applyFont="1">
      <alignment horizontal="left" vertical="center"/>
    </xf>
    <xf borderId="78" fillId="2" fontId="31" numFmtId="0" xfId="0" applyAlignment="1" applyBorder="1" applyFont="1">
      <alignment horizontal="left" vertical="center"/>
    </xf>
    <xf borderId="17" fillId="6" fontId="35" numFmtId="0" xfId="0" applyAlignment="1" applyBorder="1" applyFont="1">
      <alignment horizontal="left" shrinkToFit="0" vertical="center" wrapText="1"/>
    </xf>
    <xf borderId="79" fillId="0" fontId="7" numFmtId="0" xfId="0" applyBorder="1" applyFont="1"/>
    <xf borderId="80" fillId="2" fontId="31" numFmtId="4" xfId="0" applyAlignment="1" applyBorder="1" applyFont="1" applyNumberFormat="1">
      <alignment horizontal="left" vertical="center"/>
    </xf>
    <xf borderId="16" fillId="6" fontId="28" numFmtId="0" xfId="0" applyAlignment="1" applyBorder="1" applyFont="1">
      <alignment horizontal="center" vertical="center"/>
    </xf>
    <xf borderId="0" fillId="6" fontId="35" numFmtId="0" xfId="0" applyAlignment="1" applyFont="1">
      <alignment horizontal="left" shrinkToFit="0" vertical="center" wrapText="1"/>
    </xf>
    <xf borderId="81" fillId="2" fontId="31" numFmtId="4" xfId="0" applyAlignment="1" applyBorder="1" applyFont="1" applyNumberFormat="1">
      <alignment horizontal="left" vertical="center"/>
    </xf>
    <xf borderId="82" fillId="2" fontId="31" numFmtId="164" xfId="0" applyAlignment="1" applyBorder="1" applyFont="1" applyNumberFormat="1">
      <alignment horizontal="left" vertical="center"/>
    </xf>
    <xf borderId="83" fillId="2" fontId="31" numFmtId="0" xfId="0" applyAlignment="1" applyBorder="1" applyFont="1">
      <alignment horizontal="left" vertical="center"/>
    </xf>
    <xf borderId="16" fillId="2" fontId="31" numFmtId="0" xfId="0" applyAlignment="1" applyBorder="1" applyFont="1">
      <alignment horizontal="left" vertical="center"/>
    </xf>
    <xf borderId="0" fillId="0" fontId="39" numFmtId="0" xfId="0" applyFont="1"/>
    <xf borderId="84" fillId="0" fontId="39" numFmtId="0" xfId="0" applyBorder="1" applyFont="1"/>
    <xf borderId="85" fillId="2" fontId="31" numFmtId="0" xfId="0" applyAlignment="1" applyBorder="1" applyFont="1">
      <alignment horizontal="left" vertical="center"/>
    </xf>
    <xf borderId="80" fillId="2" fontId="31" numFmtId="0" xfId="0" applyAlignment="1" applyBorder="1" applyFont="1">
      <alignment horizontal="left" vertical="center"/>
    </xf>
    <xf borderId="86" fillId="2" fontId="31" numFmtId="0" xfId="0" applyAlignment="1" applyBorder="1" applyFont="1">
      <alignment horizontal="left" vertical="center"/>
    </xf>
    <xf borderId="87" fillId="2" fontId="31" numFmtId="0" xfId="0" applyAlignment="1" applyBorder="1" applyFont="1">
      <alignment horizontal="left" vertical="center"/>
    </xf>
    <xf borderId="88" fillId="0" fontId="19" numFmtId="0" xfId="0" applyAlignment="1" applyBorder="1" applyFont="1">
      <alignment vertical="center"/>
    </xf>
    <xf borderId="89" fillId="6" fontId="28" numFmtId="0" xfId="0" applyAlignment="1" applyBorder="1" applyFont="1">
      <alignment horizontal="center" vertical="center"/>
    </xf>
    <xf borderId="90" fillId="2" fontId="31" numFmtId="164" xfId="0" applyAlignment="1" applyBorder="1" applyFont="1" applyNumberFormat="1">
      <alignment horizontal="left" vertical="center"/>
    </xf>
    <xf borderId="91" fillId="2" fontId="31" numFmtId="0" xfId="0" applyAlignment="1" applyBorder="1" applyFont="1">
      <alignment horizontal="left" vertical="center"/>
    </xf>
    <xf borderId="89" fillId="2" fontId="31" numFmtId="0" xfId="0" applyAlignment="1" applyBorder="1" applyFont="1">
      <alignment horizontal="left" vertical="center"/>
    </xf>
    <xf borderId="88" fillId="0" fontId="39" numFmtId="0" xfId="0" applyBorder="1" applyFont="1"/>
    <xf borderId="92" fillId="0" fontId="39" numFmtId="0" xfId="0" applyBorder="1" applyFont="1"/>
    <xf borderId="93" fillId="2" fontId="31" numFmtId="0" xfId="0" applyAlignment="1" applyBorder="1" applyFont="1">
      <alignment horizontal="left" vertical="center"/>
    </xf>
    <xf borderId="94" fillId="2" fontId="31" numFmtId="0" xfId="0" applyAlignment="1" applyBorder="1" applyFont="1">
      <alignment horizontal="left" vertical="center"/>
    </xf>
    <xf borderId="95" fillId="2" fontId="31" numFmtId="0" xfId="0" applyAlignment="1" applyBorder="1" applyFont="1">
      <alignment horizontal="left" vertical="center"/>
    </xf>
    <xf borderId="96" fillId="2" fontId="31" numFmtId="0" xfId="0" applyAlignment="1" applyBorder="1" applyFont="1">
      <alignment horizontal="left" vertical="center"/>
    </xf>
    <xf borderId="16" fillId="10" fontId="28" numFmtId="0" xfId="0" applyAlignment="1" applyBorder="1" applyFill="1" applyFont="1">
      <alignment horizontal="center" vertical="center"/>
    </xf>
    <xf borderId="17" fillId="6" fontId="40" numFmtId="0" xfId="0" applyAlignment="1" applyBorder="1" applyFont="1">
      <alignment horizontal="left" shrinkToFit="0" vertical="center" wrapText="1"/>
    </xf>
    <xf borderId="97" fillId="6" fontId="41" numFmtId="0" xfId="0" applyAlignment="1" applyBorder="1" applyFont="1">
      <alignment horizontal="left" shrinkToFit="0" vertical="center" wrapText="1"/>
    </xf>
    <xf borderId="98" fillId="0" fontId="7" numFmtId="0" xfId="0" applyBorder="1" applyFont="1"/>
    <xf borderId="73" fillId="2" fontId="31" numFmtId="4" xfId="0" applyAlignment="1" applyBorder="1" applyFont="1" applyNumberFormat="1">
      <alignment horizontal="left" vertical="center"/>
    </xf>
    <xf borderId="19" fillId="6" fontId="41" numFmtId="0" xfId="0" applyAlignment="1" applyBorder="1" applyFont="1">
      <alignment horizontal="left" shrinkToFit="0" vertical="center" wrapText="1"/>
    </xf>
    <xf borderId="99" fillId="6" fontId="28" numFmtId="0" xfId="0" applyAlignment="1" applyBorder="1" applyFont="1">
      <alignment horizontal="center" vertical="center"/>
    </xf>
    <xf borderId="100" fillId="0" fontId="7" numFmtId="0" xfId="0" applyBorder="1" applyFont="1"/>
    <xf borderId="101" fillId="0" fontId="7" numFmtId="0" xfId="0" applyBorder="1" applyFont="1"/>
    <xf borderId="102" fillId="6" fontId="41" numFmtId="0" xfId="0" applyAlignment="1" applyBorder="1" applyFont="1">
      <alignment horizontal="left" shrinkToFit="0" vertical="center" wrapText="1"/>
    </xf>
    <xf borderId="103" fillId="0" fontId="7" numFmtId="0" xfId="0" applyBorder="1" applyFont="1"/>
    <xf borderId="104" fillId="2" fontId="31" numFmtId="164" xfId="0" applyAlignment="1" applyBorder="1" applyFont="1" applyNumberFormat="1">
      <alignment horizontal="left" vertical="center"/>
    </xf>
    <xf borderId="104" fillId="2" fontId="31" numFmtId="0" xfId="0" applyAlignment="1" applyBorder="1" applyFont="1">
      <alignment horizontal="left" vertical="center"/>
    </xf>
    <xf borderId="105" fillId="2" fontId="31" numFmtId="0" xfId="0" applyAlignment="1" applyBorder="1" applyFont="1">
      <alignment horizontal="left" vertical="center"/>
    </xf>
    <xf borderId="106" fillId="2" fontId="31" numFmtId="0" xfId="0" applyAlignment="1" applyBorder="1" applyFont="1">
      <alignment horizontal="left" vertical="center"/>
    </xf>
    <xf borderId="107" fillId="2" fontId="31" numFmtId="0" xfId="0" applyAlignment="1" applyBorder="1" applyFont="1">
      <alignment horizontal="left" vertical="center"/>
    </xf>
    <xf borderId="108" fillId="2" fontId="31" numFmtId="0" xfId="0" applyAlignment="1" applyBorder="1" applyFont="1">
      <alignment horizontal="left" vertical="center"/>
    </xf>
    <xf borderId="16" fillId="11" fontId="28" numFmtId="0" xfId="0" applyAlignment="1" applyBorder="1" applyFill="1" applyFont="1">
      <alignment horizontal="center" vertical="center"/>
    </xf>
    <xf borderId="17" fillId="6" fontId="42" numFmtId="0" xfId="0" applyAlignment="1" applyBorder="1" applyFont="1">
      <alignment horizontal="left" shrinkToFit="0" vertical="center" wrapText="1"/>
    </xf>
    <xf borderId="19" fillId="6" fontId="43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19" fillId="12" fontId="44" numFmtId="0" xfId="0" applyAlignment="1" applyBorder="1" applyFill="1" applyFont="1">
      <alignment horizontal="center" shrinkToFit="0" vertical="center" wrapText="1"/>
    </xf>
    <xf borderId="1" fillId="13" fontId="44" numFmtId="4" xfId="0" applyAlignment="1" applyBorder="1" applyFill="1" applyFont="1" applyNumberFormat="1">
      <alignment horizontal="center" vertical="center"/>
    </xf>
    <xf borderId="0" fillId="0" fontId="45" numFmtId="164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1" fillId="3" fontId="44" numFmtId="0" xfId="0" applyAlignment="1" applyBorder="1" applyFont="1">
      <alignment vertical="center"/>
    </xf>
    <xf borderId="1" fillId="3" fontId="44" numFmtId="0" xfId="0" applyAlignment="1" applyBorder="1" applyFont="1">
      <alignment horizontal="left" shrinkToFit="0" vertical="center" wrapText="1"/>
    </xf>
    <xf borderId="1" fillId="3" fontId="44" numFmtId="0" xfId="0" applyAlignment="1" applyBorder="1" applyFont="1">
      <alignment shrinkToFit="0" vertical="center" wrapText="1"/>
    </xf>
    <xf borderId="1" fillId="3" fontId="44" numFmtId="0" xfId="0" applyAlignment="1" applyBorder="1" applyFont="1">
      <alignment horizontal="right" shrinkToFit="0" vertical="center" wrapText="1"/>
    </xf>
    <xf borderId="1" fillId="3" fontId="44" numFmtId="0" xfId="0" applyAlignment="1" applyBorder="1" applyFont="1">
      <alignment horizontal="center" shrinkToFit="0" vertical="center" wrapText="1"/>
    </xf>
    <xf borderId="1" fillId="3" fontId="44" numFmtId="4" xfId="0" applyAlignment="1" applyBorder="1" applyFont="1" applyNumberFormat="1">
      <alignment horizontal="center" vertical="center"/>
    </xf>
    <xf borderId="1" fillId="3" fontId="44" numFmtId="164" xfId="0" applyAlignment="1" applyBorder="1" applyFont="1" applyNumberFormat="1">
      <alignment horizontal="center" vertical="center"/>
    </xf>
    <xf borderId="1" fillId="3" fontId="44" numFmtId="0" xfId="0" applyAlignment="1" applyBorder="1" applyFont="1">
      <alignment horizontal="center" vertical="center"/>
    </xf>
    <xf borderId="0" fillId="0" fontId="19" numFmtId="0" xfId="0" applyAlignment="1" applyFont="1">
      <alignment horizontal="right" shrinkToFit="0" vertical="center" wrapText="1"/>
    </xf>
    <xf borderId="0" fillId="0" fontId="19" numFmtId="3" xfId="0" applyAlignment="1" applyFont="1" applyNumberFormat="1">
      <alignment horizontal="right" shrinkToFit="0" vertical="center" wrapText="1"/>
    </xf>
    <xf borderId="1" fillId="2" fontId="20" numFmtId="4" xfId="0" applyAlignment="1" applyBorder="1" applyFont="1" applyNumberForma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9" numFmtId="3" xfId="0" applyAlignment="1" applyFont="1" applyNumberFormat="1">
      <alignment horizontal="right" readingOrder="0" shrinkToFit="0" vertical="center" wrapText="1"/>
    </xf>
    <xf borderId="0" fillId="0" fontId="19" numFmtId="0" xfId="0" applyAlignment="1" applyFont="1">
      <alignment horizontal="center" vertical="center"/>
    </xf>
    <xf borderId="1" fillId="14" fontId="46" numFmtId="0" xfId="0" applyAlignment="1" applyBorder="1" applyFill="1" applyFont="1">
      <alignment vertical="center"/>
    </xf>
    <xf borderId="1" fillId="14" fontId="46" numFmtId="1" xfId="0" applyAlignment="1" applyBorder="1" applyFont="1" applyNumberFormat="1">
      <alignment vertical="center"/>
    </xf>
    <xf borderId="0" fillId="0" fontId="0" numFmtId="1" xfId="0" applyFont="1" applyNumberFormat="1"/>
    <xf borderId="1" fillId="7" fontId="46" numFmtId="1" xfId="0" applyAlignment="1" applyBorder="1" applyFont="1" applyNumberFormat="1">
      <alignment vertical="center"/>
    </xf>
    <xf borderId="0" fillId="0" fontId="19" numFmtId="0" xfId="0" applyAlignment="1" applyFont="1">
      <alignment readingOrder="0" vertical="center"/>
    </xf>
    <xf borderId="109" fillId="2" fontId="47" numFmtId="4" xfId="0" applyAlignment="1" applyBorder="1" applyFont="1" applyNumberFormat="1">
      <alignment vertical="bottom"/>
    </xf>
    <xf borderId="110" fillId="0" fontId="48" numFmtId="0" xfId="0" applyBorder="1" applyFont="1"/>
    <xf borderId="111" fillId="0" fontId="48" numFmtId="0" xfId="0" applyBorder="1" applyFont="1"/>
    <xf borderId="112" fillId="2" fontId="47" numFmtId="4" xfId="0" applyAlignment="1" applyBorder="1" applyFont="1" applyNumberFormat="1">
      <alignment vertical="bottom"/>
    </xf>
    <xf borderId="113" fillId="2" fontId="6" numFmtId="4" xfId="0" applyAlignment="1" applyBorder="1" applyFont="1" applyNumberFormat="1">
      <alignment vertical="bottom"/>
    </xf>
    <xf borderId="114" fillId="0" fontId="7" numFmtId="0" xfId="0" applyBorder="1" applyFont="1"/>
    <xf borderId="115" fillId="0" fontId="7" numFmtId="0" xfId="0" applyBorder="1" applyFont="1"/>
    <xf borderId="116" fillId="2" fontId="47" numFmtId="4" xfId="0" applyAlignment="1" applyBorder="1" applyFont="1" applyNumberFormat="1">
      <alignment vertical="bottom"/>
    </xf>
    <xf borderId="113" fillId="0" fontId="48" numFmtId="0" xfId="0" applyBorder="1" applyFont="1"/>
    <xf borderId="116" fillId="0" fontId="48" numFmtId="0" xfId="0" applyBorder="1" applyFont="1"/>
    <xf borderId="117" fillId="0" fontId="48" numFmtId="0" xfId="0" applyBorder="1" applyFont="1"/>
    <xf borderId="118" fillId="0" fontId="48" numFmtId="0" xfId="0" applyBorder="1" applyFont="1"/>
    <xf borderId="110" fillId="0" fontId="47" numFmtId="4" xfId="0" applyAlignment="1" applyBorder="1" applyFont="1" applyNumberFormat="1">
      <alignment vertical="bottom"/>
    </xf>
    <xf borderId="110" fillId="2" fontId="47" numFmtId="4" xfId="0" applyAlignment="1" applyBorder="1" applyFont="1" applyNumberFormat="1">
      <alignment vertical="bottom"/>
    </xf>
    <xf borderId="119" fillId="0" fontId="49" numFmtId="4" xfId="0" applyAlignment="1" applyBorder="1" applyFont="1" applyNumberFormat="1">
      <alignment shrinkToFit="0" vertical="bottom" wrapText="0"/>
    </xf>
    <xf borderId="119" fillId="0" fontId="47" numFmtId="4" xfId="0" applyAlignment="1" applyBorder="1" applyFont="1" applyNumberFormat="1">
      <alignment vertical="bottom"/>
    </xf>
    <xf borderId="119" fillId="2" fontId="20" numFmtId="4" xfId="0" applyAlignment="1" applyBorder="1" applyFont="1" applyNumberFormat="1">
      <alignment vertical="bottom"/>
    </xf>
    <xf borderId="117" fillId="0" fontId="47" numFmtId="0" xfId="0" applyAlignment="1" applyBorder="1" applyFont="1">
      <alignment vertical="bottom"/>
    </xf>
    <xf borderId="119" fillId="2" fontId="20" numFmtId="4" xfId="0" applyAlignment="1" applyBorder="1" applyFont="1" applyNumberFormat="1">
      <alignment shrinkToFit="0" vertical="bottom" wrapText="0"/>
    </xf>
    <xf borderId="119" fillId="0" fontId="20" numFmtId="4" xfId="0" applyAlignment="1" applyBorder="1" applyFont="1" applyNumberFormat="1">
      <alignment vertical="bottom"/>
    </xf>
    <xf borderId="117" fillId="0" fontId="47" numFmtId="4" xfId="0" applyAlignment="1" applyBorder="1" applyFont="1" applyNumberFormat="1">
      <alignment vertical="bottom"/>
    </xf>
    <xf borderId="120" fillId="0" fontId="49" numFmtId="4" xfId="0" applyAlignment="1" applyBorder="1" applyFont="1" applyNumberFormat="1">
      <alignment shrinkToFit="0" vertical="bottom" wrapText="0"/>
    </xf>
    <xf borderId="120" fillId="0" fontId="47" numFmtId="4" xfId="0" applyAlignment="1" applyBorder="1" applyFont="1" applyNumberFormat="1">
      <alignment vertical="bottom"/>
    </xf>
    <xf borderId="121" fillId="2" fontId="20" numFmtId="4" xfId="0" applyAlignment="1" applyBorder="1" applyFont="1" applyNumberFormat="1">
      <alignment vertical="bottom"/>
    </xf>
    <xf borderId="122" fillId="0" fontId="7" numFmtId="0" xfId="0" applyBorder="1" applyFont="1"/>
    <xf borderId="120" fillId="2" fontId="20" numFmtId="4" xfId="0" applyAlignment="1" applyBorder="1" applyFont="1" applyNumberFormat="1">
      <alignment vertical="bottom"/>
    </xf>
    <xf borderId="117" fillId="2" fontId="47" numFmtId="4" xfId="0" applyAlignment="1" applyBorder="1" applyFont="1" applyNumberFormat="1">
      <alignment vertical="bottom"/>
    </xf>
    <xf borderId="123" fillId="0" fontId="7" numFmtId="0" xfId="0" applyBorder="1" applyFont="1"/>
    <xf borderId="112" fillId="0" fontId="7" numFmtId="0" xfId="0" applyBorder="1" applyFont="1"/>
    <xf borderId="120" fillId="2" fontId="47" numFmtId="4" xfId="0" applyAlignment="1" applyBorder="1" applyFont="1" applyNumberFormat="1">
      <alignment vertical="bottom"/>
    </xf>
    <xf borderId="112" fillId="0" fontId="48" numFmtId="0" xfId="0" applyBorder="1" applyFont="1"/>
    <xf borderId="117" fillId="7" fontId="48" numFmtId="0" xfId="0" applyBorder="1" applyFont="1"/>
    <xf borderId="1" fillId="7" fontId="21" numFmtId="0" xfId="0" applyAlignment="1" applyBorder="1" applyFont="1">
      <alignment horizontal="left" shrinkToFit="0" vertical="center" wrapText="1"/>
    </xf>
    <xf borderId="0" fillId="15" fontId="50" numFmtId="4" xfId="0" applyAlignment="1" applyFill="1" applyFont="1" applyNumberFormat="1">
      <alignment horizontal="center" vertical="bottom"/>
    </xf>
    <xf borderId="124" fillId="15" fontId="50" numFmtId="4" xfId="0" applyAlignment="1" applyBorder="1" applyFont="1" applyNumberFormat="1">
      <alignment horizontal="center" vertical="bottom"/>
    </xf>
    <xf borderId="124" fillId="0" fontId="51" numFmtId="1" xfId="0" applyAlignment="1" applyBorder="1" applyFont="1" applyNumberFormat="1">
      <alignment horizontal="center" vertical="bottom"/>
    </xf>
    <xf borderId="124" fillId="0" fontId="52" numFmtId="4" xfId="0" applyAlignment="1" applyBorder="1" applyFont="1" applyNumberFormat="1">
      <alignment horizontal="center" shrinkToFit="0" vertical="bottom" wrapText="1"/>
    </xf>
    <xf borderId="124" fillId="0" fontId="51" numFmtId="0" xfId="0" applyAlignment="1" applyBorder="1" applyFont="1">
      <alignment horizontal="center" vertical="bottom"/>
    </xf>
    <xf borderId="124" fillId="0" fontId="51" numFmtId="4" xfId="0" applyAlignment="1" applyBorder="1" applyFont="1" applyNumberFormat="1">
      <alignment horizontal="center" vertical="bottom"/>
    </xf>
    <xf borderId="125" fillId="0" fontId="48" numFmtId="0" xfId="0" applyBorder="1" applyFont="1"/>
    <xf borderId="126" fillId="0" fontId="48" numFmtId="0" xfId="0" applyBorder="1" applyFont="1"/>
    <xf borderId="127" fillId="0" fontId="4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9.89"/>
    <col customWidth="1" min="3" max="3" width="1.33"/>
    <col customWidth="1" min="4" max="4" width="18.44"/>
    <col customWidth="1" min="5" max="5" width="10.78"/>
    <col customWidth="1" min="6" max="7" width="9.33"/>
    <col customWidth="1" min="8" max="8" width="11.44"/>
    <col customWidth="1" min="9" max="9" width="5.44"/>
    <col customWidth="1" min="10" max="42" width="3.0"/>
    <col customWidth="1" min="43" max="43" width="7.11"/>
    <col customWidth="1" min="44" max="44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</row>
    <row r="2" ht="36.75" customHeight="1">
      <c r="A2" s="1"/>
      <c r="B2" s="9" t="s">
        <v>0</v>
      </c>
      <c r="C2" s="10"/>
      <c r="D2" s="10"/>
      <c r="E2" s="10"/>
      <c r="F2" s="10"/>
      <c r="G2" s="10"/>
      <c r="H2" s="10"/>
      <c r="I2" s="11"/>
      <c r="J2" s="10"/>
      <c r="K2" s="10"/>
      <c r="L2" s="10"/>
      <c r="M2" s="10"/>
      <c r="N2" s="10"/>
      <c r="O2" s="12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ht="21.0" customHeight="1">
      <c r="A3" s="1"/>
      <c r="B3" s="13"/>
      <c r="C3" s="13"/>
      <c r="D3" s="13"/>
      <c r="E3" s="14"/>
      <c r="F3" s="14"/>
      <c r="G3" s="14"/>
      <c r="H3" s="14"/>
      <c r="I3" s="15"/>
      <c r="J3" s="16"/>
      <c r="K3" s="16"/>
      <c r="L3" s="16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ht="21.0" customHeight="1">
      <c r="A4" s="1"/>
      <c r="B4" s="18" t="s">
        <v>1</v>
      </c>
      <c r="C4" s="19"/>
      <c r="D4" s="20"/>
      <c r="E4" s="21" t="s">
        <v>2</v>
      </c>
      <c r="F4" s="22"/>
      <c r="G4" s="22"/>
      <c r="H4" s="23"/>
      <c r="I4" s="24" t="s">
        <v>3</v>
      </c>
      <c r="J4" s="22"/>
      <c r="K4" s="22"/>
      <c r="L4" s="22"/>
      <c r="M4" s="22"/>
      <c r="N4" s="22"/>
      <c r="O4" s="22"/>
      <c r="P4" s="25" t="s">
        <v>4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7"/>
      <c r="AD4" s="28"/>
      <c r="AE4" s="28"/>
      <c r="AF4" s="28"/>
      <c r="AG4" s="28"/>
      <c r="AH4" s="28"/>
      <c r="AI4" s="28"/>
      <c r="AJ4" s="28"/>
      <c r="AK4" s="28"/>
      <c r="AL4" s="28"/>
      <c r="AM4" s="1"/>
      <c r="AN4" s="1"/>
      <c r="AO4" s="1"/>
      <c r="AP4" s="1"/>
      <c r="AQ4" s="1"/>
      <c r="AR4" s="1"/>
    </row>
    <row r="5" ht="21.0" customHeight="1">
      <c r="A5" s="1"/>
      <c r="B5" s="18" t="s">
        <v>5</v>
      </c>
      <c r="C5" s="19"/>
      <c r="D5" s="29"/>
      <c r="E5" s="30"/>
      <c r="F5" s="29"/>
      <c r="G5" s="29"/>
      <c r="H5" s="31"/>
      <c r="I5" s="24" t="s">
        <v>6</v>
      </c>
      <c r="J5" s="22"/>
      <c r="K5" s="22"/>
      <c r="L5" s="22"/>
      <c r="M5" s="22"/>
      <c r="N5" s="22"/>
      <c r="O5" s="22"/>
      <c r="P5" s="32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33"/>
      <c r="AC5" s="27"/>
      <c r="AD5" s="1"/>
      <c r="AE5" s="1"/>
      <c r="AF5" s="1"/>
      <c r="AG5" s="1"/>
      <c r="AH5" s="1"/>
      <c r="AI5" s="1"/>
      <c r="AJ5" s="1"/>
      <c r="AK5" s="1"/>
      <c r="AL5" s="34"/>
      <c r="AM5" s="1"/>
      <c r="AN5" s="1"/>
      <c r="AO5" s="1"/>
      <c r="AP5" s="1"/>
      <c r="AQ5" s="1"/>
      <c r="AR5" s="1"/>
    </row>
    <row r="6" ht="21.0" customHeight="1">
      <c r="A6" s="35"/>
      <c r="B6" s="18" t="s">
        <v>7</v>
      </c>
      <c r="C6" s="36"/>
      <c r="D6" s="36"/>
      <c r="E6" s="30" t="s">
        <v>8</v>
      </c>
      <c r="F6" s="36"/>
      <c r="G6" s="36"/>
      <c r="H6" s="37"/>
      <c r="I6" s="24" t="s">
        <v>9</v>
      </c>
      <c r="J6" s="22"/>
      <c r="K6" s="22"/>
      <c r="L6" s="22"/>
      <c r="M6" s="22"/>
      <c r="N6" s="22"/>
      <c r="O6" s="22"/>
      <c r="P6" s="25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</row>
    <row r="7" ht="21.0" customHeight="1">
      <c r="A7" s="35"/>
      <c r="B7" s="36"/>
      <c r="C7" s="36"/>
      <c r="D7" s="36"/>
      <c r="E7" s="36"/>
      <c r="F7" s="36"/>
      <c r="G7" s="36"/>
      <c r="H7" s="37"/>
      <c r="I7" s="38"/>
      <c r="J7" s="36"/>
      <c r="K7" s="36"/>
      <c r="L7" s="36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</row>
    <row r="8" ht="21.0" customHeight="1">
      <c r="A8" s="39"/>
      <c r="B8" s="40" t="s">
        <v>10</v>
      </c>
      <c r="C8" s="40"/>
      <c r="D8" s="41"/>
      <c r="E8" s="41"/>
      <c r="F8" s="41"/>
      <c r="G8" s="41" t="s">
        <v>11</v>
      </c>
      <c r="H8" s="41"/>
      <c r="I8" s="42" t="s">
        <v>12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4"/>
      <c r="X8" s="45" t="s">
        <v>13</v>
      </c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4"/>
      <c r="AM8" s="46"/>
      <c r="AN8" s="43"/>
      <c r="AO8" s="43"/>
      <c r="AP8" s="43"/>
      <c r="AQ8" s="43"/>
      <c r="AR8" s="43"/>
    </row>
    <row r="9" ht="24.75" customHeight="1">
      <c r="A9" s="47"/>
      <c r="B9" s="48"/>
      <c r="C9" s="48"/>
      <c r="D9" s="49"/>
      <c r="E9" s="49"/>
      <c r="F9" s="49"/>
      <c r="G9" s="49"/>
      <c r="H9" s="49"/>
      <c r="I9" s="50" t="s">
        <v>14</v>
      </c>
      <c r="J9" s="51"/>
      <c r="K9" s="51"/>
      <c r="L9" s="51"/>
      <c r="M9" s="51"/>
      <c r="N9" s="52"/>
      <c r="O9" s="51"/>
      <c r="P9" s="51"/>
      <c r="Q9" s="51"/>
      <c r="R9" s="51"/>
      <c r="S9" s="53"/>
      <c r="T9" s="51"/>
      <c r="U9" s="51"/>
      <c r="V9" s="51"/>
      <c r="W9" s="54"/>
      <c r="X9" s="55"/>
      <c r="Y9" s="51"/>
      <c r="Z9" s="51"/>
      <c r="AA9" s="51"/>
      <c r="AB9" s="51"/>
      <c r="AC9" s="53"/>
      <c r="AD9" s="51"/>
      <c r="AE9" s="51"/>
      <c r="AF9" s="51"/>
      <c r="AG9" s="51"/>
      <c r="AH9" s="53"/>
      <c r="AI9" s="51"/>
      <c r="AJ9" s="51"/>
      <c r="AK9" s="51"/>
      <c r="AL9" s="54"/>
      <c r="AM9" s="55"/>
      <c r="AN9" s="51"/>
      <c r="AO9" s="51"/>
      <c r="AP9" s="51"/>
      <c r="AQ9" s="51"/>
      <c r="AR9" s="56"/>
    </row>
    <row r="10" ht="21.0" customHeight="1">
      <c r="A10" s="57"/>
      <c r="B10" s="58">
        <v>1.0</v>
      </c>
      <c r="C10" s="59"/>
      <c r="D10" s="60" t="s">
        <v>15</v>
      </c>
      <c r="E10" s="61"/>
      <c r="F10" s="61"/>
      <c r="G10" s="62" t="s">
        <v>16</v>
      </c>
      <c r="H10" s="63"/>
      <c r="I10" s="64"/>
      <c r="J10" s="65"/>
      <c r="K10" s="66"/>
      <c r="L10" s="67"/>
      <c r="M10" s="67"/>
      <c r="N10" s="68"/>
      <c r="O10" s="69"/>
      <c r="P10" s="69"/>
      <c r="Q10" s="69"/>
      <c r="R10" s="70"/>
      <c r="S10" s="71"/>
      <c r="T10" s="71"/>
      <c r="U10" s="71"/>
      <c r="V10" s="71"/>
      <c r="W10" s="72"/>
      <c r="X10" s="73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2"/>
      <c r="AM10" s="73"/>
      <c r="AN10" s="74"/>
      <c r="AO10" s="74"/>
      <c r="AP10" s="75"/>
      <c r="AQ10" s="76"/>
      <c r="AR10" s="77"/>
    </row>
    <row r="11" ht="21.0" customHeight="1">
      <c r="A11" s="35"/>
      <c r="B11" s="78"/>
      <c r="C11" s="59"/>
      <c r="D11" s="79"/>
      <c r="G11" s="62" t="s">
        <v>17</v>
      </c>
      <c r="H11" s="63"/>
      <c r="I11" s="80"/>
      <c r="J11" s="81"/>
      <c r="K11" s="82"/>
      <c r="L11" s="82"/>
      <c r="M11" s="82"/>
      <c r="N11" s="68"/>
      <c r="O11" s="69"/>
      <c r="P11" s="69"/>
      <c r="Q11" s="69"/>
      <c r="R11" s="70"/>
      <c r="S11" s="83"/>
      <c r="T11" s="84"/>
      <c r="U11" s="82"/>
      <c r="V11" s="82"/>
      <c r="W11" s="85"/>
      <c r="X11" s="86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5"/>
      <c r="AM11" s="86"/>
      <c r="AN11" s="82"/>
      <c r="AO11" s="82"/>
      <c r="AP11" s="87"/>
      <c r="AQ11" s="88"/>
      <c r="AR11" s="89"/>
    </row>
    <row r="12" ht="21.0" customHeight="1">
      <c r="A12" s="35"/>
      <c r="B12" s="78"/>
      <c r="C12" s="90"/>
      <c r="D12" s="91"/>
      <c r="E12" s="92"/>
      <c r="F12" s="92"/>
      <c r="G12" s="93" t="s">
        <v>18</v>
      </c>
      <c r="H12" s="94"/>
      <c r="I12" s="95"/>
      <c r="J12" s="96"/>
      <c r="K12" s="97"/>
      <c r="L12" s="97"/>
      <c r="M12" s="97"/>
      <c r="N12" s="68"/>
      <c r="O12" s="69"/>
      <c r="P12" s="69"/>
      <c r="Q12" s="69"/>
      <c r="R12" s="70"/>
      <c r="S12" s="97"/>
      <c r="T12" s="98"/>
      <c r="U12" s="99"/>
      <c r="V12" s="99"/>
      <c r="W12" s="99"/>
      <c r="X12" s="99"/>
      <c r="Y12" s="100"/>
      <c r="Z12" s="100"/>
      <c r="AA12" s="100"/>
      <c r="AB12" s="100"/>
      <c r="AC12" s="97"/>
      <c r="AD12" s="97"/>
      <c r="AE12" s="97"/>
      <c r="AF12" s="97"/>
      <c r="AG12" s="97"/>
      <c r="AH12" s="97"/>
      <c r="AI12" s="97"/>
      <c r="AJ12" s="97"/>
      <c r="AK12" s="97"/>
      <c r="AL12" s="101"/>
      <c r="AM12" s="102"/>
      <c r="AN12" s="97"/>
      <c r="AO12" s="97"/>
      <c r="AP12" s="103"/>
      <c r="AQ12" s="88"/>
      <c r="AR12" s="104"/>
    </row>
    <row r="13" ht="21.0" customHeight="1">
      <c r="A13" s="35"/>
      <c r="B13" s="105">
        <v>2.0</v>
      </c>
      <c r="C13" s="59"/>
      <c r="D13" s="106" t="s">
        <v>19</v>
      </c>
      <c r="E13" s="61"/>
      <c r="F13" s="61"/>
      <c r="G13" s="107" t="s">
        <v>20</v>
      </c>
      <c r="H13" s="63"/>
      <c r="I13" s="64"/>
      <c r="J13" s="108"/>
      <c r="K13" s="109"/>
      <c r="L13" s="109"/>
      <c r="M13" s="109"/>
      <c r="N13" s="68"/>
      <c r="O13" s="69"/>
      <c r="P13" s="69"/>
      <c r="Q13" s="69"/>
      <c r="R13" s="70"/>
      <c r="S13" s="109"/>
      <c r="T13" s="109"/>
      <c r="U13" s="109"/>
      <c r="V13" s="109"/>
      <c r="W13" s="110"/>
      <c r="X13" s="111"/>
      <c r="Y13" s="69"/>
      <c r="Z13" s="69"/>
      <c r="AA13" s="69"/>
      <c r="AB13" s="69"/>
      <c r="AC13" s="70"/>
      <c r="AD13" s="109"/>
      <c r="AE13" s="109"/>
      <c r="AF13" s="109"/>
      <c r="AG13" s="109"/>
      <c r="AH13" s="109"/>
      <c r="AI13" s="109"/>
      <c r="AJ13" s="109"/>
      <c r="AK13" s="109"/>
      <c r="AL13" s="110"/>
      <c r="AM13" s="112"/>
      <c r="AN13" s="109"/>
      <c r="AO13" s="109"/>
      <c r="AP13" s="113"/>
      <c r="AQ13" s="88"/>
      <c r="AR13" s="114"/>
    </row>
    <row r="14" ht="21.0" customHeight="1">
      <c r="A14" s="35"/>
      <c r="B14" s="78"/>
      <c r="C14" s="59"/>
      <c r="D14" s="79"/>
      <c r="G14" s="107" t="s">
        <v>21</v>
      </c>
      <c r="H14" s="63"/>
      <c r="I14" s="115">
        <v>8.0</v>
      </c>
      <c r="J14" s="116"/>
      <c r="K14" s="117"/>
      <c r="L14" s="117"/>
      <c r="M14" s="117"/>
      <c r="N14" s="68"/>
      <c r="O14" s="69"/>
      <c r="P14" s="69"/>
      <c r="Q14" s="69"/>
      <c r="R14" s="70"/>
      <c r="S14" s="117"/>
      <c r="T14" s="117"/>
      <c r="U14" s="117"/>
      <c r="V14" s="117"/>
      <c r="W14" s="118"/>
      <c r="X14" s="119"/>
      <c r="Y14" s="117"/>
      <c r="Z14" s="117"/>
      <c r="AA14" s="120"/>
      <c r="AB14" s="121"/>
      <c r="AC14" s="121"/>
      <c r="AD14" s="121"/>
      <c r="AE14" s="82"/>
      <c r="AF14" s="82"/>
      <c r="AG14" s="117"/>
      <c r="AH14" s="117"/>
      <c r="AI14" s="117"/>
      <c r="AJ14" s="117"/>
      <c r="AK14" s="117"/>
      <c r="AL14" s="118"/>
      <c r="AM14" s="119"/>
      <c r="AN14" s="117"/>
      <c r="AO14" s="117"/>
      <c r="AP14" s="122"/>
      <c r="AQ14" s="88"/>
      <c r="AR14" s="123"/>
    </row>
    <row r="15" ht="21.0" customHeight="1">
      <c r="A15" s="35"/>
      <c r="B15" s="78"/>
      <c r="C15" s="59"/>
      <c r="D15" s="79"/>
      <c r="G15" s="107" t="s">
        <v>22</v>
      </c>
      <c r="H15" s="63"/>
      <c r="I15" s="80">
        <v>1.0</v>
      </c>
      <c r="J15" s="116"/>
      <c r="K15" s="117"/>
      <c r="L15" s="117"/>
      <c r="M15" s="117"/>
      <c r="N15" s="68"/>
      <c r="O15" s="69"/>
      <c r="P15" s="69"/>
      <c r="Q15" s="69"/>
      <c r="R15" s="70"/>
      <c r="S15" s="117"/>
      <c r="T15" s="117"/>
      <c r="U15" s="117"/>
      <c r="V15" s="117"/>
      <c r="W15" s="118"/>
      <c r="X15" s="119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8"/>
      <c r="AM15" s="119"/>
      <c r="AN15" s="117"/>
      <c r="AO15" s="117"/>
      <c r="AP15" s="122"/>
      <c r="AQ15" s="88"/>
      <c r="AR15" s="123"/>
    </row>
    <row r="16" ht="21.0" customHeight="1">
      <c r="A16" s="35"/>
      <c r="B16" s="78"/>
      <c r="C16" s="59"/>
      <c r="D16" s="79"/>
      <c r="G16" s="107" t="s">
        <v>23</v>
      </c>
      <c r="H16" s="63"/>
      <c r="I16" s="80">
        <v>1.0</v>
      </c>
      <c r="J16" s="116"/>
      <c r="K16" s="117"/>
      <c r="L16" s="117"/>
      <c r="M16" s="117"/>
      <c r="N16" s="124"/>
      <c r="O16" s="69"/>
      <c r="P16" s="69"/>
      <c r="Q16" s="69"/>
      <c r="R16" s="70"/>
      <c r="S16" s="117"/>
      <c r="T16" s="117"/>
      <c r="U16" s="117"/>
      <c r="V16" s="117"/>
      <c r="W16" s="118"/>
      <c r="X16" s="119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8"/>
      <c r="AM16" s="119"/>
      <c r="AN16" s="117"/>
      <c r="AO16" s="117"/>
      <c r="AP16" s="122"/>
      <c r="AQ16" s="88"/>
      <c r="AR16" s="123"/>
    </row>
    <row r="17" ht="21.0" customHeight="1">
      <c r="A17" s="35"/>
      <c r="B17" s="78"/>
      <c r="C17" s="59"/>
      <c r="D17" s="79"/>
      <c r="G17" s="107" t="s">
        <v>24</v>
      </c>
      <c r="H17" s="63"/>
      <c r="I17" s="125"/>
      <c r="J17" s="126"/>
      <c r="K17" s="127"/>
      <c r="L17" s="127"/>
      <c r="M17" s="127"/>
      <c r="N17" s="124"/>
      <c r="O17" s="69"/>
      <c r="P17" s="69"/>
      <c r="Q17" s="69"/>
      <c r="R17" s="70"/>
      <c r="S17" s="127"/>
      <c r="T17" s="127"/>
      <c r="U17" s="127"/>
      <c r="V17" s="127"/>
      <c r="W17" s="128"/>
      <c r="X17" s="129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8"/>
      <c r="AM17" s="129"/>
      <c r="AN17" s="127"/>
      <c r="AO17" s="127"/>
      <c r="AP17" s="130"/>
      <c r="AQ17" s="88"/>
      <c r="AR17" s="123"/>
    </row>
    <row r="18" ht="21.0" customHeight="1">
      <c r="A18" s="35"/>
      <c r="B18" s="78"/>
      <c r="C18" s="131"/>
      <c r="D18" s="132"/>
      <c r="E18" s="133"/>
      <c r="F18" s="133"/>
      <c r="G18" s="134" t="s">
        <v>25</v>
      </c>
      <c r="H18" s="135"/>
      <c r="I18" s="136"/>
      <c r="J18" s="137"/>
      <c r="K18" s="138"/>
      <c r="L18" s="138"/>
      <c r="M18" s="138"/>
      <c r="N18" s="124"/>
      <c r="O18" s="69"/>
      <c r="P18" s="69"/>
      <c r="Q18" s="69"/>
      <c r="R18" s="70"/>
      <c r="S18" s="138"/>
      <c r="T18" s="138"/>
      <c r="U18" s="138"/>
      <c r="V18" s="138"/>
      <c r="W18" s="139"/>
      <c r="X18" s="140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9"/>
      <c r="AM18" s="140"/>
      <c r="AN18" s="138"/>
      <c r="AO18" s="138"/>
      <c r="AP18" s="141"/>
      <c r="AQ18" s="88"/>
      <c r="AR18" s="142"/>
    </row>
    <row r="19" ht="21.0" customHeight="1">
      <c r="A19" s="35"/>
      <c r="B19" s="143">
        <v>3.0</v>
      </c>
      <c r="C19" s="59"/>
      <c r="D19" s="144" t="s">
        <v>26</v>
      </c>
      <c r="E19" s="61"/>
      <c r="F19" s="61"/>
      <c r="G19" s="145" t="s">
        <v>27</v>
      </c>
      <c r="H19" s="63"/>
      <c r="I19" s="64">
        <v>4.0</v>
      </c>
      <c r="J19" s="146"/>
      <c r="K19" s="147"/>
      <c r="L19" s="147"/>
      <c r="M19" s="147"/>
      <c r="N19" s="124"/>
      <c r="O19" s="69"/>
      <c r="P19" s="69"/>
      <c r="Q19" s="69"/>
      <c r="R19" s="70"/>
      <c r="S19" s="147"/>
      <c r="T19" s="147"/>
      <c r="U19" s="147"/>
      <c r="V19" s="147"/>
      <c r="W19" s="148"/>
      <c r="X19" s="149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8"/>
      <c r="AM19" s="149"/>
      <c r="AN19" s="147"/>
      <c r="AO19" s="147"/>
      <c r="AP19" s="150"/>
      <c r="AQ19" s="88"/>
      <c r="AR19" s="151"/>
    </row>
    <row r="20" ht="21.0" customHeight="1">
      <c r="A20" s="35"/>
      <c r="B20" s="78"/>
      <c r="C20" s="59"/>
      <c r="D20" s="79"/>
      <c r="G20" s="145" t="s">
        <v>28</v>
      </c>
      <c r="H20" s="63"/>
      <c r="I20" s="80">
        <v>40.0</v>
      </c>
      <c r="J20" s="152"/>
      <c r="K20" s="153"/>
      <c r="L20" s="153"/>
      <c r="M20" s="153"/>
      <c r="N20" s="124"/>
      <c r="O20" s="69"/>
      <c r="P20" s="69"/>
      <c r="Q20" s="69"/>
      <c r="R20" s="70"/>
      <c r="S20" s="154"/>
      <c r="T20" s="154"/>
      <c r="U20" s="154"/>
      <c r="V20" s="154"/>
      <c r="W20" s="155"/>
      <c r="X20" s="156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5"/>
      <c r="AM20" s="156"/>
      <c r="AN20" s="154"/>
      <c r="AO20" s="154"/>
      <c r="AP20" s="157"/>
      <c r="AQ20" s="88"/>
      <c r="AR20" s="158"/>
    </row>
    <row r="21" ht="21.0" customHeight="1">
      <c r="A21" s="35"/>
      <c r="B21" s="78"/>
      <c r="C21" s="59"/>
      <c r="D21" s="79"/>
      <c r="G21" s="145" t="s">
        <v>29</v>
      </c>
      <c r="H21" s="63"/>
      <c r="I21" s="80">
        <v>1.0</v>
      </c>
      <c r="J21" s="152"/>
      <c r="K21" s="153"/>
      <c r="L21" s="153"/>
      <c r="M21" s="153"/>
      <c r="N21" s="124"/>
      <c r="O21" s="69"/>
      <c r="P21" s="69"/>
      <c r="Q21" s="69"/>
      <c r="R21" s="70"/>
      <c r="S21" s="153"/>
      <c r="T21" s="153"/>
      <c r="U21" s="153"/>
      <c r="V21" s="153"/>
      <c r="W21" s="159"/>
      <c r="X21" s="160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9"/>
      <c r="AM21" s="160"/>
      <c r="AN21" s="153"/>
      <c r="AO21" s="153"/>
      <c r="AP21" s="161"/>
      <c r="AQ21" s="88"/>
      <c r="AR21" s="162"/>
    </row>
    <row r="22" ht="21.0" customHeight="1">
      <c r="A22" s="35"/>
      <c r="B22" s="78"/>
      <c r="C22" s="59"/>
      <c r="D22" s="79"/>
      <c r="G22" s="145" t="s">
        <v>30</v>
      </c>
      <c r="H22" s="44"/>
      <c r="I22" s="80">
        <v>24.0</v>
      </c>
      <c r="J22" s="152"/>
      <c r="K22" s="153"/>
      <c r="L22" s="153"/>
      <c r="M22" s="153"/>
      <c r="N22" s="163"/>
      <c r="O22" s="164"/>
      <c r="P22" s="164"/>
      <c r="Q22" s="164"/>
      <c r="R22" s="165"/>
      <c r="S22" s="153"/>
      <c r="T22" s="153"/>
      <c r="U22" s="153"/>
      <c r="V22" s="153"/>
      <c r="W22" s="159"/>
      <c r="X22" s="160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9"/>
      <c r="AM22" s="160"/>
      <c r="AN22" s="153"/>
      <c r="AO22" s="153"/>
      <c r="AP22" s="161"/>
      <c r="AQ22" s="88"/>
      <c r="AR22" s="162"/>
    </row>
    <row r="23" ht="21.0" customHeight="1">
      <c r="A23" s="35"/>
      <c r="B23" s="78"/>
      <c r="C23" s="59"/>
      <c r="D23" s="79"/>
      <c r="G23" s="145" t="s">
        <v>31</v>
      </c>
      <c r="H23" s="63"/>
      <c r="I23" s="80">
        <v>1.0</v>
      </c>
      <c r="J23" s="152"/>
      <c r="K23" s="153"/>
      <c r="L23" s="153"/>
      <c r="M23" s="153"/>
      <c r="N23" s="124"/>
      <c r="O23" s="69"/>
      <c r="P23" s="69"/>
      <c r="Q23" s="69"/>
      <c r="R23" s="70"/>
      <c r="S23" s="153"/>
      <c r="T23" s="153"/>
      <c r="U23" s="153"/>
      <c r="V23" s="153"/>
      <c r="W23" s="159"/>
      <c r="X23" s="160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9"/>
      <c r="AM23" s="160"/>
      <c r="AN23" s="153"/>
      <c r="AO23" s="153"/>
      <c r="AP23" s="161"/>
      <c r="AQ23" s="88"/>
      <c r="AR23" s="162"/>
    </row>
    <row r="24" ht="21.0" customHeight="1">
      <c r="A24" s="35"/>
      <c r="B24" s="78"/>
      <c r="C24" s="59"/>
      <c r="D24" s="79"/>
      <c r="G24" s="145" t="s">
        <v>32</v>
      </c>
      <c r="H24" s="44"/>
      <c r="I24" s="125">
        <v>24.0</v>
      </c>
      <c r="J24" s="166"/>
      <c r="K24" s="167"/>
      <c r="L24" s="167"/>
      <c r="M24" s="167"/>
      <c r="N24" s="163"/>
      <c r="O24" s="164"/>
      <c r="P24" s="164"/>
      <c r="Q24" s="164"/>
      <c r="R24" s="165"/>
      <c r="S24" s="167"/>
      <c r="T24" s="167"/>
      <c r="U24" s="167"/>
      <c r="V24" s="167"/>
      <c r="W24" s="168"/>
      <c r="X24" s="169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8"/>
      <c r="AM24" s="169"/>
      <c r="AN24" s="167"/>
      <c r="AO24" s="167"/>
      <c r="AP24" s="170"/>
      <c r="AQ24" s="88"/>
      <c r="AR24" s="171"/>
    </row>
    <row r="25" ht="21.0" customHeight="1">
      <c r="A25" s="35"/>
      <c r="B25" s="78"/>
      <c r="C25" s="59"/>
      <c r="D25" s="79"/>
      <c r="G25" s="145" t="s">
        <v>33</v>
      </c>
      <c r="H25" s="44"/>
      <c r="I25" s="125">
        <v>120.0</v>
      </c>
      <c r="J25" s="166"/>
      <c r="K25" s="167"/>
      <c r="L25" s="167"/>
      <c r="M25" s="167"/>
      <c r="N25" s="163"/>
      <c r="O25" s="164"/>
      <c r="P25" s="164"/>
      <c r="Q25" s="164"/>
      <c r="R25" s="165"/>
      <c r="S25" s="167"/>
      <c r="T25" s="167"/>
      <c r="U25" s="167"/>
      <c r="V25" s="167"/>
      <c r="W25" s="168"/>
      <c r="X25" s="169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8"/>
      <c r="AM25" s="169"/>
      <c r="AN25" s="167"/>
      <c r="AO25" s="167"/>
      <c r="AP25" s="170"/>
      <c r="AQ25" s="88"/>
      <c r="AR25" s="171"/>
    </row>
    <row r="26" ht="21.0" customHeight="1">
      <c r="A26" s="35"/>
      <c r="B26" s="78"/>
      <c r="C26" s="59"/>
      <c r="D26" s="79"/>
      <c r="G26" s="172" t="s">
        <v>34</v>
      </c>
      <c r="H26" s="173"/>
      <c r="I26" s="174">
        <v>20.0</v>
      </c>
      <c r="J26" s="166"/>
      <c r="K26" s="167"/>
      <c r="L26" s="167"/>
      <c r="M26" s="167"/>
      <c r="N26" s="163"/>
      <c r="O26" s="164"/>
      <c r="P26" s="164"/>
      <c r="Q26" s="164"/>
      <c r="R26" s="165"/>
      <c r="S26" s="167"/>
      <c r="T26" s="167"/>
      <c r="U26" s="167"/>
      <c r="V26" s="167"/>
      <c r="W26" s="168"/>
      <c r="X26" s="169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8"/>
      <c r="AM26" s="169"/>
      <c r="AN26" s="167"/>
      <c r="AO26" s="167"/>
      <c r="AP26" s="170"/>
      <c r="AQ26" s="88"/>
      <c r="AR26" s="171"/>
    </row>
    <row r="27" ht="21.0" customHeight="1">
      <c r="A27" s="35"/>
      <c r="B27" s="78"/>
      <c r="C27" s="175"/>
      <c r="D27" s="79"/>
      <c r="G27" s="176" t="s">
        <v>35</v>
      </c>
      <c r="I27" s="177">
        <v>129.0</v>
      </c>
      <c r="J27" s="178"/>
      <c r="K27" s="179"/>
      <c r="L27" s="179"/>
      <c r="M27" s="179"/>
      <c r="N27" s="180"/>
      <c r="O27" s="181"/>
      <c r="P27" s="181"/>
      <c r="Q27" s="181"/>
      <c r="R27" s="182"/>
      <c r="S27" s="179"/>
      <c r="T27" s="179"/>
      <c r="U27" s="179"/>
      <c r="V27" s="179"/>
      <c r="W27" s="183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83"/>
      <c r="AM27" s="184"/>
      <c r="AN27" s="179"/>
      <c r="AO27" s="179"/>
      <c r="AP27" s="185"/>
      <c r="AQ27" s="88"/>
      <c r="AR27" s="186"/>
    </row>
    <row r="28" ht="21.0" customHeight="1">
      <c r="A28" s="35"/>
      <c r="B28" s="78"/>
      <c r="C28" s="175"/>
      <c r="D28" s="79"/>
      <c r="G28" s="176" t="s">
        <v>36</v>
      </c>
      <c r="I28" s="177">
        <v>216.0</v>
      </c>
      <c r="J28" s="178"/>
      <c r="K28" s="179"/>
      <c r="L28" s="179"/>
      <c r="M28" s="179"/>
      <c r="N28" s="180"/>
      <c r="O28" s="181"/>
      <c r="P28" s="181"/>
      <c r="Q28" s="181"/>
      <c r="R28" s="182"/>
      <c r="S28" s="179"/>
      <c r="T28" s="179"/>
      <c r="U28" s="179"/>
      <c r="V28" s="179"/>
      <c r="W28" s="183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83"/>
      <c r="AM28" s="184"/>
      <c r="AN28" s="179"/>
      <c r="AO28" s="179"/>
      <c r="AP28" s="185"/>
      <c r="AQ28" s="88"/>
      <c r="AR28" s="186"/>
    </row>
    <row r="29" ht="21.0" customHeight="1">
      <c r="A29" s="35"/>
      <c r="B29" s="78"/>
      <c r="C29" s="175"/>
      <c r="D29" s="79"/>
      <c r="G29" s="176" t="s">
        <v>37</v>
      </c>
      <c r="I29" s="177">
        <v>112.0</v>
      </c>
      <c r="J29" s="178"/>
      <c r="K29" s="179"/>
      <c r="L29" s="179"/>
      <c r="M29" s="179"/>
      <c r="N29" s="180"/>
      <c r="O29" s="181"/>
      <c r="P29" s="181"/>
      <c r="Q29" s="181"/>
      <c r="R29" s="182"/>
      <c r="S29" s="179"/>
      <c r="T29" s="179"/>
      <c r="U29" s="179"/>
      <c r="V29" s="179"/>
      <c r="W29" s="183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83"/>
      <c r="AM29" s="184"/>
      <c r="AN29" s="179"/>
      <c r="AO29" s="179"/>
      <c r="AP29" s="185"/>
      <c r="AQ29" s="88"/>
      <c r="AR29" s="186"/>
    </row>
    <row r="30" ht="21.0" customHeight="1">
      <c r="A30" s="187"/>
      <c r="B30" s="78"/>
      <c r="C30" s="188"/>
      <c r="D30" s="79"/>
      <c r="G30" s="176" t="s">
        <v>38</v>
      </c>
      <c r="I30" s="177">
        <v>24.0</v>
      </c>
      <c r="J30" s="189"/>
      <c r="K30" s="190"/>
      <c r="L30" s="190"/>
      <c r="M30" s="190"/>
      <c r="N30" s="191"/>
      <c r="O30" s="192"/>
      <c r="P30" s="192"/>
      <c r="Q30" s="192"/>
      <c r="R30" s="193"/>
      <c r="S30" s="190"/>
      <c r="T30" s="190"/>
      <c r="U30" s="190"/>
      <c r="V30" s="190"/>
      <c r="W30" s="194"/>
      <c r="X30" s="195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4"/>
      <c r="AM30" s="195"/>
      <c r="AN30" s="190"/>
      <c r="AO30" s="190"/>
      <c r="AP30" s="196"/>
      <c r="AQ30" s="88"/>
      <c r="AR30" s="197"/>
    </row>
    <row r="31" ht="21.0" customHeight="1">
      <c r="A31" s="35"/>
      <c r="B31" s="198">
        <v>4.0</v>
      </c>
      <c r="C31" s="59"/>
      <c r="D31" s="199" t="s">
        <v>39</v>
      </c>
      <c r="E31" s="61"/>
      <c r="F31" s="61"/>
      <c r="G31" s="200" t="s">
        <v>40</v>
      </c>
      <c r="H31" s="201"/>
      <c r="I31" s="202">
        <f t="shared" ref="I31:I34" si="1">sum(I$24:I$30)*2.5%</f>
        <v>16.125</v>
      </c>
      <c r="J31" s="146"/>
      <c r="K31" s="147"/>
      <c r="L31" s="147"/>
      <c r="M31" s="147"/>
      <c r="N31" s="124"/>
      <c r="O31" s="69"/>
      <c r="P31" s="69"/>
      <c r="Q31" s="69"/>
      <c r="R31" s="70"/>
      <c r="S31" s="147"/>
      <c r="T31" s="147"/>
      <c r="U31" s="147"/>
      <c r="V31" s="147"/>
      <c r="W31" s="148"/>
      <c r="X31" s="149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8"/>
      <c r="AM31" s="149"/>
      <c r="AN31" s="147"/>
      <c r="AO31" s="147"/>
      <c r="AP31" s="150"/>
      <c r="AQ31" s="88"/>
      <c r="AR31" s="151"/>
    </row>
    <row r="32" ht="21.0" customHeight="1">
      <c r="A32" s="35"/>
      <c r="B32" s="78"/>
      <c r="C32" s="59"/>
      <c r="D32" s="79"/>
      <c r="G32" s="203" t="s">
        <v>41</v>
      </c>
      <c r="H32" s="63"/>
      <c r="I32" s="64">
        <f t="shared" si="1"/>
        <v>16.125</v>
      </c>
      <c r="J32" s="152"/>
      <c r="K32" s="153"/>
      <c r="L32" s="153"/>
      <c r="M32" s="153"/>
      <c r="N32" s="124"/>
      <c r="O32" s="69"/>
      <c r="P32" s="69"/>
      <c r="Q32" s="69"/>
      <c r="R32" s="70"/>
      <c r="S32" s="153"/>
      <c r="T32" s="153"/>
      <c r="U32" s="153"/>
      <c r="V32" s="153"/>
      <c r="W32" s="159"/>
      <c r="X32" s="160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9"/>
      <c r="AM32" s="160"/>
      <c r="AN32" s="153"/>
      <c r="AO32" s="153"/>
      <c r="AP32" s="161"/>
      <c r="AQ32" s="88"/>
      <c r="AR32" s="162"/>
    </row>
    <row r="33" ht="21.0" customHeight="1">
      <c r="A33" s="35"/>
      <c r="B33" s="78"/>
      <c r="C33" s="59"/>
      <c r="D33" s="79"/>
      <c r="G33" s="203" t="s">
        <v>42</v>
      </c>
      <c r="H33" s="63"/>
      <c r="I33" s="64">
        <f t="shared" si="1"/>
        <v>16.125</v>
      </c>
      <c r="J33" s="152"/>
      <c r="K33" s="153"/>
      <c r="L33" s="153"/>
      <c r="M33" s="153"/>
      <c r="N33" s="124"/>
      <c r="O33" s="69"/>
      <c r="P33" s="69"/>
      <c r="Q33" s="69"/>
      <c r="R33" s="70"/>
      <c r="S33" s="153"/>
      <c r="T33" s="153"/>
      <c r="U33" s="153"/>
      <c r="V33" s="153"/>
      <c r="W33" s="159"/>
      <c r="X33" s="160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9"/>
      <c r="AM33" s="160"/>
      <c r="AN33" s="153"/>
      <c r="AO33" s="153"/>
      <c r="AP33" s="161"/>
      <c r="AQ33" s="88"/>
      <c r="AR33" s="162"/>
    </row>
    <row r="34" ht="21.0" customHeight="1">
      <c r="A34" s="35"/>
      <c r="B34" s="78"/>
      <c r="C34" s="204"/>
      <c r="D34" s="205"/>
      <c r="E34" s="206"/>
      <c r="F34" s="206"/>
      <c r="G34" s="207" t="s">
        <v>43</v>
      </c>
      <c r="H34" s="208"/>
      <c r="I34" s="64">
        <f t="shared" si="1"/>
        <v>16.125</v>
      </c>
      <c r="J34" s="209"/>
      <c r="K34" s="210"/>
      <c r="L34" s="210"/>
      <c r="M34" s="210"/>
      <c r="N34" s="124"/>
      <c r="O34" s="69"/>
      <c r="P34" s="69"/>
      <c r="Q34" s="69"/>
      <c r="R34" s="70"/>
      <c r="S34" s="210"/>
      <c r="T34" s="210"/>
      <c r="U34" s="210"/>
      <c r="V34" s="210"/>
      <c r="W34" s="211"/>
      <c r="X34" s="212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1"/>
      <c r="AM34" s="212"/>
      <c r="AN34" s="210"/>
      <c r="AO34" s="210"/>
      <c r="AP34" s="213"/>
      <c r="AQ34" s="88"/>
      <c r="AR34" s="214"/>
    </row>
    <row r="35" ht="21.0" customHeight="1">
      <c r="A35" s="35"/>
      <c r="B35" s="215">
        <v>5.0</v>
      </c>
      <c r="C35" s="59"/>
      <c r="D35" s="216" t="s">
        <v>44</v>
      </c>
      <c r="E35" s="61"/>
      <c r="F35" s="61"/>
      <c r="G35" s="217" t="s">
        <v>45</v>
      </c>
      <c r="H35" s="63"/>
      <c r="I35" s="64">
        <v>8.0</v>
      </c>
      <c r="J35" s="146"/>
      <c r="K35" s="147"/>
      <c r="L35" s="147"/>
      <c r="M35" s="147"/>
      <c r="N35" s="124"/>
      <c r="O35" s="69"/>
      <c r="P35" s="69"/>
      <c r="Q35" s="69"/>
      <c r="R35" s="70"/>
      <c r="S35" s="147"/>
      <c r="T35" s="147"/>
      <c r="U35" s="147"/>
      <c r="V35" s="147"/>
      <c r="W35" s="148"/>
      <c r="X35" s="149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8"/>
      <c r="AM35" s="149"/>
      <c r="AN35" s="147"/>
      <c r="AO35" s="147"/>
      <c r="AP35" s="150"/>
      <c r="AQ35" s="88"/>
      <c r="AR35" s="151"/>
    </row>
    <row r="36" ht="21.0" customHeight="1">
      <c r="A36" s="35"/>
      <c r="B36" s="78"/>
      <c r="C36" s="59"/>
      <c r="D36" s="79"/>
      <c r="G36" s="217" t="s">
        <v>46</v>
      </c>
      <c r="H36" s="63"/>
      <c r="I36" s="80">
        <v>66.0</v>
      </c>
      <c r="J36" s="152"/>
      <c r="K36" s="153"/>
      <c r="L36" s="153"/>
      <c r="M36" s="153"/>
      <c r="N36" s="124"/>
      <c r="O36" s="69"/>
      <c r="P36" s="69"/>
      <c r="Q36" s="69"/>
      <c r="R36" s="70"/>
      <c r="S36" s="153"/>
      <c r="T36" s="153"/>
      <c r="U36" s="153"/>
      <c r="V36" s="153"/>
      <c r="W36" s="159"/>
      <c r="X36" s="160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9"/>
      <c r="AM36" s="160"/>
      <c r="AN36" s="153"/>
      <c r="AO36" s="153"/>
      <c r="AP36" s="161"/>
      <c r="AQ36" s="88"/>
      <c r="AR36" s="162"/>
    </row>
    <row r="37" ht="21.0" customHeight="1">
      <c r="A37" s="35"/>
      <c r="B37" s="78"/>
      <c r="C37" s="59"/>
      <c r="D37" s="79"/>
      <c r="G37" s="217"/>
      <c r="H37" s="63"/>
      <c r="I37" s="80"/>
      <c r="J37" s="152"/>
      <c r="K37" s="153"/>
      <c r="L37" s="153"/>
      <c r="M37" s="153"/>
      <c r="N37" s="124"/>
      <c r="O37" s="69"/>
      <c r="P37" s="69"/>
      <c r="Q37" s="69"/>
      <c r="R37" s="70"/>
      <c r="S37" s="153"/>
      <c r="T37" s="153"/>
      <c r="U37" s="153"/>
      <c r="V37" s="153"/>
      <c r="W37" s="159"/>
      <c r="X37" s="160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9"/>
      <c r="AM37" s="160"/>
      <c r="AN37" s="153"/>
      <c r="AO37" s="153"/>
      <c r="AP37" s="161"/>
      <c r="AQ37" s="88"/>
      <c r="AR37" s="162"/>
    </row>
    <row r="38" ht="21.0" customHeight="1">
      <c r="A38" s="35"/>
      <c r="B38" s="218"/>
      <c r="C38" s="218"/>
      <c r="D38" s="219"/>
      <c r="E38" s="219"/>
      <c r="F38" s="220"/>
      <c r="G38" s="221" t="s">
        <v>47</v>
      </c>
      <c r="H38" s="43"/>
      <c r="I38" s="222">
        <f>SUM(I10:I37)</f>
        <v>863.5</v>
      </c>
      <c r="J38" s="223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</row>
    <row r="39" ht="21.0" customHeight="1">
      <c r="A39" s="225"/>
      <c r="B39" s="226"/>
      <c r="C39" s="226"/>
      <c r="D39" s="227" t="s">
        <v>48</v>
      </c>
      <c r="E39" s="228" t="s">
        <v>49</v>
      </c>
      <c r="F39" s="228" t="s">
        <v>47</v>
      </c>
      <c r="G39" s="229"/>
      <c r="H39" s="229" t="s">
        <v>50</v>
      </c>
      <c r="I39" s="230"/>
      <c r="J39" s="231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2"/>
      <c r="AD39" s="232"/>
      <c r="AE39" s="232"/>
      <c r="AF39" s="232"/>
      <c r="AG39" s="232"/>
      <c r="AH39" s="232"/>
      <c r="AI39" s="232"/>
      <c r="AJ39" s="232"/>
      <c r="AK39" s="232"/>
      <c r="AL39" s="232"/>
      <c r="AM39" s="232"/>
      <c r="AN39" s="232"/>
      <c r="AO39" s="232"/>
      <c r="AP39" s="232"/>
      <c r="AQ39" s="232"/>
      <c r="AR39" s="232"/>
    </row>
    <row r="40" ht="21.0" customHeight="1">
      <c r="A40" s="35"/>
      <c r="B40" s="218"/>
      <c r="C40" s="218"/>
      <c r="D40" s="219" t="s">
        <v>51</v>
      </c>
      <c r="E40" s="233"/>
      <c r="F40" s="234">
        <f>I38</f>
        <v>863.5</v>
      </c>
      <c r="G40" s="220"/>
      <c r="H40" s="220">
        <f>ROUNDUP(F40/(5*8*5))*6</f>
        <v>30</v>
      </c>
      <c r="I40" s="235"/>
      <c r="J40" s="223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</row>
    <row r="41" ht="21.0" customHeight="1">
      <c r="A41" s="35"/>
      <c r="B41" s="35"/>
      <c r="C41" s="35"/>
      <c r="D41" s="35" t="s">
        <v>52</v>
      </c>
      <c r="E41" s="236">
        <v>5.0</v>
      </c>
      <c r="F41" s="237">
        <v>86.0</v>
      </c>
      <c r="G41" s="35"/>
      <c r="H41" s="220">
        <f>ROUNDUP(F41/(8*5*3))*3</f>
        <v>3</v>
      </c>
      <c r="I41" s="38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</row>
    <row r="42" ht="21.0" customHeight="1">
      <c r="A42" s="35"/>
      <c r="B42" s="35"/>
      <c r="C42" s="35"/>
      <c r="D42" s="35" t="s">
        <v>53</v>
      </c>
      <c r="E42" s="236">
        <v>50.0</v>
      </c>
      <c r="F42" s="234">
        <f>sum(I24:I30)*E42%</f>
        <v>322.5</v>
      </c>
      <c r="G42" s="35"/>
      <c r="H42" s="220">
        <f t="shared" ref="H42:H43" si="2">ROUNDUP(F42/(5*8*5))*6</f>
        <v>12</v>
      </c>
      <c r="I42" s="38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</row>
    <row r="43" ht="21.0" customHeight="1">
      <c r="A43" s="35"/>
      <c r="B43" s="35"/>
      <c r="C43" s="35"/>
      <c r="D43" s="35" t="s">
        <v>54</v>
      </c>
      <c r="E43" s="236">
        <v>60.0</v>
      </c>
      <c r="F43" s="234">
        <f>sum(I24:I30)*E43%</f>
        <v>387</v>
      </c>
      <c r="G43" s="35"/>
      <c r="H43" s="220">
        <f t="shared" si="2"/>
        <v>12</v>
      </c>
      <c r="I43" s="38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</row>
    <row r="44" ht="21.0" customHeight="1">
      <c r="A44" s="35"/>
      <c r="B44" s="35"/>
      <c r="C44" s="35"/>
      <c r="D44" s="35" t="s">
        <v>55</v>
      </c>
      <c r="E44" s="236"/>
      <c r="F44" s="234">
        <v>240.0</v>
      </c>
      <c r="G44" s="35"/>
      <c r="H44" s="220">
        <f>ROUNDUP(F44/(5*8*2))*3</f>
        <v>9</v>
      </c>
      <c r="I44" s="38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</row>
    <row r="45" ht="21.0" customHeight="1">
      <c r="A45" s="35"/>
      <c r="B45" s="35"/>
      <c r="C45" s="35"/>
      <c r="D45" s="35" t="s">
        <v>56</v>
      </c>
      <c r="E45" s="236"/>
      <c r="F45" s="234">
        <v>80.0</v>
      </c>
      <c r="G45" s="35"/>
      <c r="H45" s="238"/>
      <c r="I45" s="38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</row>
    <row r="46" ht="21.0" customHeight="1">
      <c r="A46" s="35"/>
      <c r="B46" s="35"/>
      <c r="C46" s="35"/>
      <c r="D46" s="35" t="s">
        <v>57</v>
      </c>
      <c r="E46" s="236">
        <v>10.0</v>
      </c>
      <c r="F46" s="234">
        <f>sum(F40:F45)*E46%</f>
        <v>197.9</v>
      </c>
      <c r="G46" s="35"/>
      <c r="H46" s="238"/>
      <c r="I46" s="38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</row>
    <row r="47" ht="21.0" customHeight="1">
      <c r="A47" s="35"/>
      <c r="B47" s="35"/>
      <c r="C47" s="35"/>
      <c r="D47" s="35" t="s">
        <v>58</v>
      </c>
      <c r="E47" s="35">
        <v>20.0</v>
      </c>
      <c r="F47" s="234">
        <f>sum(F40:F45)*E47%</f>
        <v>395.8</v>
      </c>
      <c r="G47" s="35"/>
      <c r="H47" s="238"/>
      <c r="I47" s="38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</row>
    <row r="48" ht="21.0" customHeight="1">
      <c r="A48" s="35"/>
      <c r="B48" s="35"/>
      <c r="C48" s="35"/>
      <c r="D48" s="239" t="s">
        <v>59</v>
      </c>
      <c r="E48" s="240"/>
      <c r="F48" s="240">
        <f>SUM(F40:F47)</f>
        <v>2572.7</v>
      </c>
      <c r="G48" s="241"/>
      <c r="H48" s="238"/>
      <c r="I48" s="38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</row>
    <row r="49" ht="21.0" customHeight="1">
      <c r="A49" s="35"/>
      <c r="B49" s="35"/>
      <c r="C49" s="35"/>
      <c r="D49" s="35"/>
      <c r="E49" s="35"/>
      <c r="F49" s="35"/>
      <c r="G49" s="35"/>
      <c r="H49" s="242"/>
      <c r="I49" s="38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</row>
    <row r="50" ht="21.0" customHeight="1">
      <c r="A50" s="35"/>
      <c r="B50" s="35"/>
      <c r="C50" s="35"/>
      <c r="D50" s="35"/>
      <c r="E50" s="35"/>
      <c r="F50" s="35"/>
      <c r="G50" s="35"/>
      <c r="H50" s="238"/>
      <c r="I50" s="38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</row>
    <row r="51" ht="21.0" customHeight="1">
      <c r="A51" s="35"/>
      <c r="B51" s="35"/>
      <c r="C51" s="35"/>
      <c r="D51" s="35"/>
      <c r="E51" s="35"/>
      <c r="F51" s="35"/>
      <c r="G51" s="35"/>
      <c r="H51" s="238"/>
      <c r="I51" s="38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</row>
    <row r="52" ht="21.0" customHeight="1">
      <c r="A52" s="35"/>
      <c r="B52" s="35"/>
      <c r="C52" s="35"/>
      <c r="D52" s="35"/>
      <c r="E52" s="35"/>
      <c r="F52" s="35"/>
      <c r="G52" s="35"/>
      <c r="H52" s="238"/>
      <c r="I52" s="38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</row>
    <row r="53" ht="21.0" customHeight="1">
      <c r="A53" s="35"/>
      <c r="B53" s="35"/>
      <c r="C53" s="35"/>
      <c r="D53" s="35"/>
      <c r="E53" s="35"/>
      <c r="F53" s="35"/>
      <c r="G53" s="35"/>
      <c r="H53" s="238"/>
      <c r="I53" s="38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</row>
    <row r="54" ht="21.0" customHeight="1">
      <c r="A54" s="35"/>
      <c r="B54" s="35"/>
      <c r="C54" s="35"/>
      <c r="D54" s="35"/>
      <c r="E54" s="35"/>
      <c r="F54" s="35"/>
      <c r="G54" s="35"/>
      <c r="H54" s="238"/>
      <c r="I54" s="38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</row>
    <row r="55" ht="21.0" customHeight="1">
      <c r="A55" s="35"/>
      <c r="B55" s="35"/>
      <c r="C55" s="35"/>
      <c r="D55" s="35"/>
      <c r="E55" s="35"/>
      <c r="F55" s="35"/>
      <c r="G55" s="35"/>
      <c r="H55" s="238"/>
      <c r="I55" s="38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</row>
    <row r="56" ht="21.0" customHeight="1">
      <c r="A56" s="35"/>
      <c r="B56" s="35"/>
      <c r="C56" s="35"/>
      <c r="D56" s="35"/>
      <c r="E56" s="35"/>
      <c r="F56" s="35"/>
      <c r="G56" s="35"/>
      <c r="H56" s="238"/>
      <c r="I56" s="38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</row>
    <row r="57" ht="21.0" customHeight="1">
      <c r="A57" s="35"/>
      <c r="B57" s="35"/>
      <c r="C57" s="35"/>
      <c r="D57" s="35"/>
      <c r="E57" s="35"/>
      <c r="F57" s="35"/>
      <c r="G57" s="35"/>
      <c r="H57" s="238"/>
      <c r="I57" s="38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</row>
    <row r="58" ht="21.0" customHeight="1">
      <c r="A58" s="35"/>
      <c r="B58" s="35"/>
      <c r="C58" s="35"/>
      <c r="D58" s="35"/>
      <c r="E58" s="35"/>
      <c r="F58" s="35"/>
      <c r="G58" s="35"/>
      <c r="H58" s="238"/>
      <c r="I58" s="38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</row>
    <row r="59" ht="21.0" customHeight="1">
      <c r="A59" s="35"/>
      <c r="B59" s="35"/>
      <c r="C59" s="35"/>
      <c r="D59" s="35"/>
      <c r="E59" s="35"/>
      <c r="F59" s="35"/>
      <c r="G59" s="35"/>
      <c r="H59" s="238"/>
      <c r="I59" s="38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</row>
    <row r="60" ht="21.0" customHeight="1">
      <c r="A60" s="35"/>
      <c r="B60" s="35"/>
      <c r="C60" s="35"/>
      <c r="D60" s="35"/>
      <c r="E60" s="35"/>
      <c r="F60" s="35"/>
      <c r="G60" s="35"/>
      <c r="H60" s="238"/>
      <c r="I60" s="38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</row>
    <row r="61" ht="21.0" customHeight="1">
      <c r="A61" s="35"/>
      <c r="B61" s="35"/>
      <c r="C61" s="35"/>
      <c r="D61" s="35"/>
      <c r="E61" s="35"/>
      <c r="F61" s="35"/>
      <c r="G61" s="35"/>
      <c r="H61" s="238"/>
      <c r="I61" s="38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</row>
    <row r="62" ht="21.0" customHeight="1">
      <c r="A62" s="35"/>
      <c r="B62" s="35"/>
      <c r="C62" s="35"/>
      <c r="D62" s="35"/>
      <c r="E62" s="35"/>
      <c r="F62" s="35"/>
      <c r="G62" s="35"/>
      <c r="H62" s="238"/>
      <c r="I62" s="38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</row>
    <row r="63" ht="21.0" customHeight="1">
      <c r="A63" s="35"/>
      <c r="B63" s="35"/>
      <c r="C63" s="35"/>
      <c r="D63" s="35"/>
      <c r="E63" s="35"/>
      <c r="F63" s="35"/>
      <c r="G63" s="35"/>
      <c r="H63" s="238"/>
      <c r="I63" s="38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</row>
    <row r="64" ht="21.0" customHeight="1">
      <c r="A64" s="35"/>
      <c r="B64" s="35"/>
      <c r="C64" s="35"/>
      <c r="D64" s="35"/>
      <c r="E64" s="35"/>
      <c r="F64" s="35"/>
      <c r="G64" s="35"/>
      <c r="H64" s="238"/>
      <c r="I64" s="38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</row>
    <row r="65" ht="21.0" customHeight="1">
      <c r="A65" s="35"/>
      <c r="B65" s="35"/>
      <c r="C65" s="35"/>
      <c r="D65" s="35"/>
      <c r="E65" s="35"/>
      <c r="F65" s="35"/>
      <c r="G65" s="35"/>
      <c r="H65" s="238"/>
      <c r="I65" s="38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</row>
    <row r="66" ht="21.0" customHeight="1">
      <c r="A66" s="35"/>
      <c r="B66" s="35"/>
      <c r="C66" s="35"/>
      <c r="D66" s="35"/>
      <c r="E66" s="35"/>
      <c r="F66" s="35"/>
      <c r="G66" s="35"/>
      <c r="H66" s="238"/>
      <c r="I66" s="38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</row>
    <row r="67" ht="21.0" customHeight="1">
      <c r="A67" s="35"/>
      <c r="B67" s="35"/>
      <c r="C67" s="35"/>
      <c r="D67" s="35"/>
      <c r="E67" s="35"/>
      <c r="F67" s="35"/>
      <c r="G67" s="35"/>
      <c r="H67" s="238"/>
      <c r="I67" s="38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</row>
    <row r="68" ht="21.0" customHeight="1">
      <c r="A68" s="35"/>
      <c r="B68" s="35"/>
      <c r="C68" s="35"/>
      <c r="D68" s="35"/>
      <c r="E68" s="35"/>
      <c r="F68" s="35"/>
      <c r="G68" s="35"/>
      <c r="H68" s="238"/>
      <c r="I68" s="38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</row>
    <row r="69" ht="21.0" customHeight="1">
      <c r="A69" s="35"/>
      <c r="B69" s="35"/>
      <c r="C69" s="35"/>
      <c r="D69" s="35"/>
      <c r="E69" s="35"/>
      <c r="F69" s="35"/>
      <c r="G69" s="35"/>
      <c r="H69" s="238"/>
      <c r="I69" s="38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</row>
    <row r="70" ht="21.0" customHeight="1">
      <c r="A70" s="35"/>
      <c r="B70" s="35"/>
      <c r="C70" s="35"/>
      <c r="D70" s="35"/>
      <c r="E70" s="35"/>
      <c r="F70" s="35"/>
      <c r="G70" s="35"/>
      <c r="H70" s="238"/>
      <c r="I70" s="38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</row>
    <row r="71" ht="21.0" customHeight="1">
      <c r="A71" s="35"/>
      <c r="B71" s="35"/>
      <c r="C71" s="35"/>
      <c r="D71" s="35"/>
      <c r="E71" s="243" t="s">
        <v>60</v>
      </c>
      <c r="F71" s="35"/>
      <c r="G71" s="35"/>
      <c r="H71" s="238"/>
      <c r="I71" s="38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</row>
    <row r="72" ht="21.0" customHeight="1">
      <c r="A72" s="35"/>
      <c r="B72" s="35"/>
      <c r="C72" s="35"/>
      <c r="D72" s="35"/>
      <c r="E72" s="35"/>
      <c r="F72" s="35"/>
      <c r="G72" s="35"/>
      <c r="H72" s="238"/>
      <c r="I72" s="38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</row>
    <row r="73" ht="21.0" customHeight="1">
      <c r="A73" s="35"/>
      <c r="B73" s="35"/>
      <c r="C73" s="35"/>
      <c r="D73" s="35"/>
      <c r="E73" s="35"/>
      <c r="F73" s="35"/>
      <c r="G73" s="35"/>
      <c r="H73" s="238"/>
      <c r="I73" s="38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</row>
    <row r="74" ht="21.0" customHeight="1">
      <c r="A74" s="35"/>
      <c r="B74" s="35"/>
      <c r="C74" s="35"/>
      <c r="D74" s="35"/>
      <c r="E74" s="35"/>
      <c r="F74" s="35"/>
      <c r="G74" s="35"/>
      <c r="H74" s="238"/>
      <c r="I74" s="38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</row>
    <row r="75" ht="21.0" customHeight="1">
      <c r="A75" s="35"/>
      <c r="B75" s="35"/>
      <c r="C75" s="35"/>
      <c r="D75" s="35"/>
      <c r="E75" s="35"/>
      <c r="F75" s="35"/>
      <c r="G75" s="35"/>
      <c r="H75" s="238"/>
      <c r="I75" s="38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</row>
    <row r="76" ht="21.0" customHeight="1">
      <c r="A76" s="35"/>
      <c r="B76" s="35"/>
      <c r="C76" s="35"/>
      <c r="D76" s="35"/>
      <c r="E76" s="35"/>
      <c r="F76" s="35"/>
      <c r="G76" s="35"/>
      <c r="H76" s="238"/>
      <c r="I76" s="38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</row>
    <row r="77" ht="21.0" customHeight="1">
      <c r="A77" s="35"/>
      <c r="B77" s="35"/>
      <c r="C77" s="35"/>
      <c r="D77" s="35"/>
      <c r="E77" s="35"/>
      <c r="F77" s="35"/>
      <c r="G77" s="35"/>
      <c r="H77" s="238"/>
      <c r="I77" s="38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</row>
    <row r="78" ht="21.0" customHeight="1">
      <c r="A78" s="35"/>
      <c r="B78" s="35"/>
      <c r="C78" s="35"/>
      <c r="D78" s="35"/>
      <c r="E78" s="35"/>
      <c r="F78" s="35"/>
      <c r="G78" s="35"/>
      <c r="H78" s="238"/>
      <c r="I78" s="38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</row>
    <row r="79" ht="21.0" customHeight="1">
      <c r="A79" s="35"/>
      <c r="B79" s="35"/>
      <c r="C79" s="35"/>
      <c r="D79" s="35"/>
      <c r="E79" s="35"/>
      <c r="F79" s="35"/>
      <c r="G79" s="35"/>
      <c r="H79" s="238"/>
      <c r="I79" s="38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</row>
    <row r="80" ht="21.0" customHeight="1">
      <c r="A80" s="35"/>
      <c r="B80" s="35"/>
      <c r="C80" s="35"/>
      <c r="D80" s="35"/>
      <c r="E80" s="35"/>
      <c r="F80" s="35"/>
      <c r="G80" s="35"/>
      <c r="H80" s="238"/>
      <c r="I80" s="38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</row>
    <row r="81" ht="21.0" customHeight="1">
      <c r="A81" s="35"/>
      <c r="B81" s="35"/>
      <c r="C81" s="35"/>
      <c r="D81" s="35"/>
      <c r="E81" s="35"/>
      <c r="F81" s="35"/>
      <c r="G81" s="35"/>
      <c r="H81" s="238"/>
      <c r="I81" s="38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</row>
    <row r="82" ht="21.0" customHeight="1">
      <c r="A82" s="35"/>
      <c r="B82" s="35"/>
      <c r="C82" s="35"/>
      <c r="D82" s="35"/>
      <c r="E82" s="35"/>
      <c r="F82" s="35"/>
      <c r="G82" s="35"/>
      <c r="H82" s="238"/>
      <c r="I82" s="38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</row>
    <row r="83" ht="21.0" customHeight="1">
      <c r="A83" s="35"/>
      <c r="B83" s="35"/>
      <c r="C83" s="35"/>
      <c r="D83" s="35"/>
      <c r="E83" s="35"/>
      <c r="F83" s="35"/>
      <c r="G83" s="35"/>
      <c r="H83" s="238"/>
      <c r="I83" s="38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</row>
    <row r="84" ht="21.0" customHeight="1">
      <c r="A84" s="35"/>
      <c r="B84" s="35"/>
      <c r="C84" s="35"/>
      <c r="D84" s="35"/>
      <c r="E84" s="35"/>
      <c r="F84" s="35"/>
      <c r="G84" s="35"/>
      <c r="H84" s="238"/>
      <c r="I84" s="38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</row>
    <row r="85" ht="21.0" customHeight="1">
      <c r="A85" s="35"/>
      <c r="B85" s="35"/>
      <c r="C85" s="35"/>
      <c r="D85" s="35"/>
      <c r="E85" s="35"/>
      <c r="F85" s="35"/>
      <c r="G85" s="35"/>
      <c r="H85" s="238"/>
      <c r="I85" s="38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</row>
    <row r="86" ht="21.0" customHeight="1">
      <c r="A86" s="35"/>
      <c r="B86" s="35"/>
      <c r="C86" s="35"/>
      <c r="D86" s="35"/>
      <c r="E86" s="35"/>
      <c r="F86" s="35"/>
      <c r="G86" s="35"/>
      <c r="H86" s="238"/>
      <c r="I86" s="38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</row>
    <row r="87" ht="21.0" customHeight="1">
      <c r="A87" s="35"/>
      <c r="B87" s="35"/>
      <c r="C87" s="35"/>
      <c r="D87" s="35"/>
      <c r="E87" s="35"/>
      <c r="F87" s="35"/>
      <c r="G87" s="35"/>
      <c r="H87" s="238"/>
      <c r="I87" s="38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</row>
    <row r="88" ht="21.0" customHeight="1">
      <c r="A88" s="35"/>
      <c r="B88" s="35"/>
      <c r="C88" s="35"/>
      <c r="D88" s="35"/>
      <c r="E88" s="35"/>
      <c r="F88" s="35"/>
      <c r="G88" s="35"/>
      <c r="H88" s="238"/>
      <c r="I88" s="38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</row>
    <row r="89" ht="21.0" customHeight="1">
      <c r="A89" s="35"/>
      <c r="B89" s="35"/>
      <c r="C89" s="35"/>
      <c r="D89" s="35"/>
      <c r="E89" s="35"/>
      <c r="F89" s="35"/>
      <c r="G89" s="35"/>
      <c r="H89" s="238"/>
      <c r="I89" s="38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</row>
    <row r="90" ht="21.0" customHeight="1">
      <c r="A90" s="35"/>
      <c r="B90" s="35"/>
      <c r="C90" s="35"/>
      <c r="D90" s="35"/>
      <c r="E90" s="35"/>
      <c r="F90" s="35"/>
      <c r="G90" s="35"/>
      <c r="H90" s="238"/>
      <c r="I90" s="38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</row>
    <row r="91" ht="21.0" customHeight="1">
      <c r="A91" s="35"/>
      <c r="B91" s="35"/>
      <c r="C91" s="35"/>
      <c r="D91" s="35"/>
      <c r="E91" s="35"/>
      <c r="F91" s="35"/>
      <c r="G91" s="35"/>
      <c r="H91" s="238"/>
      <c r="I91" s="38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</row>
    <row r="92" ht="21.0" customHeight="1">
      <c r="A92" s="35"/>
      <c r="B92" s="35"/>
      <c r="C92" s="35"/>
      <c r="D92" s="35"/>
      <c r="E92" s="35"/>
      <c r="F92" s="35"/>
      <c r="G92" s="35"/>
      <c r="H92" s="238"/>
      <c r="I92" s="38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</row>
    <row r="93" ht="21.0" customHeight="1">
      <c r="A93" s="35"/>
      <c r="B93" s="35"/>
      <c r="C93" s="35"/>
      <c r="D93" s="35"/>
      <c r="E93" s="35"/>
      <c r="F93" s="35"/>
      <c r="G93" s="35"/>
      <c r="H93" s="238"/>
      <c r="I93" s="38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</row>
    <row r="94" ht="21.0" customHeight="1">
      <c r="A94" s="35"/>
      <c r="B94" s="35"/>
      <c r="C94" s="35"/>
      <c r="D94" s="35"/>
      <c r="E94" s="35"/>
      <c r="F94" s="35"/>
      <c r="G94" s="35"/>
      <c r="H94" s="238"/>
      <c r="I94" s="38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</row>
    <row r="95" ht="21.0" customHeight="1">
      <c r="A95" s="35"/>
      <c r="B95" s="35"/>
      <c r="C95" s="35"/>
      <c r="D95" s="35"/>
      <c r="E95" s="35"/>
      <c r="F95" s="35"/>
      <c r="G95" s="35"/>
      <c r="H95" s="238"/>
      <c r="I95" s="38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</row>
    <row r="96" ht="21.0" customHeight="1">
      <c r="A96" s="35"/>
      <c r="B96" s="35"/>
      <c r="C96" s="35"/>
      <c r="D96" s="35"/>
      <c r="E96" s="35"/>
      <c r="F96" s="35"/>
      <c r="G96" s="35"/>
      <c r="H96" s="238"/>
      <c r="I96" s="38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</row>
    <row r="97" ht="21.0" customHeight="1">
      <c r="A97" s="35"/>
      <c r="B97" s="35"/>
      <c r="C97" s="35"/>
      <c r="D97" s="35"/>
      <c r="E97" s="35"/>
      <c r="F97" s="35"/>
      <c r="G97" s="35"/>
      <c r="H97" s="238"/>
      <c r="I97" s="38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</row>
    <row r="98" ht="21.0" customHeight="1">
      <c r="A98" s="35"/>
      <c r="B98" s="35"/>
      <c r="C98" s="35"/>
      <c r="D98" s="35"/>
      <c r="E98" s="35"/>
      <c r="F98" s="35"/>
      <c r="G98" s="35"/>
      <c r="H98" s="238"/>
      <c r="I98" s="38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</row>
    <row r="99" ht="21.0" customHeight="1">
      <c r="A99" s="35"/>
      <c r="B99" s="35"/>
      <c r="C99" s="35"/>
      <c r="D99" s="35"/>
      <c r="E99" s="35"/>
      <c r="F99" s="35"/>
      <c r="G99" s="35"/>
      <c r="H99" s="238"/>
      <c r="I99" s="38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</row>
    <row r="100" ht="21.0" customHeight="1">
      <c r="A100" s="35"/>
      <c r="B100" s="35"/>
      <c r="C100" s="35"/>
      <c r="D100" s="35"/>
      <c r="E100" s="35"/>
      <c r="F100" s="35"/>
      <c r="G100" s="35"/>
      <c r="H100" s="238"/>
      <c r="I100" s="38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</row>
    <row r="101" ht="21.0" customHeight="1">
      <c r="A101" s="35"/>
      <c r="B101" s="35"/>
      <c r="C101" s="35"/>
      <c r="D101" s="35"/>
      <c r="E101" s="35"/>
      <c r="F101" s="35"/>
      <c r="G101" s="35"/>
      <c r="H101" s="238"/>
      <c r="I101" s="38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</row>
    <row r="102" ht="21.0" customHeight="1">
      <c r="A102" s="35"/>
      <c r="B102" s="35"/>
      <c r="C102" s="35"/>
      <c r="D102" s="35"/>
      <c r="E102" s="35"/>
      <c r="F102" s="35"/>
      <c r="G102" s="35"/>
      <c r="H102" s="238"/>
      <c r="I102" s="38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</row>
    <row r="103" ht="21.0" customHeight="1">
      <c r="A103" s="35"/>
      <c r="B103" s="35"/>
      <c r="C103" s="35"/>
      <c r="D103" s="35"/>
      <c r="E103" s="35"/>
      <c r="F103" s="35"/>
      <c r="G103" s="35"/>
      <c r="H103" s="238"/>
      <c r="I103" s="38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</row>
    <row r="104" ht="21.0" customHeight="1">
      <c r="A104" s="35"/>
      <c r="B104" s="35"/>
      <c r="C104" s="35"/>
      <c r="D104" s="35"/>
      <c r="E104" s="35"/>
      <c r="F104" s="35"/>
      <c r="G104" s="35"/>
      <c r="H104" s="238"/>
      <c r="I104" s="38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</row>
    <row r="105" ht="21.0" customHeight="1">
      <c r="A105" s="35"/>
      <c r="B105" s="35"/>
      <c r="C105" s="35"/>
      <c r="D105" s="35"/>
      <c r="E105" s="35"/>
      <c r="F105" s="35"/>
      <c r="G105" s="35"/>
      <c r="H105" s="238"/>
      <c r="I105" s="38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</row>
    <row r="106" ht="21.0" customHeight="1">
      <c r="A106" s="35"/>
      <c r="B106" s="35"/>
      <c r="C106" s="35"/>
      <c r="D106" s="35"/>
      <c r="E106" s="35"/>
      <c r="F106" s="35"/>
      <c r="G106" s="35"/>
      <c r="H106" s="238"/>
      <c r="I106" s="38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</row>
    <row r="107" ht="21.0" customHeight="1">
      <c r="A107" s="35"/>
      <c r="B107" s="35"/>
      <c r="C107" s="35"/>
      <c r="D107" s="35"/>
      <c r="E107" s="35"/>
      <c r="F107" s="35"/>
      <c r="G107" s="35"/>
      <c r="H107" s="238"/>
      <c r="I107" s="38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</row>
    <row r="108" ht="21.0" customHeight="1">
      <c r="A108" s="35"/>
      <c r="B108" s="35"/>
      <c r="C108" s="35"/>
      <c r="D108" s="35"/>
      <c r="E108" s="35"/>
      <c r="F108" s="35"/>
      <c r="G108" s="35"/>
      <c r="H108" s="238"/>
      <c r="I108" s="38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</row>
    <row r="109" ht="21.0" customHeight="1">
      <c r="A109" s="35"/>
      <c r="B109" s="35"/>
      <c r="C109" s="35"/>
      <c r="D109" s="35"/>
      <c r="E109" s="35"/>
      <c r="F109" s="35"/>
      <c r="G109" s="35"/>
      <c r="H109" s="238"/>
      <c r="I109" s="38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</row>
    <row r="110" ht="21.0" customHeight="1">
      <c r="A110" s="35"/>
      <c r="B110" s="35"/>
      <c r="C110" s="35"/>
      <c r="D110" s="35"/>
      <c r="E110" s="35"/>
      <c r="F110" s="35"/>
      <c r="G110" s="35"/>
      <c r="H110" s="238"/>
      <c r="I110" s="38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</row>
    <row r="111" ht="21.0" customHeight="1">
      <c r="A111" s="35"/>
      <c r="B111" s="35"/>
      <c r="C111" s="35"/>
      <c r="D111" s="35"/>
      <c r="E111" s="35"/>
      <c r="F111" s="35"/>
      <c r="G111" s="35"/>
      <c r="H111" s="238"/>
      <c r="I111" s="38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</row>
    <row r="112" ht="21.0" customHeight="1">
      <c r="A112" s="35"/>
      <c r="B112" s="35"/>
      <c r="C112" s="35"/>
      <c r="D112" s="35"/>
      <c r="E112" s="35"/>
      <c r="F112" s="35"/>
      <c r="G112" s="35"/>
      <c r="H112" s="238"/>
      <c r="I112" s="38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</row>
    <row r="113" ht="21.0" customHeight="1">
      <c r="A113" s="35"/>
      <c r="B113" s="35"/>
      <c r="C113" s="35"/>
      <c r="D113" s="35"/>
      <c r="E113" s="35"/>
      <c r="F113" s="35"/>
      <c r="G113" s="35"/>
      <c r="H113" s="238"/>
      <c r="I113" s="38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</row>
    <row r="114" ht="21.0" customHeight="1">
      <c r="A114" s="35"/>
      <c r="B114" s="35"/>
      <c r="C114" s="35"/>
      <c r="D114" s="35"/>
      <c r="E114" s="35"/>
      <c r="F114" s="35"/>
      <c r="G114" s="35"/>
      <c r="H114" s="238"/>
      <c r="I114" s="38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</row>
    <row r="115" ht="21.0" customHeight="1">
      <c r="A115" s="35"/>
      <c r="B115" s="35"/>
      <c r="C115" s="35"/>
      <c r="D115" s="35"/>
      <c r="E115" s="35"/>
      <c r="F115" s="35"/>
      <c r="G115" s="35"/>
      <c r="H115" s="238"/>
      <c r="I115" s="38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</row>
    <row r="116" ht="21.0" customHeight="1">
      <c r="A116" s="35"/>
      <c r="B116" s="35"/>
      <c r="C116" s="35"/>
      <c r="D116" s="35"/>
      <c r="E116" s="35"/>
      <c r="F116" s="35"/>
      <c r="G116" s="35"/>
      <c r="H116" s="238"/>
      <c r="I116" s="38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</row>
    <row r="117" ht="21.0" customHeight="1">
      <c r="A117" s="35"/>
      <c r="B117" s="35"/>
      <c r="C117" s="35"/>
      <c r="D117" s="35"/>
      <c r="E117" s="35"/>
      <c r="F117" s="35"/>
      <c r="G117" s="35"/>
      <c r="H117" s="238"/>
      <c r="I117" s="38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</row>
    <row r="118" ht="21.0" customHeight="1">
      <c r="A118" s="35"/>
      <c r="B118" s="35"/>
      <c r="C118" s="35"/>
      <c r="D118" s="35"/>
      <c r="E118" s="35"/>
      <c r="F118" s="35"/>
      <c r="G118" s="35"/>
      <c r="H118" s="238"/>
      <c r="I118" s="38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</row>
    <row r="119" ht="21.0" customHeight="1">
      <c r="A119" s="35"/>
      <c r="B119" s="35"/>
      <c r="C119" s="35"/>
      <c r="D119" s="35"/>
      <c r="E119" s="35"/>
      <c r="F119" s="35"/>
      <c r="G119" s="35"/>
      <c r="H119" s="238"/>
      <c r="I119" s="38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</row>
    <row r="120" ht="21.0" customHeight="1">
      <c r="A120" s="35"/>
      <c r="B120" s="35"/>
      <c r="C120" s="35"/>
      <c r="D120" s="35"/>
      <c r="E120" s="35"/>
      <c r="F120" s="35"/>
      <c r="G120" s="35"/>
      <c r="H120" s="238"/>
      <c r="I120" s="38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</row>
    <row r="121" ht="21.0" customHeight="1">
      <c r="A121" s="35"/>
      <c r="B121" s="35"/>
      <c r="C121" s="35"/>
      <c r="D121" s="35"/>
      <c r="E121" s="35"/>
      <c r="F121" s="35"/>
      <c r="G121" s="35"/>
      <c r="H121" s="238"/>
      <c r="I121" s="38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</row>
    <row r="122" ht="21.0" customHeight="1">
      <c r="A122" s="35"/>
      <c r="B122" s="35"/>
      <c r="C122" s="35"/>
      <c r="D122" s="35"/>
      <c r="E122" s="35"/>
      <c r="F122" s="35"/>
      <c r="G122" s="35"/>
      <c r="H122" s="238"/>
      <c r="I122" s="38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</row>
    <row r="123" ht="21.0" customHeight="1">
      <c r="A123" s="35"/>
      <c r="B123" s="35"/>
      <c r="C123" s="35"/>
      <c r="D123" s="35"/>
      <c r="E123" s="35"/>
      <c r="F123" s="35"/>
      <c r="G123" s="35"/>
      <c r="H123" s="238"/>
      <c r="I123" s="38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</row>
    <row r="124" ht="21.0" customHeight="1">
      <c r="A124" s="35"/>
      <c r="B124" s="35"/>
      <c r="C124" s="35"/>
      <c r="D124" s="35"/>
      <c r="E124" s="35"/>
      <c r="F124" s="35"/>
      <c r="G124" s="35"/>
      <c r="H124" s="238"/>
      <c r="I124" s="38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</row>
    <row r="125" ht="21.0" customHeight="1">
      <c r="A125" s="35"/>
      <c r="B125" s="35"/>
      <c r="C125" s="35"/>
      <c r="D125" s="35"/>
      <c r="E125" s="35"/>
      <c r="F125" s="35"/>
      <c r="G125" s="35"/>
      <c r="H125" s="238"/>
      <c r="I125" s="38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</row>
    <row r="126" ht="21.0" customHeight="1">
      <c r="A126" s="35"/>
      <c r="B126" s="35"/>
      <c r="C126" s="35"/>
      <c r="D126" s="35"/>
      <c r="E126" s="35"/>
      <c r="F126" s="35"/>
      <c r="G126" s="35"/>
      <c r="H126" s="238"/>
      <c r="I126" s="38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</row>
    <row r="127" ht="21.0" customHeight="1">
      <c r="A127" s="35"/>
      <c r="B127" s="35"/>
      <c r="C127" s="35"/>
      <c r="D127" s="35"/>
      <c r="E127" s="35"/>
      <c r="F127" s="35"/>
      <c r="G127" s="35"/>
      <c r="H127" s="238"/>
      <c r="I127" s="38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</row>
    <row r="128" ht="21.0" customHeight="1">
      <c r="A128" s="35"/>
      <c r="B128" s="35"/>
      <c r="C128" s="35"/>
      <c r="D128" s="35"/>
      <c r="E128" s="35"/>
      <c r="F128" s="35"/>
      <c r="G128" s="35"/>
      <c r="H128" s="238"/>
      <c r="I128" s="38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</row>
    <row r="129" ht="21.0" customHeight="1">
      <c r="A129" s="35"/>
      <c r="B129" s="35"/>
      <c r="C129" s="35"/>
      <c r="D129" s="35"/>
      <c r="E129" s="35"/>
      <c r="F129" s="35"/>
      <c r="G129" s="35"/>
      <c r="H129" s="238"/>
      <c r="I129" s="38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</row>
    <row r="130" ht="21.0" customHeight="1">
      <c r="A130" s="35"/>
      <c r="B130" s="35"/>
      <c r="C130" s="35"/>
      <c r="D130" s="35"/>
      <c r="E130" s="35"/>
      <c r="F130" s="35"/>
      <c r="G130" s="35"/>
      <c r="H130" s="238"/>
      <c r="I130" s="38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</row>
    <row r="131" ht="21.0" customHeight="1">
      <c r="A131" s="35"/>
      <c r="B131" s="35"/>
      <c r="C131" s="35"/>
      <c r="D131" s="35"/>
      <c r="E131" s="35"/>
      <c r="F131" s="35"/>
      <c r="G131" s="35"/>
      <c r="H131" s="238"/>
      <c r="I131" s="38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</row>
    <row r="132" ht="21.0" customHeight="1">
      <c r="A132" s="35"/>
      <c r="B132" s="35"/>
      <c r="C132" s="35"/>
      <c r="D132" s="35"/>
      <c r="E132" s="35"/>
      <c r="F132" s="35"/>
      <c r="G132" s="35"/>
      <c r="H132" s="238"/>
      <c r="I132" s="38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</row>
    <row r="133" ht="21.0" customHeight="1">
      <c r="A133" s="35"/>
      <c r="B133" s="35"/>
      <c r="C133" s="35"/>
      <c r="D133" s="35"/>
      <c r="E133" s="35"/>
      <c r="F133" s="35"/>
      <c r="G133" s="35"/>
      <c r="H133" s="238"/>
      <c r="I133" s="38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</row>
    <row r="134" ht="21.0" customHeight="1">
      <c r="A134" s="35"/>
      <c r="B134" s="35"/>
      <c r="C134" s="35"/>
      <c r="D134" s="35"/>
      <c r="E134" s="35"/>
      <c r="F134" s="35"/>
      <c r="G134" s="35"/>
      <c r="H134" s="238"/>
      <c r="I134" s="38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</row>
    <row r="135" ht="21.0" customHeight="1">
      <c r="A135" s="35"/>
      <c r="B135" s="35"/>
      <c r="C135" s="35"/>
      <c r="D135" s="35"/>
      <c r="E135" s="35"/>
      <c r="F135" s="35"/>
      <c r="G135" s="35"/>
      <c r="H135" s="238"/>
      <c r="I135" s="38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</row>
    <row r="136" ht="21.0" customHeight="1">
      <c r="A136" s="35"/>
      <c r="B136" s="35"/>
      <c r="C136" s="35"/>
      <c r="D136" s="35"/>
      <c r="E136" s="35"/>
      <c r="F136" s="35"/>
      <c r="G136" s="35"/>
      <c r="H136" s="238"/>
      <c r="I136" s="38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</row>
    <row r="137" ht="21.0" customHeight="1">
      <c r="A137" s="35"/>
      <c r="B137" s="35"/>
      <c r="C137" s="35"/>
      <c r="D137" s="35"/>
      <c r="E137" s="35"/>
      <c r="F137" s="35"/>
      <c r="G137" s="35"/>
      <c r="H137" s="238"/>
      <c r="I137" s="38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</row>
    <row r="138" ht="21.0" customHeight="1">
      <c r="A138" s="35"/>
      <c r="B138" s="35"/>
      <c r="C138" s="35"/>
      <c r="D138" s="35"/>
      <c r="E138" s="35"/>
      <c r="F138" s="35"/>
      <c r="G138" s="35"/>
      <c r="H138" s="238"/>
      <c r="I138" s="38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</row>
    <row r="139" ht="21.0" customHeight="1">
      <c r="A139" s="35"/>
      <c r="B139" s="35"/>
      <c r="C139" s="35"/>
      <c r="D139" s="35"/>
      <c r="E139" s="35"/>
      <c r="F139" s="35"/>
      <c r="G139" s="35"/>
      <c r="H139" s="238"/>
      <c r="I139" s="38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</row>
    <row r="140" ht="21.0" customHeight="1">
      <c r="A140" s="35"/>
      <c r="B140" s="35"/>
      <c r="C140" s="35"/>
      <c r="D140" s="35"/>
      <c r="E140" s="35"/>
      <c r="F140" s="35"/>
      <c r="G140" s="35"/>
      <c r="H140" s="238"/>
      <c r="I140" s="38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</row>
    <row r="141" ht="21.0" customHeight="1">
      <c r="A141" s="35"/>
      <c r="B141" s="35"/>
      <c r="C141" s="35"/>
      <c r="D141" s="35"/>
      <c r="E141" s="35"/>
      <c r="F141" s="35"/>
      <c r="G141" s="35"/>
      <c r="H141" s="238"/>
      <c r="I141" s="38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</row>
    <row r="142" ht="21.0" customHeight="1">
      <c r="A142" s="35"/>
      <c r="B142" s="35"/>
      <c r="C142" s="35"/>
      <c r="D142" s="35"/>
      <c r="E142" s="35"/>
      <c r="F142" s="35"/>
      <c r="G142" s="35"/>
      <c r="H142" s="238"/>
      <c r="I142" s="38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</row>
    <row r="143" ht="21.0" customHeight="1">
      <c r="A143" s="35"/>
      <c r="B143" s="35"/>
      <c r="C143" s="35"/>
      <c r="D143" s="35"/>
      <c r="E143" s="35"/>
      <c r="F143" s="35"/>
      <c r="G143" s="35"/>
      <c r="H143" s="238"/>
      <c r="I143" s="38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</row>
    <row r="144" ht="21.0" customHeight="1">
      <c r="A144" s="35"/>
      <c r="B144" s="35"/>
      <c r="C144" s="35"/>
      <c r="D144" s="35"/>
      <c r="E144" s="35"/>
      <c r="F144" s="35"/>
      <c r="G144" s="35"/>
      <c r="H144" s="238"/>
      <c r="I144" s="38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</row>
    <row r="145" ht="21.0" customHeight="1">
      <c r="A145" s="35"/>
      <c r="B145" s="35"/>
      <c r="C145" s="35"/>
      <c r="D145" s="35"/>
      <c r="E145" s="35"/>
      <c r="F145" s="35"/>
      <c r="G145" s="35"/>
      <c r="H145" s="238"/>
      <c r="I145" s="38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</row>
    <row r="146" ht="21.0" customHeight="1">
      <c r="A146" s="35"/>
      <c r="B146" s="35"/>
      <c r="C146" s="35"/>
      <c r="D146" s="35"/>
      <c r="E146" s="35"/>
      <c r="F146" s="35"/>
      <c r="G146" s="35"/>
      <c r="H146" s="238"/>
      <c r="I146" s="38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</row>
    <row r="147" ht="21.0" customHeight="1">
      <c r="A147" s="35"/>
      <c r="B147" s="35"/>
      <c r="C147" s="35"/>
      <c r="D147" s="35"/>
      <c r="E147" s="35"/>
      <c r="F147" s="35"/>
      <c r="G147" s="35"/>
      <c r="H147" s="238"/>
      <c r="I147" s="38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</row>
    <row r="148" ht="21.0" customHeight="1">
      <c r="A148" s="35"/>
      <c r="B148" s="35"/>
      <c r="C148" s="35"/>
      <c r="D148" s="35"/>
      <c r="E148" s="35"/>
      <c r="F148" s="35"/>
      <c r="G148" s="35"/>
      <c r="H148" s="238"/>
      <c r="I148" s="38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</row>
    <row r="149" ht="21.0" customHeight="1">
      <c r="A149" s="35"/>
      <c r="B149" s="35"/>
      <c r="C149" s="35"/>
      <c r="D149" s="35"/>
      <c r="E149" s="35"/>
      <c r="F149" s="35"/>
      <c r="G149" s="35"/>
      <c r="H149" s="238"/>
      <c r="I149" s="38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</row>
    <row r="150" ht="21.0" customHeight="1">
      <c r="A150" s="35"/>
      <c r="B150" s="35"/>
      <c r="C150" s="35"/>
      <c r="D150" s="35"/>
      <c r="E150" s="35"/>
      <c r="F150" s="35"/>
      <c r="G150" s="35"/>
      <c r="H150" s="238"/>
      <c r="I150" s="38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</row>
    <row r="151" ht="21.0" customHeight="1">
      <c r="A151" s="35"/>
      <c r="B151" s="35"/>
      <c r="C151" s="35"/>
      <c r="D151" s="35"/>
      <c r="E151" s="35"/>
      <c r="F151" s="35"/>
      <c r="G151" s="35"/>
      <c r="H151" s="238"/>
      <c r="I151" s="38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</row>
    <row r="152" ht="21.0" customHeight="1">
      <c r="A152" s="35"/>
      <c r="B152" s="35"/>
      <c r="C152" s="35"/>
      <c r="D152" s="35"/>
      <c r="E152" s="35"/>
      <c r="F152" s="35"/>
      <c r="G152" s="35"/>
      <c r="H152" s="238"/>
      <c r="I152" s="38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</row>
    <row r="153" ht="21.0" customHeight="1">
      <c r="A153" s="35"/>
      <c r="B153" s="35"/>
      <c r="C153" s="35"/>
      <c r="D153" s="35"/>
      <c r="E153" s="35"/>
      <c r="F153" s="35"/>
      <c r="G153" s="35"/>
      <c r="H153" s="238"/>
      <c r="I153" s="38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</row>
    <row r="154" ht="21.0" customHeight="1">
      <c r="A154" s="35"/>
      <c r="B154" s="35"/>
      <c r="C154" s="35"/>
      <c r="D154" s="35"/>
      <c r="E154" s="35"/>
      <c r="F154" s="35"/>
      <c r="G154" s="35"/>
      <c r="H154" s="238"/>
      <c r="I154" s="38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</row>
    <row r="155" ht="21.0" customHeight="1">
      <c r="A155" s="35"/>
      <c r="B155" s="35"/>
      <c r="C155" s="35"/>
      <c r="D155" s="35"/>
      <c r="E155" s="35"/>
      <c r="F155" s="35"/>
      <c r="G155" s="35"/>
      <c r="H155" s="238"/>
      <c r="I155" s="38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</row>
    <row r="156" ht="21.0" customHeight="1">
      <c r="A156" s="35"/>
      <c r="B156" s="35"/>
      <c r="C156" s="35"/>
      <c r="D156" s="35"/>
      <c r="E156" s="35"/>
      <c r="F156" s="35"/>
      <c r="G156" s="35"/>
      <c r="H156" s="238"/>
      <c r="I156" s="38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</row>
    <row r="157" ht="21.0" customHeight="1">
      <c r="A157" s="35"/>
      <c r="B157" s="35"/>
      <c r="C157" s="35"/>
      <c r="D157" s="35"/>
      <c r="E157" s="35"/>
      <c r="F157" s="35"/>
      <c r="G157" s="35"/>
      <c r="H157" s="238"/>
      <c r="I157" s="38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</row>
    <row r="158" ht="21.0" customHeight="1">
      <c r="A158" s="35"/>
      <c r="B158" s="35"/>
      <c r="C158" s="35"/>
      <c r="D158" s="35"/>
      <c r="E158" s="35"/>
      <c r="F158" s="35"/>
      <c r="G158" s="35"/>
      <c r="H158" s="238"/>
      <c r="I158" s="38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</row>
    <row r="159" ht="21.0" customHeight="1">
      <c r="A159" s="35"/>
      <c r="B159" s="35"/>
      <c r="C159" s="35"/>
      <c r="D159" s="35"/>
      <c r="E159" s="35"/>
      <c r="F159" s="35"/>
      <c r="G159" s="35"/>
      <c r="H159" s="238"/>
      <c r="I159" s="38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</row>
    <row r="160" ht="21.0" customHeight="1">
      <c r="A160" s="35"/>
      <c r="B160" s="35"/>
      <c r="C160" s="35"/>
      <c r="D160" s="35"/>
      <c r="E160" s="35"/>
      <c r="F160" s="35"/>
      <c r="G160" s="35"/>
      <c r="H160" s="238"/>
      <c r="I160" s="38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</row>
    <row r="161" ht="21.0" customHeight="1">
      <c r="A161" s="35"/>
      <c r="B161" s="35"/>
      <c r="C161" s="35"/>
      <c r="D161" s="35"/>
      <c r="E161" s="35"/>
      <c r="F161" s="35"/>
      <c r="G161" s="35"/>
      <c r="H161" s="238"/>
      <c r="I161" s="38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</row>
    <row r="162" ht="21.0" customHeight="1">
      <c r="A162" s="35"/>
      <c r="B162" s="35"/>
      <c r="C162" s="35"/>
      <c r="D162" s="35"/>
      <c r="E162" s="35"/>
      <c r="F162" s="35"/>
      <c r="G162" s="35"/>
      <c r="H162" s="238"/>
      <c r="I162" s="38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</row>
    <row r="163" ht="21.0" customHeight="1">
      <c r="A163" s="35"/>
      <c r="B163" s="35"/>
      <c r="C163" s="35"/>
      <c r="D163" s="35"/>
      <c r="E163" s="35"/>
      <c r="F163" s="35"/>
      <c r="G163" s="35"/>
      <c r="H163" s="238"/>
      <c r="I163" s="38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</row>
    <row r="164" ht="21.0" customHeight="1">
      <c r="A164" s="35"/>
      <c r="B164" s="35"/>
      <c r="C164" s="35"/>
      <c r="D164" s="35"/>
      <c r="E164" s="35"/>
      <c r="F164" s="35"/>
      <c r="G164" s="35"/>
      <c r="H164" s="238"/>
      <c r="I164" s="38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</row>
    <row r="165" ht="21.0" customHeight="1">
      <c r="A165" s="35"/>
      <c r="B165" s="35"/>
      <c r="C165" s="35"/>
      <c r="D165" s="35"/>
      <c r="E165" s="35"/>
      <c r="F165" s="35"/>
      <c r="G165" s="35"/>
      <c r="H165" s="238"/>
      <c r="I165" s="38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</row>
    <row r="166" ht="21.0" customHeight="1">
      <c r="A166" s="35"/>
      <c r="B166" s="35"/>
      <c r="C166" s="35"/>
      <c r="D166" s="35"/>
      <c r="E166" s="35"/>
      <c r="F166" s="35"/>
      <c r="G166" s="35"/>
      <c r="H166" s="238"/>
      <c r="I166" s="38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</row>
    <row r="167" ht="21.0" customHeight="1">
      <c r="A167" s="35"/>
      <c r="B167" s="35"/>
      <c r="C167" s="35"/>
      <c r="D167" s="35"/>
      <c r="E167" s="35"/>
      <c r="F167" s="35"/>
      <c r="G167" s="35"/>
      <c r="H167" s="238"/>
      <c r="I167" s="38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</row>
    <row r="168" ht="21.0" customHeight="1">
      <c r="A168" s="35"/>
      <c r="B168" s="35"/>
      <c r="C168" s="35"/>
      <c r="D168" s="35"/>
      <c r="E168" s="35"/>
      <c r="F168" s="35"/>
      <c r="G168" s="35"/>
      <c r="H168" s="238"/>
      <c r="I168" s="38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</row>
    <row r="169" ht="21.0" customHeight="1">
      <c r="A169" s="35"/>
      <c r="B169" s="35"/>
      <c r="C169" s="35"/>
      <c r="D169" s="35"/>
      <c r="E169" s="35"/>
      <c r="F169" s="35"/>
      <c r="G169" s="35"/>
      <c r="H169" s="238"/>
      <c r="I169" s="38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</row>
    <row r="170" ht="21.0" customHeight="1">
      <c r="A170" s="35"/>
      <c r="B170" s="35"/>
      <c r="C170" s="35"/>
      <c r="D170" s="35"/>
      <c r="E170" s="35"/>
      <c r="F170" s="35"/>
      <c r="G170" s="35"/>
      <c r="H170" s="238"/>
      <c r="I170" s="38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</row>
    <row r="171" ht="21.0" customHeight="1">
      <c r="A171" s="35"/>
      <c r="B171" s="35"/>
      <c r="C171" s="35"/>
      <c r="D171" s="35"/>
      <c r="E171" s="35"/>
      <c r="F171" s="35"/>
      <c r="G171" s="35"/>
      <c r="H171" s="238"/>
      <c r="I171" s="38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</row>
    <row r="172" ht="21.0" customHeight="1">
      <c r="A172" s="35"/>
      <c r="B172" s="35"/>
      <c r="C172" s="35"/>
      <c r="D172" s="35"/>
      <c r="E172" s="35"/>
      <c r="F172" s="35"/>
      <c r="G172" s="35"/>
      <c r="H172" s="238"/>
      <c r="I172" s="38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</row>
    <row r="173" ht="21.0" customHeight="1">
      <c r="A173" s="35"/>
      <c r="B173" s="35"/>
      <c r="C173" s="35"/>
      <c r="D173" s="35"/>
      <c r="E173" s="35"/>
      <c r="F173" s="35"/>
      <c r="G173" s="35"/>
      <c r="H173" s="238"/>
      <c r="I173" s="38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</row>
    <row r="174" ht="21.0" customHeight="1">
      <c r="A174" s="35"/>
      <c r="B174" s="35"/>
      <c r="C174" s="35"/>
      <c r="D174" s="35"/>
      <c r="E174" s="35"/>
      <c r="F174" s="35"/>
      <c r="G174" s="35"/>
      <c r="H174" s="238"/>
      <c r="I174" s="38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</row>
    <row r="175" ht="21.0" customHeight="1">
      <c r="A175" s="35"/>
      <c r="B175" s="35"/>
      <c r="C175" s="35"/>
      <c r="D175" s="35"/>
      <c r="E175" s="35"/>
      <c r="F175" s="35"/>
      <c r="G175" s="35"/>
      <c r="H175" s="238"/>
      <c r="I175" s="38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</row>
    <row r="176" ht="21.0" customHeight="1">
      <c r="A176" s="35"/>
      <c r="B176" s="35"/>
      <c r="C176" s="35"/>
      <c r="D176" s="35"/>
      <c r="E176" s="35"/>
      <c r="F176" s="35"/>
      <c r="G176" s="35"/>
      <c r="H176" s="238"/>
      <c r="I176" s="38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</row>
    <row r="177" ht="21.0" customHeight="1">
      <c r="A177" s="35"/>
      <c r="B177" s="35"/>
      <c r="C177" s="35"/>
      <c r="D177" s="35"/>
      <c r="E177" s="35"/>
      <c r="F177" s="35"/>
      <c r="G177" s="35"/>
      <c r="H177" s="238"/>
      <c r="I177" s="38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</row>
    <row r="178" ht="21.0" customHeight="1">
      <c r="A178" s="35"/>
      <c r="B178" s="35"/>
      <c r="C178" s="35"/>
      <c r="D178" s="35"/>
      <c r="E178" s="35"/>
      <c r="F178" s="35"/>
      <c r="G178" s="35"/>
      <c r="H178" s="238"/>
      <c r="I178" s="38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</row>
    <row r="179" ht="21.0" customHeight="1">
      <c r="A179" s="35"/>
      <c r="B179" s="35"/>
      <c r="C179" s="35"/>
      <c r="D179" s="35"/>
      <c r="E179" s="35"/>
      <c r="F179" s="35"/>
      <c r="G179" s="35"/>
      <c r="H179" s="238"/>
      <c r="I179" s="38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</row>
    <row r="180" ht="21.0" customHeight="1">
      <c r="A180" s="35"/>
      <c r="B180" s="35"/>
      <c r="C180" s="35"/>
      <c r="D180" s="35"/>
      <c r="E180" s="35"/>
      <c r="F180" s="35"/>
      <c r="G180" s="35"/>
      <c r="H180" s="238"/>
      <c r="I180" s="38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</row>
    <row r="181" ht="21.0" customHeight="1">
      <c r="A181" s="35"/>
      <c r="B181" s="35"/>
      <c r="C181" s="35"/>
      <c r="D181" s="35"/>
      <c r="E181" s="35"/>
      <c r="F181" s="35"/>
      <c r="G181" s="35"/>
      <c r="H181" s="238"/>
      <c r="I181" s="38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</row>
    <row r="182" ht="21.0" customHeight="1">
      <c r="A182" s="35"/>
      <c r="B182" s="35"/>
      <c r="C182" s="35"/>
      <c r="D182" s="35"/>
      <c r="E182" s="35"/>
      <c r="F182" s="35"/>
      <c r="G182" s="35"/>
      <c r="H182" s="238"/>
      <c r="I182" s="38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</row>
    <row r="183" ht="21.0" customHeight="1">
      <c r="A183" s="35"/>
      <c r="B183" s="35"/>
      <c r="C183" s="35"/>
      <c r="D183" s="35"/>
      <c r="E183" s="35"/>
      <c r="F183" s="35"/>
      <c r="G183" s="35"/>
      <c r="H183" s="238"/>
      <c r="I183" s="38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</row>
    <row r="184" ht="21.0" customHeight="1">
      <c r="A184" s="35"/>
      <c r="B184" s="35"/>
      <c r="C184" s="35"/>
      <c r="D184" s="35"/>
      <c r="E184" s="35"/>
      <c r="F184" s="35"/>
      <c r="G184" s="35"/>
      <c r="H184" s="238"/>
      <c r="I184" s="38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</row>
    <row r="185" ht="21.0" customHeight="1">
      <c r="A185" s="35"/>
      <c r="B185" s="35"/>
      <c r="C185" s="35"/>
      <c r="D185" s="35"/>
      <c r="E185" s="35"/>
      <c r="F185" s="35"/>
      <c r="G185" s="35"/>
      <c r="H185" s="238"/>
      <c r="I185" s="38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</row>
    <row r="186" ht="21.0" customHeight="1">
      <c r="A186" s="35"/>
      <c r="B186" s="35"/>
      <c r="C186" s="35"/>
      <c r="D186" s="35"/>
      <c r="E186" s="35"/>
      <c r="F186" s="35"/>
      <c r="G186" s="35"/>
      <c r="H186" s="238"/>
      <c r="I186" s="38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</row>
    <row r="187" ht="21.0" customHeight="1">
      <c r="A187" s="35"/>
      <c r="B187" s="35"/>
      <c r="C187" s="35"/>
      <c r="D187" s="35"/>
      <c r="E187" s="35"/>
      <c r="F187" s="35"/>
      <c r="G187" s="35"/>
      <c r="H187" s="238"/>
      <c r="I187" s="38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</row>
    <row r="188" ht="21.0" customHeight="1">
      <c r="A188" s="35"/>
      <c r="B188" s="35"/>
      <c r="C188" s="35"/>
      <c r="D188" s="35"/>
      <c r="E188" s="35"/>
      <c r="F188" s="35"/>
      <c r="G188" s="35"/>
      <c r="H188" s="238"/>
      <c r="I188" s="38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</row>
    <row r="189" ht="21.0" customHeight="1">
      <c r="A189" s="35"/>
      <c r="B189" s="35"/>
      <c r="C189" s="35"/>
      <c r="D189" s="35"/>
      <c r="E189" s="35"/>
      <c r="F189" s="35"/>
      <c r="G189" s="35"/>
      <c r="H189" s="238"/>
      <c r="I189" s="38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</row>
    <row r="190" ht="21.0" customHeight="1">
      <c r="A190" s="35"/>
      <c r="B190" s="35"/>
      <c r="C190" s="35"/>
      <c r="D190" s="35"/>
      <c r="E190" s="35"/>
      <c r="F190" s="35"/>
      <c r="G190" s="35"/>
      <c r="H190" s="238"/>
      <c r="I190" s="38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</row>
    <row r="191" ht="21.0" customHeight="1">
      <c r="A191" s="35"/>
      <c r="B191" s="35"/>
      <c r="C191" s="35"/>
      <c r="D191" s="35"/>
      <c r="E191" s="35"/>
      <c r="F191" s="35"/>
      <c r="G191" s="35"/>
      <c r="H191" s="238"/>
      <c r="I191" s="38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</row>
    <row r="192" ht="21.0" customHeight="1">
      <c r="A192" s="35"/>
      <c r="B192" s="35"/>
      <c r="C192" s="35"/>
      <c r="D192" s="35"/>
      <c r="E192" s="35"/>
      <c r="F192" s="35"/>
      <c r="G192" s="35"/>
      <c r="H192" s="238"/>
      <c r="I192" s="38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</row>
    <row r="193" ht="21.0" customHeight="1">
      <c r="A193" s="35"/>
      <c r="B193" s="35"/>
      <c r="C193" s="35"/>
      <c r="D193" s="35"/>
      <c r="E193" s="35"/>
      <c r="F193" s="35"/>
      <c r="G193" s="35"/>
      <c r="H193" s="238"/>
      <c r="I193" s="38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</row>
    <row r="194" ht="21.0" customHeight="1">
      <c r="A194" s="35"/>
      <c r="B194" s="35"/>
      <c r="C194" s="35"/>
      <c r="D194" s="35"/>
      <c r="E194" s="35"/>
      <c r="F194" s="35"/>
      <c r="G194" s="35"/>
      <c r="H194" s="238"/>
      <c r="I194" s="38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</row>
    <row r="195" ht="21.0" customHeight="1">
      <c r="A195" s="35"/>
      <c r="B195" s="35"/>
      <c r="C195" s="35"/>
      <c r="D195" s="35"/>
      <c r="E195" s="35"/>
      <c r="F195" s="35"/>
      <c r="G195" s="35"/>
      <c r="H195" s="238"/>
      <c r="I195" s="38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</row>
    <row r="196" ht="21.0" customHeight="1">
      <c r="A196" s="35"/>
      <c r="B196" s="35"/>
      <c r="C196" s="35"/>
      <c r="D196" s="35"/>
      <c r="E196" s="35"/>
      <c r="F196" s="35"/>
      <c r="G196" s="35"/>
      <c r="H196" s="238"/>
      <c r="I196" s="38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</row>
    <row r="197" ht="21.0" customHeight="1">
      <c r="A197" s="35"/>
      <c r="B197" s="35"/>
      <c r="C197" s="35"/>
      <c r="D197" s="35"/>
      <c r="E197" s="35"/>
      <c r="F197" s="35"/>
      <c r="G197" s="35"/>
      <c r="H197" s="238"/>
      <c r="I197" s="38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</row>
    <row r="198" ht="21.0" customHeight="1">
      <c r="A198" s="35"/>
      <c r="B198" s="35"/>
      <c r="C198" s="35"/>
      <c r="D198" s="35"/>
      <c r="E198" s="35"/>
      <c r="F198" s="35"/>
      <c r="G198" s="35"/>
      <c r="H198" s="238"/>
      <c r="I198" s="38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</row>
    <row r="199" ht="21.0" customHeight="1">
      <c r="A199" s="35"/>
      <c r="B199" s="35"/>
      <c r="C199" s="35"/>
      <c r="D199" s="35"/>
      <c r="E199" s="35"/>
      <c r="F199" s="35"/>
      <c r="G199" s="35"/>
      <c r="H199" s="238"/>
      <c r="I199" s="38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</row>
    <row r="200" ht="21.0" customHeight="1">
      <c r="A200" s="35"/>
      <c r="B200" s="35"/>
      <c r="C200" s="35"/>
      <c r="D200" s="35"/>
      <c r="E200" s="35"/>
      <c r="F200" s="35"/>
      <c r="G200" s="35"/>
      <c r="H200" s="238"/>
      <c r="I200" s="38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</row>
    <row r="201" ht="21.0" customHeight="1">
      <c r="A201" s="35"/>
      <c r="B201" s="35"/>
      <c r="C201" s="35"/>
      <c r="D201" s="35"/>
      <c r="E201" s="35"/>
      <c r="F201" s="35"/>
      <c r="G201" s="35"/>
      <c r="H201" s="238"/>
      <c r="I201" s="38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</row>
    <row r="202" ht="21.0" customHeight="1">
      <c r="A202" s="35"/>
      <c r="B202" s="35"/>
      <c r="C202" s="35"/>
      <c r="D202" s="35"/>
      <c r="E202" s="35"/>
      <c r="F202" s="35"/>
      <c r="G202" s="35"/>
      <c r="H202" s="238"/>
      <c r="I202" s="38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</row>
    <row r="203" ht="21.0" customHeight="1">
      <c r="A203" s="35"/>
      <c r="B203" s="35"/>
      <c r="C203" s="35"/>
      <c r="D203" s="35"/>
      <c r="E203" s="35"/>
      <c r="F203" s="35"/>
      <c r="G203" s="35"/>
      <c r="H203" s="238"/>
      <c r="I203" s="38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</row>
    <row r="204" ht="21.0" customHeight="1">
      <c r="A204" s="35"/>
      <c r="B204" s="35"/>
      <c r="C204" s="35"/>
      <c r="D204" s="35"/>
      <c r="E204" s="35"/>
      <c r="F204" s="35"/>
      <c r="G204" s="35"/>
      <c r="H204" s="238"/>
      <c r="I204" s="38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</row>
    <row r="205" ht="21.0" customHeight="1">
      <c r="A205" s="35"/>
      <c r="B205" s="35"/>
      <c r="C205" s="35"/>
      <c r="D205" s="35"/>
      <c r="E205" s="35"/>
      <c r="F205" s="35"/>
      <c r="G205" s="35"/>
      <c r="H205" s="238"/>
      <c r="I205" s="38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</row>
    <row r="206" ht="21.0" customHeight="1">
      <c r="A206" s="35"/>
      <c r="B206" s="35"/>
      <c r="C206" s="35"/>
      <c r="D206" s="35"/>
      <c r="E206" s="35"/>
      <c r="F206" s="35"/>
      <c r="G206" s="35"/>
      <c r="H206" s="238"/>
      <c r="I206" s="38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</row>
    <row r="207" ht="21.0" customHeight="1">
      <c r="A207" s="35"/>
      <c r="B207" s="35"/>
      <c r="C207" s="35"/>
      <c r="D207" s="35"/>
      <c r="E207" s="35"/>
      <c r="F207" s="35"/>
      <c r="G207" s="35"/>
      <c r="H207" s="238"/>
      <c r="I207" s="38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</row>
    <row r="208" ht="21.0" customHeight="1">
      <c r="A208" s="35"/>
      <c r="B208" s="35"/>
      <c r="C208" s="35"/>
      <c r="D208" s="35"/>
      <c r="E208" s="35"/>
      <c r="F208" s="35"/>
      <c r="G208" s="35"/>
      <c r="H208" s="238"/>
      <c r="I208" s="38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</row>
    <row r="209" ht="21.0" customHeight="1">
      <c r="A209" s="35"/>
      <c r="B209" s="35"/>
      <c r="C209" s="35"/>
      <c r="D209" s="35"/>
      <c r="E209" s="35"/>
      <c r="F209" s="35"/>
      <c r="G209" s="35"/>
      <c r="H209" s="238"/>
      <c r="I209" s="38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</row>
    <row r="210" ht="21.0" customHeight="1">
      <c r="A210" s="35"/>
      <c r="B210" s="35"/>
      <c r="C210" s="35"/>
      <c r="D210" s="35"/>
      <c r="E210" s="35"/>
      <c r="F210" s="35"/>
      <c r="G210" s="35"/>
      <c r="H210" s="238"/>
      <c r="I210" s="38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</row>
    <row r="211" ht="21.0" customHeight="1">
      <c r="A211" s="35"/>
      <c r="B211" s="35"/>
      <c r="C211" s="35"/>
      <c r="D211" s="35"/>
      <c r="E211" s="35"/>
      <c r="F211" s="35"/>
      <c r="G211" s="35"/>
      <c r="H211" s="238"/>
      <c r="I211" s="38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</row>
    <row r="212" ht="21.0" customHeight="1">
      <c r="A212" s="35"/>
      <c r="B212" s="35"/>
      <c r="C212" s="35"/>
      <c r="D212" s="35"/>
      <c r="E212" s="35"/>
      <c r="F212" s="35"/>
      <c r="G212" s="35"/>
      <c r="H212" s="238"/>
      <c r="I212" s="38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</row>
    <row r="213" ht="21.0" customHeight="1">
      <c r="A213" s="35"/>
      <c r="B213" s="35"/>
      <c r="C213" s="35"/>
      <c r="D213" s="35"/>
      <c r="E213" s="35"/>
      <c r="F213" s="35"/>
      <c r="G213" s="35"/>
      <c r="H213" s="238"/>
      <c r="I213" s="38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</row>
    <row r="214" ht="21.0" customHeight="1">
      <c r="A214" s="35"/>
      <c r="B214" s="35"/>
      <c r="C214" s="35"/>
      <c r="D214" s="35"/>
      <c r="E214" s="35"/>
      <c r="F214" s="35"/>
      <c r="G214" s="35"/>
      <c r="H214" s="238"/>
      <c r="I214" s="38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</row>
    <row r="215" ht="21.0" customHeight="1">
      <c r="A215" s="35"/>
      <c r="B215" s="35"/>
      <c r="C215" s="35"/>
      <c r="D215" s="35"/>
      <c r="E215" s="35"/>
      <c r="F215" s="35"/>
      <c r="G215" s="35"/>
      <c r="H215" s="238"/>
      <c r="I215" s="38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</row>
    <row r="216" ht="21.0" customHeight="1">
      <c r="A216" s="35"/>
      <c r="B216" s="35"/>
      <c r="C216" s="35"/>
      <c r="D216" s="35"/>
      <c r="E216" s="35"/>
      <c r="F216" s="35"/>
      <c r="G216" s="35"/>
      <c r="H216" s="238"/>
      <c r="I216" s="38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</row>
    <row r="217" ht="21.0" customHeight="1">
      <c r="A217" s="35"/>
      <c r="B217" s="35"/>
      <c r="C217" s="35"/>
      <c r="D217" s="35"/>
      <c r="E217" s="35"/>
      <c r="F217" s="35"/>
      <c r="G217" s="35"/>
      <c r="H217" s="238"/>
      <c r="I217" s="38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</row>
    <row r="218" ht="21.0" customHeight="1">
      <c r="A218" s="35"/>
      <c r="B218" s="35"/>
      <c r="C218" s="35"/>
      <c r="D218" s="35"/>
      <c r="E218" s="35"/>
      <c r="F218" s="35"/>
      <c r="G218" s="35"/>
      <c r="H218" s="238"/>
      <c r="I218" s="38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</row>
    <row r="219" ht="21.0" customHeight="1">
      <c r="A219" s="35"/>
      <c r="B219" s="35"/>
      <c r="C219" s="35"/>
      <c r="D219" s="35"/>
      <c r="E219" s="35"/>
      <c r="F219" s="35"/>
      <c r="G219" s="35"/>
      <c r="H219" s="238"/>
      <c r="I219" s="38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</row>
    <row r="220" ht="21.0" customHeight="1">
      <c r="A220" s="35"/>
      <c r="B220" s="35"/>
      <c r="C220" s="35"/>
      <c r="D220" s="35"/>
      <c r="E220" s="35"/>
      <c r="F220" s="35"/>
      <c r="G220" s="35"/>
      <c r="H220" s="238"/>
      <c r="I220" s="38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</row>
    <row r="221" ht="21.0" customHeight="1">
      <c r="A221" s="35"/>
      <c r="B221" s="35"/>
      <c r="C221" s="35"/>
      <c r="D221" s="35"/>
      <c r="E221" s="35"/>
      <c r="F221" s="35"/>
      <c r="G221" s="35"/>
      <c r="H221" s="238"/>
      <c r="I221" s="38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</row>
    <row r="222" ht="21.0" customHeight="1">
      <c r="A222" s="35"/>
      <c r="B222" s="35"/>
      <c r="C222" s="35"/>
      <c r="D222" s="35"/>
      <c r="E222" s="35"/>
      <c r="F222" s="35"/>
      <c r="G222" s="35"/>
      <c r="H222" s="238"/>
      <c r="I222" s="38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</row>
    <row r="223" ht="21.0" customHeight="1">
      <c r="A223" s="35"/>
      <c r="B223" s="35"/>
      <c r="C223" s="35"/>
      <c r="D223" s="35"/>
      <c r="E223" s="35"/>
      <c r="F223" s="35"/>
      <c r="G223" s="35"/>
      <c r="H223" s="238"/>
      <c r="I223" s="38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</row>
    <row r="224" ht="21.0" customHeight="1">
      <c r="A224" s="35"/>
      <c r="B224" s="35"/>
      <c r="C224" s="35"/>
      <c r="D224" s="35"/>
      <c r="E224" s="35"/>
      <c r="F224" s="35"/>
      <c r="G224" s="35"/>
      <c r="H224" s="238"/>
      <c r="I224" s="38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</row>
    <row r="225" ht="21.0" customHeight="1">
      <c r="A225" s="35"/>
      <c r="B225" s="35"/>
      <c r="C225" s="35"/>
      <c r="D225" s="35"/>
      <c r="E225" s="35"/>
      <c r="F225" s="35"/>
      <c r="G225" s="35"/>
      <c r="H225" s="238"/>
      <c r="I225" s="38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</row>
    <row r="226" ht="21.0" customHeight="1">
      <c r="A226" s="35"/>
      <c r="B226" s="35"/>
      <c r="C226" s="35"/>
      <c r="D226" s="35"/>
      <c r="E226" s="35"/>
      <c r="F226" s="35"/>
      <c r="G226" s="35"/>
      <c r="H226" s="238"/>
      <c r="I226" s="38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</row>
    <row r="227" ht="21.0" customHeight="1">
      <c r="A227" s="35"/>
      <c r="B227" s="35"/>
      <c r="C227" s="35"/>
      <c r="D227" s="35"/>
      <c r="E227" s="35"/>
      <c r="F227" s="35"/>
      <c r="G227" s="35"/>
      <c r="H227" s="238"/>
      <c r="I227" s="38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</row>
    <row r="228" ht="21.0" customHeight="1">
      <c r="A228" s="35"/>
      <c r="B228" s="35"/>
      <c r="C228" s="35"/>
      <c r="D228" s="35"/>
      <c r="E228" s="35"/>
      <c r="F228" s="35"/>
      <c r="G228" s="35"/>
      <c r="H228" s="238"/>
      <c r="I228" s="38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</row>
    <row r="229" ht="21.0" customHeight="1">
      <c r="A229" s="35"/>
      <c r="B229" s="35"/>
      <c r="C229" s="35"/>
      <c r="D229" s="35"/>
      <c r="E229" s="35"/>
      <c r="F229" s="35"/>
      <c r="G229" s="35"/>
      <c r="H229" s="238"/>
      <c r="I229" s="38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</row>
    <row r="230" ht="21.0" customHeight="1">
      <c r="A230" s="35"/>
      <c r="B230" s="35"/>
      <c r="C230" s="35"/>
      <c r="D230" s="35"/>
      <c r="E230" s="35"/>
      <c r="F230" s="35"/>
      <c r="G230" s="35"/>
      <c r="H230" s="238"/>
      <c r="I230" s="38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</row>
    <row r="231" ht="21.0" customHeight="1">
      <c r="A231" s="35"/>
      <c r="B231" s="35"/>
      <c r="C231" s="35"/>
      <c r="D231" s="35"/>
      <c r="E231" s="35"/>
      <c r="F231" s="35"/>
      <c r="G231" s="35"/>
      <c r="H231" s="238"/>
      <c r="I231" s="38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</row>
    <row r="232" ht="21.0" customHeight="1">
      <c r="A232" s="35"/>
      <c r="B232" s="35"/>
      <c r="C232" s="35"/>
      <c r="D232" s="35"/>
      <c r="E232" s="35"/>
      <c r="F232" s="35"/>
      <c r="G232" s="35"/>
      <c r="H232" s="238"/>
      <c r="I232" s="38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</row>
    <row r="233" ht="21.0" customHeight="1">
      <c r="A233" s="35"/>
      <c r="B233" s="35"/>
      <c r="C233" s="35"/>
      <c r="D233" s="35"/>
      <c r="E233" s="35"/>
      <c r="F233" s="35"/>
      <c r="G233" s="35"/>
      <c r="H233" s="238"/>
      <c r="I233" s="38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</row>
    <row r="234" ht="21.0" customHeight="1">
      <c r="A234" s="35"/>
      <c r="B234" s="35"/>
      <c r="C234" s="35"/>
      <c r="D234" s="35"/>
      <c r="E234" s="35"/>
      <c r="F234" s="35"/>
      <c r="G234" s="35"/>
      <c r="H234" s="238"/>
      <c r="I234" s="38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</row>
    <row r="235" ht="21.0" customHeight="1">
      <c r="A235" s="35"/>
      <c r="B235" s="35"/>
      <c r="C235" s="35"/>
      <c r="D235" s="35"/>
      <c r="E235" s="35"/>
      <c r="F235" s="35"/>
      <c r="G235" s="35"/>
      <c r="H235" s="238"/>
      <c r="I235" s="38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</row>
    <row r="236" ht="21.0" customHeight="1">
      <c r="A236" s="35"/>
      <c r="B236" s="35"/>
      <c r="C236" s="35"/>
      <c r="D236" s="35"/>
      <c r="E236" s="35"/>
      <c r="F236" s="35"/>
      <c r="G236" s="35"/>
      <c r="H236" s="238"/>
      <c r="I236" s="38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</row>
    <row r="237" ht="21.0" customHeight="1">
      <c r="A237" s="35"/>
      <c r="B237" s="35"/>
      <c r="C237" s="35"/>
      <c r="D237" s="35"/>
      <c r="E237" s="35"/>
      <c r="F237" s="35"/>
      <c r="G237" s="35"/>
      <c r="H237" s="238"/>
      <c r="I237" s="38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</row>
    <row r="238" ht="21.0" customHeight="1">
      <c r="A238" s="35"/>
      <c r="B238" s="35"/>
      <c r="C238" s="35"/>
      <c r="D238" s="35"/>
      <c r="E238" s="35"/>
      <c r="F238" s="35"/>
      <c r="G238" s="35"/>
      <c r="H238" s="238"/>
      <c r="I238" s="38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</row>
    <row r="239" ht="21.0" customHeight="1">
      <c r="A239" s="35"/>
      <c r="B239" s="35"/>
      <c r="C239" s="35"/>
      <c r="D239" s="35"/>
      <c r="E239" s="35"/>
      <c r="F239" s="35"/>
      <c r="G239" s="35"/>
      <c r="H239" s="238"/>
      <c r="I239" s="38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</row>
    <row r="240" ht="21.0" customHeight="1">
      <c r="A240" s="35"/>
      <c r="B240" s="35"/>
      <c r="C240" s="35"/>
      <c r="D240" s="35"/>
      <c r="E240" s="35"/>
      <c r="F240" s="35"/>
      <c r="G240" s="35"/>
      <c r="H240" s="238"/>
      <c r="I240" s="38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</row>
    <row r="241" ht="21.0" customHeight="1">
      <c r="A241" s="35"/>
      <c r="B241" s="35"/>
      <c r="C241" s="35"/>
      <c r="D241" s="35"/>
      <c r="E241" s="35"/>
      <c r="F241" s="35"/>
      <c r="G241" s="35"/>
      <c r="H241" s="238"/>
      <c r="I241" s="38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</row>
    <row r="242" ht="21.0" customHeight="1">
      <c r="A242" s="35"/>
      <c r="B242" s="35"/>
      <c r="C242" s="35"/>
      <c r="D242" s="35"/>
      <c r="E242" s="35"/>
      <c r="F242" s="35"/>
      <c r="G242" s="35"/>
      <c r="H242" s="238"/>
      <c r="I242" s="38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</row>
    <row r="243" ht="21.0" customHeight="1">
      <c r="A243" s="35"/>
      <c r="B243" s="35"/>
      <c r="C243" s="35"/>
      <c r="D243" s="35"/>
      <c r="E243" s="35"/>
      <c r="F243" s="35"/>
      <c r="G243" s="35"/>
      <c r="H243" s="238"/>
      <c r="I243" s="38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</row>
    <row r="244" ht="21.0" customHeight="1">
      <c r="A244" s="35"/>
      <c r="B244" s="35"/>
      <c r="C244" s="35"/>
      <c r="D244" s="35"/>
      <c r="E244" s="35"/>
      <c r="F244" s="35"/>
      <c r="G244" s="35"/>
      <c r="H244" s="238"/>
      <c r="I244" s="38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</row>
    <row r="245" ht="21.0" customHeight="1">
      <c r="A245" s="35"/>
      <c r="B245" s="35"/>
      <c r="C245" s="35"/>
      <c r="D245" s="35"/>
      <c r="E245" s="35"/>
      <c r="F245" s="35"/>
      <c r="G245" s="35"/>
      <c r="H245" s="238"/>
      <c r="I245" s="38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</row>
    <row r="246" ht="21.0" customHeight="1">
      <c r="A246" s="35"/>
      <c r="B246" s="35"/>
      <c r="C246" s="35"/>
      <c r="D246" s="35"/>
      <c r="E246" s="35"/>
      <c r="F246" s="35"/>
      <c r="G246" s="35"/>
      <c r="H246" s="238"/>
      <c r="I246" s="38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</row>
    <row r="247" ht="21.0" customHeight="1">
      <c r="A247" s="35"/>
      <c r="B247" s="35"/>
      <c r="C247" s="35"/>
      <c r="D247" s="35"/>
      <c r="E247" s="35"/>
      <c r="F247" s="35"/>
      <c r="G247" s="35"/>
      <c r="H247" s="238"/>
      <c r="I247" s="38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</row>
    <row r="248" ht="21.0" customHeight="1">
      <c r="A248" s="35"/>
      <c r="B248" s="35"/>
      <c r="C248" s="35"/>
      <c r="D248" s="35"/>
      <c r="E248" s="35"/>
      <c r="F248" s="35"/>
      <c r="G248" s="35"/>
      <c r="H248" s="238"/>
      <c r="I248" s="38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83">
    <mergeCell ref="N16:R16"/>
    <mergeCell ref="N17:R17"/>
    <mergeCell ref="N12:R12"/>
    <mergeCell ref="T12:X12"/>
    <mergeCell ref="N13:R13"/>
    <mergeCell ref="X13:AC13"/>
    <mergeCell ref="N14:R14"/>
    <mergeCell ref="AA14:AD14"/>
    <mergeCell ref="N15:R15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11:H11"/>
    <mergeCell ref="G12:H12"/>
    <mergeCell ref="D13:F18"/>
    <mergeCell ref="G13:H13"/>
    <mergeCell ref="G14:H14"/>
    <mergeCell ref="G15:H15"/>
    <mergeCell ref="D19:F30"/>
    <mergeCell ref="G30:H30"/>
    <mergeCell ref="B31:B34"/>
    <mergeCell ref="B35:B37"/>
    <mergeCell ref="G34:H34"/>
    <mergeCell ref="G35:H35"/>
    <mergeCell ref="G36:H36"/>
    <mergeCell ref="G37:H37"/>
    <mergeCell ref="G38:H38"/>
    <mergeCell ref="B13:B18"/>
    <mergeCell ref="B19:B30"/>
    <mergeCell ref="D31:F34"/>
    <mergeCell ref="G31:H31"/>
    <mergeCell ref="G32:H32"/>
    <mergeCell ref="G33:H33"/>
    <mergeCell ref="D35:F37"/>
    <mergeCell ref="B2:H2"/>
    <mergeCell ref="I2:N2"/>
    <mergeCell ref="O2:AF2"/>
    <mergeCell ref="E4:G4"/>
    <mergeCell ref="I4:O4"/>
    <mergeCell ref="P4:AB4"/>
    <mergeCell ref="P5:AA5"/>
    <mergeCell ref="X9:AB9"/>
    <mergeCell ref="AC9:AG9"/>
    <mergeCell ref="AH9:AL9"/>
    <mergeCell ref="AM9:AQ9"/>
    <mergeCell ref="AQ10:AQ37"/>
    <mergeCell ref="I5:O5"/>
    <mergeCell ref="I6:O6"/>
    <mergeCell ref="P6:AB6"/>
    <mergeCell ref="I8:W8"/>
    <mergeCell ref="X8:AL8"/>
    <mergeCell ref="AM8:AR8"/>
    <mergeCell ref="I9:M9"/>
    <mergeCell ref="N9:R9"/>
    <mergeCell ref="S9:W9"/>
    <mergeCell ref="B10:B12"/>
    <mergeCell ref="D10:F12"/>
    <mergeCell ref="G10:H10"/>
    <mergeCell ref="N10:R10"/>
    <mergeCell ref="N11:R11"/>
    <mergeCell ref="N31:R31"/>
    <mergeCell ref="N32:R32"/>
    <mergeCell ref="N33:R33"/>
    <mergeCell ref="N34:R34"/>
    <mergeCell ref="N35:R35"/>
    <mergeCell ref="N36:R36"/>
    <mergeCell ref="N37:R37"/>
    <mergeCell ref="G16:H16"/>
    <mergeCell ref="G17:H17"/>
    <mergeCell ref="N18:R18"/>
    <mergeCell ref="N19:R19"/>
    <mergeCell ref="N20:R20"/>
    <mergeCell ref="N21:R21"/>
    <mergeCell ref="N23:R23"/>
  </mergeCells>
  <conditionalFormatting sqref="N10:R37">
    <cfRule type="colorScale" priority="1">
      <colorScale>
        <cfvo type="min" val="0"/>
        <cfvo type="max" val="0"/>
        <color rgb="FF57BB8A"/>
        <color rgb="FFFFFFFF"/>
      </colorScale>
    </cfRule>
  </conditionalFormatting>
  <dataValidations>
    <dataValidation type="list" allowBlank="1" showInputMessage="1" prompt="Click and enter a value from the list of items" sqref="N10:N15">
      <formula1>"Completed,Pending,Holding"</formula1>
    </dataValidation>
    <dataValidation type="list" allowBlank="1" sqref="N16:N37">
      <formula1>"Completed,Pending,Holding"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44"/>
    <col customWidth="1" min="3" max="3" width="20.89"/>
    <col customWidth="1" min="4" max="4" width="24.89"/>
    <col customWidth="1" min="5" max="5" width="22.0"/>
    <col customWidth="1" min="6" max="6" width="17.0"/>
    <col customWidth="1" min="8" max="8" width="16.89"/>
  </cols>
  <sheetData>
    <row r="1">
      <c r="A1" s="244" t="s">
        <v>61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6"/>
    </row>
    <row r="2">
      <c r="A2" s="247"/>
      <c r="B2" s="248" t="s">
        <v>62</v>
      </c>
      <c r="C2" s="249"/>
      <c r="D2" s="249"/>
      <c r="E2" s="249"/>
      <c r="F2" s="249"/>
      <c r="G2" s="249"/>
      <c r="H2" s="250"/>
      <c r="I2" s="251"/>
      <c r="J2" s="252"/>
      <c r="K2" s="249"/>
      <c r="L2" s="249"/>
      <c r="M2" s="249"/>
      <c r="N2" s="249"/>
      <c r="O2" s="249"/>
      <c r="P2" s="249"/>
      <c r="Q2" s="249"/>
      <c r="R2" s="250"/>
      <c r="S2" s="253"/>
      <c r="T2" s="253"/>
      <c r="U2" s="253"/>
      <c r="V2" s="254"/>
      <c r="W2" s="254"/>
      <c r="X2" s="254"/>
      <c r="Y2" s="255"/>
    </row>
    <row r="3">
      <c r="A3" s="247"/>
      <c r="B3" s="256"/>
      <c r="C3" s="256"/>
      <c r="D3" s="257"/>
      <c r="E3" s="257"/>
      <c r="F3" s="257"/>
      <c r="G3" s="257"/>
      <c r="H3" s="257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45"/>
      <c r="T3" s="245"/>
      <c r="U3" s="245"/>
      <c r="V3" s="254"/>
      <c r="W3" s="254"/>
      <c r="X3" s="254"/>
      <c r="Y3" s="255"/>
    </row>
    <row r="4" ht="21.75" customHeight="1">
      <c r="A4" s="247"/>
      <c r="B4" s="258" t="s">
        <v>1</v>
      </c>
      <c r="C4" s="259"/>
      <c r="D4" s="260" t="s">
        <v>2</v>
      </c>
      <c r="E4" s="261"/>
      <c r="F4" s="262" t="s">
        <v>3</v>
      </c>
      <c r="G4" s="260"/>
      <c r="H4" s="263" t="s">
        <v>4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54"/>
      <c r="T4" s="254"/>
      <c r="U4" s="254"/>
      <c r="V4" s="254"/>
      <c r="W4" s="254"/>
      <c r="X4" s="254"/>
      <c r="Y4" s="255"/>
    </row>
    <row r="5" ht="23.25" customHeight="1">
      <c r="A5" s="247"/>
      <c r="B5" s="265" t="s">
        <v>5</v>
      </c>
      <c r="C5" s="266"/>
      <c r="D5" s="266"/>
      <c r="E5" s="261"/>
      <c r="F5" s="267" t="s">
        <v>6</v>
      </c>
      <c r="G5" s="268"/>
      <c r="H5" s="269"/>
      <c r="I5" s="270"/>
      <c r="J5" s="270"/>
      <c r="K5" s="270"/>
      <c r="L5" s="270"/>
      <c r="M5" s="255"/>
      <c r="N5" s="271"/>
      <c r="O5" s="272"/>
      <c r="P5" s="264"/>
      <c r="Q5" s="264"/>
      <c r="R5" s="264"/>
      <c r="S5" s="254"/>
      <c r="T5" s="254"/>
      <c r="U5" s="254"/>
      <c r="V5" s="254"/>
      <c r="W5" s="254"/>
      <c r="X5" s="254"/>
      <c r="Y5" s="255"/>
    </row>
    <row r="6" ht="24.75" customHeight="1">
      <c r="A6" s="247"/>
      <c r="B6" s="265" t="s">
        <v>7</v>
      </c>
      <c r="C6" s="273"/>
      <c r="D6" s="273"/>
      <c r="E6" s="261"/>
      <c r="F6" s="267" t="s">
        <v>9</v>
      </c>
      <c r="G6" s="268"/>
      <c r="H6" s="269" t="s">
        <v>63</v>
      </c>
      <c r="I6" s="270"/>
      <c r="J6" s="270"/>
      <c r="K6" s="270"/>
      <c r="L6" s="270"/>
      <c r="M6" s="255"/>
      <c r="N6" s="271"/>
      <c r="O6" s="272"/>
      <c r="P6" s="264"/>
      <c r="Q6" s="264"/>
      <c r="R6" s="264"/>
      <c r="S6" s="254"/>
      <c r="T6" s="254"/>
      <c r="U6" s="254"/>
      <c r="V6" s="254"/>
      <c r="W6" s="254"/>
      <c r="X6" s="254"/>
      <c r="Y6" s="255"/>
    </row>
    <row r="7">
      <c r="A7" s="247"/>
      <c r="B7" s="245"/>
      <c r="C7" s="245"/>
      <c r="D7" s="245"/>
      <c r="E7" s="254"/>
      <c r="F7" s="245"/>
      <c r="G7" s="245"/>
      <c r="H7" s="245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5"/>
    </row>
    <row r="8">
      <c r="A8" s="274"/>
      <c r="B8" s="254"/>
      <c r="C8" s="254"/>
      <c r="D8" s="254"/>
      <c r="E8" s="254"/>
      <c r="F8" s="275"/>
      <c r="G8" s="275"/>
      <c r="H8" s="275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5"/>
    </row>
    <row r="9">
      <c r="A9" s="39"/>
      <c r="B9" s="40"/>
      <c r="C9" s="40"/>
      <c r="D9" s="41"/>
      <c r="E9" s="41"/>
      <c r="F9" s="276"/>
      <c r="G9" s="276"/>
      <c r="H9" s="276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5"/>
    </row>
    <row r="10" ht="26.25" customHeight="1">
      <c r="A10" s="274"/>
      <c r="B10" s="277" t="s">
        <v>64</v>
      </c>
      <c r="C10" s="278" t="s">
        <v>65</v>
      </c>
      <c r="D10" s="278" t="s">
        <v>66</v>
      </c>
      <c r="E10" s="278" t="s">
        <v>67</v>
      </c>
      <c r="F10" s="275"/>
      <c r="G10" s="275"/>
      <c r="H10" s="275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5"/>
    </row>
    <row r="11" ht="31.5" customHeight="1">
      <c r="A11" s="274"/>
      <c r="B11" s="279">
        <v>1.0</v>
      </c>
      <c r="C11" s="280" t="s">
        <v>68</v>
      </c>
      <c r="D11" s="281">
        <v>100.0</v>
      </c>
      <c r="E11" s="282" t="s">
        <v>69</v>
      </c>
      <c r="F11" s="275"/>
      <c r="G11" s="275"/>
      <c r="H11" s="275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5"/>
    </row>
    <row r="12" ht="27.75" customHeight="1">
      <c r="A12" s="274"/>
      <c r="B12" s="279">
        <v>2.0</v>
      </c>
      <c r="C12" s="282" t="s">
        <v>70</v>
      </c>
      <c r="D12" s="281">
        <v>100.0</v>
      </c>
      <c r="E12" s="282" t="s">
        <v>69</v>
      </c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5"/>
    </row>
    <row r="13" ht="28.5" customHeight="1">
      <c r="A13" s="274"/>
      <c r="B13" s="279">
        <v>3.0</v>
      </c>
      <c r="C13" s="282" t="s">
        <v>71</v>
      </c>
      <c r="D13" s="281">
        <v>40.0</v>
      </c>
      <c r="E13" s="282" t="s">
        <v>72</v>
      </c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5"/>
    </row>
    <row r="14" ht="30.75" customHeight="1">
      <c r="A14" s="274"/>
      <c r="B14" s="279">
        <v>4.0</v>
      </c>
      <c r="C14" s="282" t="s">
        <v>73</v>
      </c>
      <c r="D14" s="281">
        <v>40.0</v>
      </c>
      <c r="E14" s="282" t="s">
        <v>74</v>
      </c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5"/>
    </row>
    <row r="15" ht="29.25" customHeight="1">
      <c r="A15" s="274"/>
      <c r="B15" s="279">
        <v>5.0</v>
      </c>
      <c r="C15" s="282" t="s">
        <v>75</v>
      </c>
      <c r="D15" s="281">
        <v>50.0</v>
      </c>
      <c r="E15" s="282" t="s">
        <v>76</v>
      </c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5"/>
    </row>
    <row r="16">
      <c r="A16" s="274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5"/>
    </row>
    <row r="17">
      <c r="A17" s="274"/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5"/>
    </row>
    <row r="18">
      <c r="A18" s="274"/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5"/>
    </row>
    <row r="19">
      <c r="A19" s="27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5"/>
    </row>
    <row r="20">
      <c r="A20" s="27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5"/>
    </row>
    <row r="21">
      <c r="A21" s="27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5"/>
    </row>
    <row r="22">
      <c r="A22" s="27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5"/>
    </row>
    <row r="23">
      <c r="A23" s="27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5"/>
    </row>
    <row r="24">
      <c r="A24" s="27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5"/>
    </row>
    <row r="25">
      <c r="A25" s="27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5"/>
    </row>
    <row r="26">
      <c r="A26" s="27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5"/>
    </row>
    <row r="27">
      <c r="A27" s="27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5"/>
    </row>
    <row r="28">
      <c r="A28" s="274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5"/>
    </row>
    <row r="29">
      <c r="A29" s="27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5"/>
    </row>
    <row r="30">
      <c r="A30" s="27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5"/>
    </row>
    <row r="31">
      <c r="A31" s="27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5"/>
    </row>
    <row r="32">
      <c r="A32" s="274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5"/>
    </row>
    <row r="33">
      <c r="A33" s="27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5"/>
    </row>
    <row r="34">
      <c r="A34" s="274"/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5"/>
    </row>
    <row r="35">
      <c r="A35" s="274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5"/>
    </row>
    <row r="36">
      <c r="A36" s="274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5"/>
    </row>
    <row r="37">
      <c r="A37" s="274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5"/>
    </row>
    <row r="38">
      <c r="A38" s="274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5"/>
    </row>
    <row r="39">
      <c r="A39" s="274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5"/>
    </row>
    <row r="40">
      <c r="A40" s="27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5"/>
    </row>
    <row r="41">
      <c r="A41" s="27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5"/>
    </row>
    <row r="42">
      <c r="A42" s="27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5"/>
    </row>
    <row r="43">
      <c r="A43" s="274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5"/>
    </row>
    <row r="44">
      <c r="A44" s="274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5"/>
    </row>
    <row r="45">
      <c r="A45" s="274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5"/>
    </row>
    <row r="46">
      <c r="A46" s="274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5"/>
    </row>
    <row r="47">
      <c r="A47" s="274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5"/>
    </row>
    <row r="48">
      <c r="A48" s="274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5"/>
    </row>
    <row r="49">
      <c r="A49" s="274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5"/>
    </row>
    <row r="50">
      <c r="A50" s="27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5"/>
    </row>
    <row r="51">
      <c r="A51" s="27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5"/>
    </row>
    <row r="52">
      <c r="A52" s="274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5"/>
    </row>
    <row r="53">
      <c r="A53" s="274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5"/>
    </row>
    <row r="54">
      <c r="A54" s="274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5"/>
    </row>
    <row r="55">
      <c r="A55" s="274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5"/>
    </row>
    <row r="56">
      <c r="A56" s="274"/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5"/>
    </row>
    <row r="57">
      <c r="A57" s="274"/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5"/>
    </row>
    <row r="58">
      <c r="A58" s="274"/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5"/>
    </row>
    <row r="59">
      <c r="A59" s="274"/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5"/>
    </row>
    <row r="60">
      <c r="A60" s="274"/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5"/>
    </row>
    <row r="61">
      <c r="A61" s="274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5"/>
    </row>
    <row r="62">
      <c r="A62" s="274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5"/>
    </row>
    <row r="63">
      <c r="A63" s="274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5"/>
    </row>
    <row r="64">
      <c r="A64" s="27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5"/>
    </row>
    <row r="65">
      <c r="A65" s="274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5"/>
    </row>
    <row r="66">
      <c r="A66" s="274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5"/>
    </row>
    <row r="67">
      <c r="A67" s="274"/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5"/>
    </row>
    <row r="68">
      <c r="A68" s="274"/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5"/>
    </row>
    <row r="69">
      <c r="A69" s="274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5"/>
    </row>
    <row r="70">
      <c r="A70" s="274"/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5"/>
    </row>
    <row r="71">
      <c r="A71" s="274"/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5"/>
    </row>
    <row r="72">
      <c r="A72" s="274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5"/>
    </row>
    <row r="73">
      <c r="A73" s="274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5"/>
    </row>
    <row r="74">
      <c r="A74" s="274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5"/>
    </row>
    <row r="75">
      <c r="A75" s="274"/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5"/>
    </row>
    <row r="76">
      <c r="A76" s="27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5"/>
    </row>
    <row r="77">
      <c r="A77" s="274"/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5"/>
    </row>
    <row r="78">
      <c r="A78" s="274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5"/>
    </row>
    <row r="79">
      <c r="A79" s="274"/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5"/>
    </row>
    <row r="80">
      <c r="A80" s="274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5"/>
    </row>
    <row r="81">
      <c r="A81" s="274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5"/>
    </row>
    <row r="82">
      <c r="A82" s="27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5"/>
    </row>
    <row r="83">
      <c r="A83" s="274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5"/>
    </row>
    <row r="84">
      <c r="A84" s="274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5"/>
    </row>
    <row r="85">
      <c r="A85" s="274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5"/>
    </row>
    <row r="86">
      <c r="A86" s="274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5"/>
    </row>
    <row r="87">
      <c r="A87" s="274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5"/>
    </row>
    <row r="88">
      <c r="A88" s="27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5"/>
    </row>
    <row r="89">
      <c r="A89" s="274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5"/>
    </row>
    <row r="90">
      <c r="A90" s="274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5"/>
    </row>
    <row r="91">
      <c r="A91" s="274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5"/>
    </row>
    <row r="92">
      <c r="A92" s="274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5"/>
    </row>
    <row r="93">
      <c r="A93" s="274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5"/>
    </row>
    <row r="94">
      <c r="A94" s="274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5"/>
    </row>
    <row r="95">
      <c r="A95" s="274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5"/>
    </row>
    <row r="96">
      <c r="A96" s="274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5"/>
    </row>
    <row r="97">
      <c r="A97" s="274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5"/>
    </row>
    <row r="98">
      <c r="A98" s="274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5"/>
    </row>
    <row r="99">
      <c r="A99" s="274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5"/>
    </row>
    <row r="100">
      <c r="A100" s="274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5"/>
    </row>
    <row r="101">
      <c r="A101" s="274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5"/>
    </row>
    <row r="102">
      <c r="A102" s="274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5"/>
    </row>
    <row r="103">
      <c r="A103" s="274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5"/>
    </row>
    <row r="104">
      <c r="A104" s="274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5"/>
    </row>
    <row r="105">
      <c r="A105" s="274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5"/>
    </row>
    <row r="106">
      <c r="A106" s="274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5"/>
    </row>
    <row r="107">
      <c r="A107" s="274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5"/>
    </row>
    <row r="108">
      <c r="A108" s="274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5"/>
    </row>
    <row r="109">
      <c r="A109" s="274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5"/>
    </row>
    <row r="110">
      <c r="A110" s="274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5"/>
    </row>
    <row r="111">
      <c r="A111" s="274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5"/>
    </row>
    <row r="112">
      <c r="A112" s="274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5"/>
    </row>
    <row r="113">
      <c r="A113" s="27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5"/>
    </row>
    <row r="114">
      <c r="A114" s="274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5"/>
    </row>
    <row r="115">
      <c r="A115" s="274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5"/>
    </row>
    <row r="116">
      <c r="A116" s="274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  <c r="X116" s="254"/>
      <c r="Y116" s="255"/>
    </row>
    <row r="117">
      <c r="A117" s="274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5"/>
    </row>
    <row r="118">
      <c r="A118" s="274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5"/>
    </row>
    <row r="119">
      <c r="A119" s="274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5"/>
    </row>
    <row r="120">
      <c r="A120" s="274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5"/>
    </row>
    <row r="121">
      <c r="A121" s="274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5"/>
    </row>
    <row r="122">
      <c r="A122" s="274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5"/>
    </row>
    <row r="123">
      <c r="A123" s="274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5"/>
    </row>
    <row r="124">
      <c r="A124" s="274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5"/>
    </row>
    <row r="125">
      <c r="A125" s="274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5"/>
    </row>
    <row r="126">
      <c r="A126" s="274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5"/>
    </row>
    <row r="127">
      <c r="A127" s="274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5"/>
    </row>
    <row r="128">
      <c r="A128" s="274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5"/>
    </row>
    <row r="129">
      <c r="A129" s="274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5"/>
    </row>
    <row r="130">
      <c r="A130" s="274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5"/>
    </row>
    <row r="131">
      <c r="A131" s="274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5"/>
    </row>
    <row r="132">
      <c r="A132" s="274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5"/>
    </row>
    <row r="133">
      <c r="A133" s="274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5"/>
    </row>
    <row r="134">
      <c r="A134" s="274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5"/>
    </row>
    <row r="135">
      <c r="A135" s="274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5"/>
    </row>
    <row r="136">
      <c r="A136" s="274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5"/>
    </row>
    <row r="137">
      <c r="A137" s="274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5"/>
    </row>
    <row r="138">
      <c r="A138" s="274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5"/>
    </row>
    <row r="139">
      <c r="A139" s="274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5"/>
    </row>
    <row r="140">
      <c r="A140" s="274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5"/>
    </row>
    <row r="141">
      <c r="A141" s="274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5"/>
    </row>
    <row r="142">
      <c r="A142" s="274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5"/>
    </row>
    <row r="143">
      <c r="A143" s="274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5"/>
    </row>
    <row r="144">
      <c r="A144" s="274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5"/>
    </row>
    <row r="145">
      <c r="A145" s="274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5"/>
    </row>
    <row r="146">
      <c r="A146" s="274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5"/>
    </row>
    <row r="147">
      <c r="A147" s="274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5"/>
    </row>
    <row r="148">
      <c r="A148" s="274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5"/>
    </row>
    <row r="149">
      <c r="A149" s="274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5"/>
    </row>
    <row r="150">
      <c r="A150" s="274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5"/>
    </row>
    <row r="151">
      <c r="A151" s="274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5"/>
    </row>
    <row r="152">
      <c r="A152" s="274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255"/>
    </row>
    <row r="153">
      <c r="A153" s="274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5"/>
    </row>
    <row r="154">
      <c r="A154" s="274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5"/>
    </row>
    <row r="155">
      <c r="A155" s="27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5"/>
    </row>
    <row r="156">
      <c r="A156" s="274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54"/>
      <c r="Y156" s="255"/>
    </row>
    <row r="157">
      <c r="A157" s="274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5"/>
    </row>
    <row r="158">
      <c r="A158" s="274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54"/>
      <c r="Y158" s="255"/>
    </row>
    <row r="159">
      <c r="A159" s="274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5"/>
    </row>
    <row r="160">
      <c r="A160" s="27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5"/>
    </row>
    <row r="161">
      <c r="A161" s="27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5"/>
    </row>
    <row r="162">
      <c r="A162" s="27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255"/>
    </row>
    <row r="163">
      <c r="A163" s="27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5"/>
    </row>
    <row r="164">
      <c r="A164" s="27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255"/>
    </row>
    <row r="165">
      <c r="A165" s="27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5"/>
    </row>
    <row r="166">
      <c r="A166" s="27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55"/>
    </row>
    <row r="167">
      <c r="A167" s="27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5"/>
    </row>
    <row r="168">
      <c r="A168" s="27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55"/>
    </row>
    <row r="169">
      <c r="A169" s="27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5"/>
    </row>
    <row r="170">
      <c r="A170" s="27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  <c r="X170" s="254"/>
      <c r="Y170" s="255"/>
    </row>
    <row r="171">
      <c r="A171" s="27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5"/>
    </row>
    <row r="172">
      <c r="A172" s="274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5"/>
    </row>
    <row r="173">
      <c r="A173" s="274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5"/>
    </row>
    <row r="174">
      <c r="A174" s="274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5"/>
    </row>
    <row r="175">
      <c r="A175" s="274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5"/>
    </row>
    <row r="176">
      <c r="A176" s="274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255"/>
    </row>
    <row r="177">
      <c r="A177" s="274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5"/>
    </row>
    <row r="178">
      <c r="A178" s="274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  <c r="X178" s="254"/>
      <c r="Y178" s="255"/>
    </row>
    <row r="179">
      <c r="A179" s="274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5"/>
    </row>
    <row r="180">
      <c r="A180" s="274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255"/>
    </row>
    <row r="181">
      <c r="A181" s="274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5"/>
    </row>
    <row r="182">
      <c r="A182" s="274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5"/>
    </row>
    <row r="183">
      <c r="A183" s="274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5"/>
    </row>
    <row r="184">
      <c r="A184" s="274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255"/>
    </row>
    <row r="185">
      <c r="A185" s="274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255"/>
    </row>
    <row r="186">
      <c r="A186" s="274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255"/>
    </row>
    <row r="187">
      <c r="A187" s="274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5"/>
    </row>
    <row r="188">
      <c r="A188" s="274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5"/>
    </row>
    <row r="189">
      <c r="A189" s="274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  <c r="X189" s="254"/>
      <c r="Y189" s="255"/>
    </row>
    <row r="190">
      <c r="A190" s="274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5"/>
    </row>
    <row r="191">
      <c r="A191" s="274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5"/>
    </row>
    <row r="192">
      <c r="A192" s="274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5"/>
    </row>
    <row r="193">
      <c r="A193" s="274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255"/>
    </row>
    <row r="194">
      <c r="A194" s="274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255"/>
    </row>
    <row r="195">
      <c r="A195" s="274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255"/>
    </row>
    <row r="196">
      <c r="A196" s="274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5"/>
    </row>
    <row r="197">
      <c r="A197" s="274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5"/>
    </row>
    <row r="198">
      <c r="A198" s="274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255"/>
    </row>
    <row r="199">
      <c r="A199" s="274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255"/>
    </row>
    <row r="200">
      <c r="A200" s="274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5"/>
    </row>
    <row r="201">
      <c r="A201" s="274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5"/>
    </row>
    <row r="202">
      <c r="A202" s="274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  <c r="X202" s="254"/>
      <c r="Y202" s="255"/>
    </row>
    <row r="203">
      <c r="A203" s="274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5"/>
    </row>
    <row r="204">
      <c r="A204" s="274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255"/>
    </row>
    <row r="205">
      <c r="A205" s="274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5"/>
    </row>
    <row r="206">
      <c r="A206" s="27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5"/>
    </row>
    <row r="207">
      <c r="A207" s="274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5"/>
    </row>
    <row r="208">
      <c r="A208" s="27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255"/>
    </row>
    <row r="209">
      <c r="A209" s="274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5"/>
    </row>
    <row r="210">
      <c r="A210" s="274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255"/>
    </row>
    <row r="211">
      <c r="A211" s="274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255"/>
    </row>
    <row r="212">
      <c r="A212" s="274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  <c r="X212" s="254"/>
      <c r="Y212" s="255"/>
    </row>
    <row r="213">
      <c r="A213" s="27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5"/>
    </row>
    <row r="214">
      <c r="A214" s="274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255"/>
    </row>
    <row r="215">
      <c r="A215" s="274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5"/>
    </row>
    <row r="216">
      <c r="A216" s="274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  <c r="X216" s="254"/>
      <c r="Y216" s="255"/>
    </row>
    <row r="217">
      <c r="A217" s="274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5"/>
    </row>
    <row r="218">
      <c r="A218" s="27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255"/>
    </row>
    <row r="219">
      <c r="A219" s="274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255"/>
    </row>
    <row r="220">
      <c r="A220" s="27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5"/>
    </row>
    <row r="221">
      <c r="A221" s="274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5"/>
    </row>
    <row r="222">
      <c r="A222" s="274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255"/>
    </row>
    <row r="223">
      <c r="A223" s="274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255"/>
    </row>
    <row r="224">
      <c r="A224" s="274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255"/>
    </row>
    <row r="225">
      <c r="A225" s="27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5"/>
    </row>
    <row r="226">
      <c r="A226" s="274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255"/>
    </row>
    <row r="227">
      <c r="A227" s="274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255"/>
    </row>
    <row r="228">
      <c r="A228" s="274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  <c r="X228" s="254"/>
      <c r="Y228" s="255"/>
    </row>
    <row r="229">
      <c r="A229" s="274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255"/>
    </row>
    <row r="230">
      <c r="A230" s="27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255"/>
    </row>
    <row r="231">
      <c r="A231" s="274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  <c r="X231" s="254"/>
      <c r="Y231" s="255"/>
    </row>
    <row r="232">
      <c r="A232" s="27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5"/>
    </row>
    <row r="233">
      <c r="A233" s="274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  <c r="X233" s="254"/>
      <c r="Y233" s="255"/>
    </row>
    <row r="234">
      <c r="A234" s="274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5"/>
    </row>
    <row r="235">
      <c r="A235" s="274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5"/>
    </row>
    <row r="236">
      <c r="A236" s="274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255"/>
    </row>
    <row r="237">
      <c r="A237" s="27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5"/>
    </row>
    <row r="238">
      <c r="A238" s="274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255"/>
    </row>
    <row r="239">
      <c r="A239" s="274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  <c r="X239" s="254"/>
      <c r="Y239" s="255"/>
    </row>
    <row r="240">
      <c r="A240" s="274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255"/>
    </row>
    <row r="241">
      <c r="A241" s="274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  <c r="X241" s="254"/>
      <c r="Y241" s="255"/>
    </row>
    <row r="242">
      <c r="A242" s="27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255"/>
    </row>
    <row r="243">
      <c r="A243" s="274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  <c r="X243" s="254"/>
      <c r="Y243" s="255"/>
    </row>
    <row r="244">
      <c r="A244" s="27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255"/>
    </row>
    <row r="245">
      <c r="A245" s="274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255"/>
    </row>
    <row r="246">
      <c r="A246" s="274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255"/>
    </row>
    <row r="247">
      <c r="A247" s="274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255"/>
    </row>
    <row r="248">
      <c r="A248" s="274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255"/>
    </row>
    <row r="249">
      <c r="A249" s="27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5"/>
    </row>
    <row r="250">
      <c r="A250" s="274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5"/>
    </row>
    <row r="251">
      <c r="A251" s="274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255"/>
    </row>
    <row r="252">
      <c r="A252" s="274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255"/>
    </row>
    <row r="253">
      <c r="A253" s="274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5"/>
    </row>
    <row r="254">
      <c r="A254" s="27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255"/>
    </row>
    <row r="255">
      <c r="A255" s="274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  <c r="X255" s="254"/>
      <c r="Y255" s="255"/>
    </row>
    <row r="256">
      <c r="A256" s="27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255"/>
    </row>
    <row r="257">
      <c r="A257" s="274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  <c r="X257" s="254"/>
      <c r="Y257" s="255"/>
    </row>
    <row r="258">
      <c r="A258" s="274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5"/>
    </row>
    <row r="259">
      <c r="A259" s="274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255"/>
    </row>
    <row r="260">
      <c r="A260" s="274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255"/>
    </row>
    <row r="261">
      <c r="A261" s="27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5"/>
    </row>
    <row r="262">
      <c r="A262" s="274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5"/>
    </row>
    <row r="263">
      <c r="A263" s="274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  <c r="X263" s="254"/>
      <c r="Y263" s="255"/>
    </row>
    <row r="264">
      <c r="A264" s="274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  <c r="X264" s="254"/>
      <c r="Y264" s="255"/>
    </row>
    <row r="265">
      <c r="A265" s="274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5"/>
    </row>
    <row r="266">
      <c r="A266" s="274"/>
      <c r="B266" s="254"/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5"/>
    </row>
    <row r="267">
      <c r="A267" s="274"/>
      <c r="B267" s="254"/>
      <c r="C267" s="254"/>
      <c r="D267" s="254"/>
      <c r="E267" s="254"/>
      <c r="F267" s="254"/>
      <c r="G267" s="254"/>
      <c r="H267" s="254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255"/>
    </row>
    <row r="268">
      <c r="A268" s="274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5"/>
    </row>
    <row r="269">
      <c r="A269" s="274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5"/>
    </row>
    <row r="270">
      <c r="A270" s="274"/>
      <c r="B270" s="254"/>
      <c r="C270" s="254"/>
      <c r="D270" s="254"/>
      <c r="E270" s="254"/>
      <c r="F270" s="254"/>
      <c r="G270" s="254"/>
      <c r="H270" s="254"/>
      <c r="I270" s="254"/>
      <c r="J270" s="254"/>
      <c r="K270" s="254"/>
      <c r="L270" s="254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255"/>
    </row>
    <row r="271">
      <c r="A271" s="274"/>
      <c r="B271" s="254"/>
      <c r="C271" s="254"/>
      <c r="D271" s="254"/>
      <c r="E271" s="254"/>
      <c r="F271" s="254"/>
      <c r="G271" s="254"/>
      <c r="H271" s="254"/>
      <c r="I271" s="254"/>
      <c r="J271" s="254"/>
      <c r="K271" s="254"/>
      <c r="L271" s="254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  <c r="X271" s="254"/>
      <c r="Y271" s="255"/>
    </row>
    <row r="272">
      <c r="A272" s="274"/>
      <c r="B272" s="254"/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5"/>
    </row>
    <row r="273">
      <c r="A273" s="274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255"/>
    </row>
    <row r="274">
      <c r="A274" s="274"/>
      <c r="B274" s="254"/>
      <c r="C274" s="254"/>
      <c r="D274" s="254"/>
      <c r="E274" s="254"/>
      <c r="F274" s="254"/>
      <c r="G274" s="254"/>
      <c r="H274" s="254"/>
      <c r="I274" s="254"/>
      <c r="J274" s="254"/>
      <c r="K274" s="254"/>
      <c r="L274" s="254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  <c r="X274" s="254"/>
      <c r="Y274" s="255"/>
    </row>
    <row r="275">
      <c r="A275" s="274"/>
      <c r="B275" s="254"/>
      <c r="C275" s="254"/>
      <c r="D275" s="254"/>
      <c r="E275" s="254"/>
      <c r="F275" s="254"/>
      <c r="G275" s="254"/>
      <c r="H275" s="254"/>
      <c r="I275" s="254"/>
      <c r="J275" s="254"/>
      <c r="K275" s="254"/>
      <c r="L275" s="254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  <c r="X275" s="254"/>
      <c r="Y275" s="255"/>
    </row>
    <row r="276">
      <c r="A276" s="274"/>
      <c r="B276" s="254"/>
      <c r="C276" s="254"/>
      <c r="D276" s="254"/>
      <c r="E276" s="254"/>
      <c r="F276" s="254"/>
      <c r="G276" s="254"/>
      <c r="H276" s="254"/>
      <c r="I276" s="254"/>
      <c r="J276" s="254"/>
      <c r="K276" s="254"/>
      <c r="L276" s="254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  <c r="X276" s="254"/>
      <c r="Y276" s="255"/>
    </row>
    <row r="277">
      <c r="A277" s="274"/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  <c r="X277" s="254"/>
      <c r="Y277" s="255"/>
    </row>
    <row r="278">
      <c r="A278" s="274"/>
      <c r="B278" s="254"/>
      <c r="C278" s="254"/>
      <c r="D278" s="254"/>
      <c r="E278" s="254"/>
      <c r="F278" s="254"/>
      <c r="G278" s="254"/>
      <c r="H278" s="254"/>
      <c r="I278" s="254"/>
      <c r="J278" s="25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255"/>
    </row>
    <row r="279">
      <c r="A279" s="274"/>
      <c r="B279" s="254"/>
      <c r="C279" s="254"/>
      <c r="D279" s="254"/>
      <c r="E279" s="254"/>
      <c r="F279" s="254"/>
      <c r="G279" s="254"/>
      <c r="H279" s="254"/>
      <c r="I279" s="254"/>
      <c r="J279" s="254"/>
      <c r="K279" s="254"/>
      <c r="L279" s="254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  <c r="X279" s="254"/>
      <c r="Y279" s="255"/>
    </row>
    <row r="280">
      <c r="A280" s="274"/>
      <c r="B280" s="254"/>
      <c r="C280" s="254"/>
      <c r="D280" s="254"/>
      <c r="E280" s="254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255"/>
    </row>
    <row r="281">
      <c r="A281" s="274"/>
      <c r="B281" s="254"/>
      <c r="C281" s="254"/>
      <c r="D281" s="254"/>
      <c r="E281" s="254"/>
      <c r="F281" s="254"/>
      <c r="G281" s="254"/>
      <c r="H281" s="254"/>
      <c r="I281" s="254"/>
      <c r="J281" s="254"/>
      <c r="K281" s="254"/>
      <c r="L281" s="254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  <c r="X281" s="254"/>
      <c r="Y281" s="255"/>
    </row>
    <row r="282">
      <c r="A282" s="274"/>
      <c r="B282" s="254"/>
      <c r="C282" s="254"/>
      <c r="D282" s="254"/>
      <c r="E282" s="254"/>
      <c r="F282" s="254"/>
      <c r="G282" s="254"/>
      <c r="H282" s="254"/>
      <c r="I282" s="254"/>
      <c r="J282" s="25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255"/>
    </row>
    <row r="283">
      <c r="A283" s="274"/>
      <c r="B283" s="254"/>
      <c r="C283" s="254"/>
      <c r="D283" s="254"/>
      <c r="E283" s="254"/>
      <c r="F283" s="254"/>
      <c r="G283" s="254"/>
      <c r="H283" s="254"/>
      <c r="I283" s="254"/>
      <c r="J283" s="254"/>
      <c r="K283" s="254"/>
      <c r="L283" s="254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  <c r="X283" s="254"/>
      <c r="Y283" s="255"/>
    </row>
    <row r="284">
      <c r="A284" s="274"/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  <c r="X284" s="254"/>
      <c r="Y284" s="255"/>
    </row>
    <row r="285">
      <c r="A285" s="274"/>
      <c r="B285" s="254"/>
      <c r="C285" s="254"/>
      <c r="D285" s="254"/>
      <c r="E285" s="254"/>
      <c r="F285" s="254"/>
      <c r="G285" s="254"/>
      <c r="H285" s="254"/>
      <c r="I285" s="254"/>
      <c r="J285" s="25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255"/>
    </row>
    <row r="286">
      <c r="A286" s="274"/>
      <c r="B286" s="254"/>
      <c r="C286" s="254"/>
      <c r="D286" s="254"/>
      <c r="E286" s="254"/>
      <c r="F286" s="254"/>
      <c r="G286" s="254"/>
      <c r="H286" s="254"/>
      <c r="I286" s="254"/>
      <c r="J286" s="254"/>
      <c r="K286" s="254"/>
      <c r="L286" s="254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  <c r="X286" s="254"/>
      <c r="Y286" s="255"/>
    </row>
    <row r="287">
      <c r="A287" s="274"/>
      <c r="B287" s="254"/>
      <c r="C287" s="254"/>
      <c r="D287" s="254"/>
      <c r="E287" s="254"/>
      <c r="F287" s="254"/>
      <c r="G287" s="254"/>
      <c r="H287" s="254"/>
      <c r="I287" s="254"/>
      <c r="J287" s="25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255"/>
    </row>
    <row r="288">
      <c r="A288" s="274"/>
      <c r="B288" s="254"/>
      <c r="C288" s="254"/>
      <c r="D288" s="254"/>
      <c r="E288" s="254"/>
      <c r="F288" s="254"/>
      <c r="G288" s="254"/>
      <c r="H288" s="254"/>
      <c r="I288" s="254"/>
      <c r="J288" s="254"/>
      <c r="K288" s="254"/>
      <c r="L288" s="254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  <c r="X288" s="254"/>
      <c r="Y288" s="255"/>
    </row>
    <row r="289">
      <c r="A289" s="274"/>
      <c r="B289" s="254"/>
      <c r="C289" s="254"/>
      <c r="D289" s="254"/>
      <c r="E289" s="254"/>
      <c r="F289" s="254"/>
      <c r="G289" s="254"/>
      <c r="H289" s="254"/>
      <c r="I289" s="254"/>
      <c r="J289" s="254"/>
      <c r="K289" s="254"/>
      <c r="L289" s="254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  <c r="X289" s="254"/>
      <c r="Y289" s="255"/>
    </row>
    <row r="290">
      <c r="A290" s="274"/>
      <c r="B290" s="254"/>
      <c r="C290" s="254"/>
      <c r="D290" s="254"/>
      <c r="E290" s="254"/>
      <c r="F290" s="254"/>
      <c r="G290" s="254"/>
      <c r="H290" s="254"/>
      <c r="I290" s="254"/>
      <c r="J290" s="25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255"/>
    </row>
    <row r="291">
      <c r="A291" s="274"/>
      <c r="B291" s="254"/>
      <c r="C291" s="254"/>
      <c r="D291" s="254"/>
      <c r="E291" s="254"/>
      <c r="F291" s="254"/>
      <c r="G291" s="254"/>
      <c r="H291" s="254"/>
      <c r="I291" s="254"/>
      <c r="J291" s="254"/>
      <c r="K291" s="254"/>
      <c r="L291" s="254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  <c r="X291" s="254"/>
      <c r="Y291" s="255"/>
    </row>
    <row r="292">
      <c r="A292" s="274"/>
      <c r="B292" s="254"/>
      <c r="C292" s="254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255"/>
    </row>
    <row r="293">
      <c r="A293" s="274"/>
      <c r="B293" s="254"/>
      <c r="C293" s="254"/>
      <c r="D293" s="254"/>
      <c r="E293" s="254"/>
      <c r="F293" s="254"/>
      <c r="G293" s="254"/>
      <c r="H293" s="254"/>
      <c r="I293" s="254"/>
      <c r="J293" s="254"/>
      <c r="K293" s="254"/>
      <c r="L293" s="254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  <c r="X293" s="254"/>
      <c r="Y293" s="255"/>
    </row>
    <row r="294">
      <c r="A294" s="274"/>
      <c r="B294" s="254"/>
      <c r="C294" s="254"/>
      <c r="D294" s="254"/>
      <c r="E294" s="254"/>
      <c r="F294" s="254"/>
      <c r="G294" s="254"/>
      <c r="H294" s="254"/>
      <c r="I294" s="254"/>
      <c r="J294" s="254"/>
      <c r="K294" s="254"/>
      <c r="L294" s="254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  <c r="X294" s="254"/>
      <c r="Y294" s="255"/>
    </row>
    <row r="295">
      <c r="A295" s="274"/>
      <c r="B295" s="254"/>
      <c r="C295" s="254"/>
      <c r="D295" s="254"/>
      <c r="E295" s="254"/>
      <c r="F295" s="254"/>
      <c r="G295" s="254"/>
      <c r="H295" s="254"/>
      <c r="I295" s="254"/>
      <c r="J295" s="254"/>
      <c r="K295" s="254"/>
      <c r="L295" s="254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  <c r="X295" s="254"/>
      <c r="Y295" s="255"/>
    </row>
    <row r="296">
      <c r="A296" s="274"/>
      <c r="B296" s="254"/>
      <c r="C296" s="254"/>
      <c r="D296" s="254"/>
      <c r="E296" s="254"/>
      <c r="F296" s="254"/>
      <c r="G296" s="254"/>
      <c r="H296" s="254"/>
      <c r="I296" s="254"/>
      <c r="J296" s="254"/>
      <c r="K296" s="254"/>
      <c r="L296" s="254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  <c r="X296" s="254"/>
      <c r="Y296" s="255"/>
    </row>
    <row r="297">
      <c r="A297" s="274"/>
      <c r="B297" s="254"/>
      <c r="C297" s="254"/>
      <c r="D297" s="254"/>
      <c r="E297" s="254"/>
      <c r="F297" s="254"/>
      <c r="G297" s="254"/>
      <c r="H297" s="254"/>
      <c r="I297" s="254"/>
      <c r="J297" s="25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255"/>
    </row>
    <row r="298">
      <c r="A298" s="274"/>
      <c r="B298" s="254"/>
      <c r="C298" s="254"/>
      <c r="D298" s="254"/>
      <c r="E298" s="254"/>
      <c r="F298" s="254"/>
      <c r="G298" s="254"/>
      <c r="H298" s="254"/>
      <c r="I298" s="254"/>
      <c r="J298" s="254"/>
      <c r="K298" s="254"/>
      <c r="L298" s="254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  <c r="X298" s="254"/>
      <c r="Y298" s="255"/>
    </row>
    <row r="299">
      <c r="A299" s="274"/>
      <c r="B299" s="254"/>
      <c r="C299" s="254"/>
      <c r="D299" s="254"/>
      <c r="E299" s="254"/>
      <c r="F299" s="254"/>
      <c r="G299" s="254"/>
      <c r="H299" s="254"/>
      <c r="I299" s="254"/>
      <c r="J299" s="254"/>
      <c r="K299" s="254"/>
      <c r="L299" s="254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  <c r="X299" s="254"/>
      <c r="Y299" s="255"/>
    </row>
    <row r="300">
      <c r="A300" s="274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5"/>
    </row>
    <row r="301">
      <c r="A301" s="274"/>
      <c r="B301" s="254"/>
      <c r="C301" s="254"/>
      <c r="D301" s="254"/>
      <c r="E301" s="254"/>
      <c r="F301" s="254"/>
      <c r="G301" s="254"/>
      <c r="H301" s="254"/>
      <c r="I301" s="254"/>
      <c r="J301" s="254"/>
      <c r="K301" s="254"/>
      <c r="L301" s="254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  <c r="X301" s="254"/>
      <c r="Y301" s="255"/>
    </row>
    <row r="302">
      <c r="A302" s="274"/>
      <c r="B302" s="254"/>
      <c r="C302" s="254"/>
      <c r="D302" s="254"/>
      <c r="E302" s="254"/>
      <c r="F302" s="254"/>
      <c r="G302" s="254"/>
      <c r="H302" s="254"/>
      <c r="I302" s="254"/>
      <c r="J302" s="25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255"/>
    </row>
    <row r="303">
      <c r="A303" s="274"/>
      <c r="B303" s="254"/>
      <c r="C303" s="254"/>
      <c r="D303" s="254"/>
      <c r="E303" s="254"/>
      <c r="F303" s="254"/>
      <c r="G303" s="254"/>
      <c r="H303" s="254"/>
      <c r="I303" s="254"/>
      <c r="J303" s="254"/>
      <c r="K303" s="254"/>
      <c r="L303" s="254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  <c r="X303" s="254"/>
      <c r="Y303" s="255"/>
    </row>
    <row r="304">
      <c r="A304" s="274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255"/>
    </row>
    <row r="305">
      <c r="A305" s="274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5"/>
    </row>
    <row r="306">
      <c r="A306" s="274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  <c r="X306" s="254"/>
      <c r="Y306" s="255"/>
    </row>
    <row r="307">
      <c r="A307" s="274"/>
      <c r="B307" s="254"/>
      <c r="C307" s="254"/>
      <c r="D307" s="254"/>
      <c r="E307" s="254"/>
      <c r="F307" s="254"/>
      <c r="G307" s="254"/>
      <c r="H307" s="254"/>
      <c r="I307" s="254"/>
      <c r="J307" s="254"/>
      <c r="K307" s="254"/>
      <c r="L307" s="254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  <c r="X307" s="254"/>
      <c r="Y307" s="255"/>
    </row>
    <row r="308">
      <c r="A308" s="274"/>
      <c r="B308" s="254"/>
      <c r="C308" s="254"/>
      <c r="D308" s="254"/>
      <c r="E308" s="254"/>
      <c r="F308" s="254"/>
      <c r="G308" s="254"/>
      <c r="H308" s="254"/>
      <c r="I308" s="254"/>
      <c r="J308" s="254"/>
      <c r="K308" s="254"/>
      <c r="L308" s="254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  <c r="X308" s="254"/>
      <c r="Y308" s="255"/>
    </row>
    <row r="309">
      <c r="A309" s="274"/>
      <c r="B309" s="254"/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5"/>
    </row>
    <row r="310">
      <c r="A310" s="274"/>
      <c r="B310" s="254"/>
      <c r="C310" s="254"/>
      <c r="D310" s="254"/>
      <c r="E310" s="254"/>
      <c r="F310" s="254"/>
      <c r="G310" s="254"/>
      <c r="H310" s="254"/>
      <c r="I310" s="254"/>
      <c r="J310" s="254"/>
      <c r="K310" s="254"/>
      <c r="L310" s="254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  <c r="X310" s="254"/>
      <c r="Y310" s="255"/>
    </row>
    <row r="311">
      <c r="A311" s="274"/>
      <c r="B311" s="254"/>
      <c r="C311" s="254"/>
      <c r="D311" s="254"/>
      <c r="E311" s="254"/>
      <c r="F311" s="254"/>
      <c r="G311" s="254"/>
      <c r="H311" s="254"/>
      <c r="I311" s="254"/>
      <c r="J311" s="254"/>
      <c r="K311" s="254"/>
      <c r="L311" s="254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  <c r="X311" s="254"/>
      <c r="Y311" s="255"/>
    </row>
    <row r="312">
      <c r="A312" s="274"/>
      <c r="B312" s="254"/>
      <c r="C312" s="254"/>
      <c r="D312" s="254"/>
      <c r="E312" s="254"/>
      <c r="F312" s="254"/>
      <c r="G312" s="254"/>
      <c r="H312" s="254"/>
      <c r="I312" s="254"/>
      <c r="J312" s="254"/>
      <c r="K312" s="254"/>
      <c r="L312" s="254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  <c r="X312" s="254"/>
      <c r="Y312" s="255"/>
    </row>
    <row r="313">
      <c r="A313" s="274"/>
      <c r="B313" s="254"/>
      <c r="C313" s="254"/>
      <c r="D313" s="254"/>
      <c r="E313" s="254"/>
      <c r="F313" s="254"/>
      <c r="G313" s="254"/>
      <c r="H313" s="254"/>
      <c r="I313" s="254"/>
      <c r="J313" s="254"/>
      <c r="K313" s="254"/>
      <c r="L313" s="254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  <c r="X313" s="254"/>
      <c r="Y313" s="255"/>
    </row>
    <row r="314">
      <c r="A314" s="274"/>
      <c r="B314" s="254"/>
      <c r="C314" s="254"/>
      <c r="D314" s="254"/>
      <c r="E314" s="254"/>
      <c r="F314" s="254"/>
      <c r="G314" s="254"/>
      <c r="H314" s="254"/>
      <c r="I314" s="254"/>
      <c r="J314" s="254"/>
      <c r="K314" s="254"/>
      <c r="L314" s="254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  <c r="X314" s="254"/>
      <c r="Y314" s="255"/>
    </row>
    <row r="315">
      <c r="A315" s="274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5"/>
    </row>
    <row r="316">
      <c r="A316" s="274"/>
      <c r="B316" s="254"/>
      <c r="C316" s="254"/>
      <c r="D316" s="254"/>
      <c r="E316" s="254"/>
      <c r="F316" s="254"/>
      <c r="G316" s="254"/>
      <c r="H316" s="254"/>
      <c r="I316" s="254"/>
      <c r="J316" s="254"/>
      <c r="K316" s="254"/>
      <c r="L316" s="254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  <c r="X316" s="254"/>
      <c r="Y316" s="255"/>
    </row>
    <row r="317">
      <c r="A317" s="274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255"/>
    </row>
    <row r="318">
      <c r="A318" s="274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255"/>
    </row>
    <row r="319">
      <c r="A319" s="274"/>
      <c r="B319" s="254"/>
      <c r="C319" s="254"/>
      <c r="D319" s="254"/>
      <c r="E319" s="254"/>
      <c r="F319" s="254"/>
      <c r="G319" s="254"/>
      <c r="H319" s="254"/>
      <c r="I319" s="254"/>
      <c r="J319" s="254"/>
      <c r="K319" s="254"/>
      <c r="L319" s="254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  <c r="X319" s="254"/>
      <c r="Y319" s="255"/>
    </row>
    <row r="320">
      <c r="A320" s="274"/>
      <c r="B320" s="254"/>
      <c r="C320" s="254"/>
      <c r="D320" s="254"/>
      <c r="E320" s="254"/>
      <c r="F320" s="254"/>
      <c r="G320" s="254"/>
      <c r="H320" s="254"/>
      <c r="I320" s="254"/>
      <c r="J320" s="254"/>
      <c r="K320" s="254"/>
      <c r="L320" s="254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  <c r="X320" s="254"/>
      <c r="Y320" s="255"/>
    </row>
    <row r="321">
      <c r="A321" s="274"/>
      <c r="B321" s="254"/>
      <c r="C321" s="254"/>
      <c r="D321" s="254"/>
      <c r="E321" s="254"/>
      <c r="F321" s="254"/>
      <c r="G321" s="254"/>
      <c r="H321" s="254"/>
      <c r="I321" s="254"/>
      <c r="J321" s="254"/>
      <c r="K321" s="254"/>
      <c r="L321" s="254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  <c r="X321" s="254"/>
      <c r="Y321" s="255"/>
    </row>
    <row r="322">
      <c r="A322" s="274"/>
      <c r="B322" s="254"/>
      <c r="C322" s="254"/>
      <c r="D322" s="254"/>
      <c r="E322" s="254"/>
      <c r="F322" s="254"/>
      <c r="G322" s="254"/>
      <c r="H322" s="254"/>
      <c r="I322" s="254"/>
      <c r="J322" s="25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  <c r="X322" s="254"/>
      <c r="Y322" s="255"/>
    </row>
    <row r="323">
      <c r="A323" s="274"/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  <c r="X323" s="254"/>
      <c r="Y323" s="255"/>
    </row>
    <row r="324">
      <c r="A324" s="274"/>
      <c r="B324" s="254"/>
      <c r="C324" s="254"/>
      <c r="D324" s="254"/>
      <c r="E324" s="254"/>
      <c r="F324" s="254"/>
      <c r="G324" s="254"/>
      <c r="H324" s="254"/>
      <c r="I324" s="254"/>
      <c r="J324" s="254"/>
      <c r="K324" s="254"/>
      <c r="L324" s="254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  <c r="X324" s="254"/>
      <c r="Y324" s="255"/>
    </row>
    <row r="325">
      <c r="A325" s="274"/>
      <c r="B325" s="254"/>
      <c r="C325" s="254"/>
      <c r="D325" s="254"/>
      <c r="E325" s="254"/>
      <c r="F325" s="254"/>
      <c r="G325" s="254"/>
      <c r="H325" s="254"/>
      <c r="I325" s="254"/>
      <c r="J325" s="25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255"/>
    </row>
    <row r="326">
      <c r="A326" s="274"/>
      <c r="B326" s="254"/>
      <c r="C326" s="254"/>
      <c r="D326" s="254"/>
      <c r="E326" s="254"/>
      <c r="F326" s="254"/>
      <c r="G326" s="254"/>
      <c r="H326" s="254"/>
      <c r="I326" s="254"/>
      <c r="J326" s="25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255"/>
    </row>
    <row r="327">
      <c r="A327" s="274"/>
      <c r="B327" s="254"/>
      <c r="C327" s="254"/>
      <c r="D327" s="254"/>
      <c r="E327" s="254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255"/>
    </row>
    <row r="328">
      <c r="A328" s="274"/>
      <c r="B328" s="254"/>
      <c r="C328" s="254"/>
      <c r="D328" s="254"/>
      <c r="E328" s="254"/>
      <c r="F328" s="254"/>
      <c r="G328" s="254"/>
      <c r="H328" s="254"/>
      <c r="I328" s="254"/>
      <c r="J328" s="25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255"/>
    </row>
    <row r="329">
      <c r="A329" s="274"/>
      <c r="B329" s="254"/>
      <c r="C329" s="254"/>
      <c r="D329" s="254"/>
      <c r="E329" s="254"/>
      <c r="F329" s="254"/>
      <c r="G329" s="254"/>
      <c r="H329" s="254"/>
      <c r="I329" s="254"/>
      <c r="J329" s="25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255"/>
    </row>
    <row r="330">
      <c r="A330" s="274"/>
      <c r="B330" s="254"/>
      <c r="C330" s="254"/>
      <c r="D330" s="254"/>
      <c r="E330" s="254"/>
      <c r="F330" s="254"/>
      <c r="G330" s="254"/>
      <c r="H330" s="254"/>
      <c r="I330" s="254"/>
      <c r="J330" s="25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255"/>
    </row>
    <row r="331">
      <c r="A331" s="274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255"/>
    </row>
    <row r="332">
      <c r="A332" s="274"/>
      <c r="B332" s="254"/>
      <c r="C332" s="254"/>
      <c r="D332" s="254"/>
      <c r="E332" s="254"/>
      <c r="F332" s="254"/>
      <c r="G332" s="254"/>
      <c r="H332" s="254"/>
      <c r="I332" s="254"/>
      <c r="J332" s="25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255"/>
    </row>
    <row r="333">
      <c r="A333" s="274"/>
      <c r="B333" s="254"/>
      <c r="C333" s="254"/>
      <c r="D333" s="254"/>
      <c r="E333" s="254"/>
      <c r="F333" s="254"/>
      <c r="G333" s="254"/>
      <c r="H333" s="254"/>
      <c r="I333" s="254"/>
      <c r="J333" s="25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255"/>
    </row>
    <row r="334">
      <c r="A334" s="274"/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255"/>
    </row>
    <row r="335">
      <c r="A335" s="274"/>
      <c r="B335" s="254"/>
      <c r="C335" s="254"/>
      <c r="D335" s="254"/>
      <c r="E335" s="254"/>
      <c r="F335" s="254"/>
      <c r="G335" s="254"/>
      <c r="H335" s="254"/>
      <c r="I335" s="254"/>
      <c r="J335" s="25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255"/>
    </row>
    <row r="336">
      <c r="A336" s="274"/>
      <c r="B336" s="254"/>
      <c r="C336" s="254"/>
      <c r="D336" s="254"/>
      <c r="E336" s="254"/>
      <c r="F336" s="254"/>
      <c r="G336" s="254"/>
      <c r="H336" s="254"/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5"/>
    </row>
    <row r="337">
      <c r="A337" s="274"/>
      <c r="B337" s="254"/>
      <c r="C337" s="254"/>
      <c r="D337" s="254"/>
      <c r="E337" s="254"/>
      <c r="F337" s="254"/>
      <c r="G337" s="254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5"/>
    </row>
    <row r="338">
      <c r="A338" s="274"/>
      <c r="B338" s="254"/>
      <c r="C338" s="254"/>
      <c r="D338" s="254"/>
      <c r="E338" s="254"/>
      <c r="F338" s="254"/>
      <c r="G338" s="254"/>
      <c r="H338" s="254"/>
      <c r="I338" s="254"/>
      <c r="J338" s="25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255"/>
    </row>
    <row r="339">
      <c r="A339" s="274"/>
      <c r="B339" s="254"/>
      <c r="C339" s="254"/>
      <c r="D339" s="254"/>
      <c r="E339" s="254"/>
      <c r="F339" s="254"/>
      <c r="G339" s="254"/>
      <c r="H339" s="254"/>
      <c r="I339" s="254"/>
      <c r="J339" s="25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  <c r="X339" s="254"/>
      <c r="Y339" s="255"/>
    </row>
    <row r="340">
      <c r="A340" s="274"/>
      <c r="B340" s="254"/>
      <c r="C340" s="254"/>
      <c r="D340" s="254"/>
      <c r="E340" s="254"/>
      <c r="F340" s="254"/>
      <c r="G340" s="254"/>
      <c r="H340" s="254"/>
      <c r="I340" s="254"/>
      <c r="J340" s="25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255"/>
    </row>
    <row r="341">
      <c r="A341" s="274"/>
      <c r="B341" s="254"/>
      <c r="C341" s="254"/>
      <c r="D341" s="254"/>
      <c r="E341" s="254"/>
      <c r="F341" s="254"/>
      <c r="G341" s="254"/>
      <c r="H341" s="254"/>
      <c r="I341" s="254"/>
      <c r="J341" s="254"/>
      <c r="K341" s="254"/>
      <c r="L341" s="254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  <c r="X341" s="254"/>
      <c r="Y341" s="255"/>
    </row>
    <row r="342">
      <c r="A342" s="274"/>
      <c r="B342" s="254"/>
      <c r="C342" s="254"/>
      <c r="D342" s="254"/>
      <c r="E342" s="254"/>
      <c r="F342" s="254"/>
      <c r="G342" s="254"/>
      <c r="H342" s="254"/>
      <c r="I342" s="254"/>
      <c r="J342" s="25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  <c r="X342" s="254"/>
      <c r="Y342" s="255"/>
    </row>
    <row r="343">
      <c r="A343" s="274"/>
      <c r="B343" s="254"/>
      <c r="C343" s="254"/>
      <c r="D343" s="254"/>
      <c r="E343" s="254"/>
      <c r="F343" s="254"/>
      <c r="G343" s="254"/>
      <c r="H343" s="254"/>
      <c r="I343" s="254"/>
      <c r="J343" s="254"/>
      <c r="K343" s="254"/>
      <c r="L343" s="254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  <c r="X343" s="254"/>
      <c r="Y343" s="255"/>
    </row>
    <row r="344">
      <c r="A344" s="274"/>
      <c r="B344" s="254"/>
      <c r="C344" s="254"/>
      <c r="D344" s="254"/>
      <c r="E344" s="254"/>
      <c r="F344" s="254"/>
      <c r="G344" s="254"/>
      <c r="H344" s="254"/>
      <c r="I344" s="254"/>
      <c r="J344" s="254"/>
      <c r="K344" s="254"/>
      <c r="L344" s="254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  <c r="X344" s="254"/>
      <c r="Y344" s="255"/>
    </row>
    <row r="345">
      <c r="A345" s="274"/>
      <c r="B345" s="254"/>
      <c r="C345" s="254"/>
      <c r="D345" s="254"/>
      <c r="E345" s="254"/>
      <c r="F345" s="254"/>
      <c r="G345" s="254"/>
      <c r="H345" s="254"/>
      <c r="I345" s="254"/>
      <c r="J345" s="25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  <c r="X345" s="254"/>
      <c r="Y345" s="255"/>
    </row>
    <row r="346">
      <c r="A346" s="274"/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255"/>
    </row>
    <row r="347">
      <c r="A347" s="274"/>
      <c r="B347" s="254"/>
      <c r="C347" s="254"/>
      <c r="D347" s="254"/>
      <c r="E347" s="254"/>
      <c r="F347" s="254"/>
      <c r="G347" s="254"/>
      <c r="H347" s="254"/>
      <c r="I347" s="254"/>
      <c r="J347" s="25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255"/>
    </row>
    <row r="348">
      <c r="A348" s="274"/>
      <c r="B348" s="254"/>
      <c r="C348" s="254"/>
      <c r="D348" s="254"/>
      <c r="E348" s="254"/>
      <c r="F348" s="254"/>
      <c r="G348" s="254"/>
      <c r="H348" s="254"/>
      <c r="I348" s="254"/>
      <c r="J348" s="25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255"/>
    </row>
    <row r="349">
      <c r="A349" s="274"/>
      <c r="B349" s="254"/>
      <c r="C349" s="254"/>
      <c r="D349" s="254"/>
      <c r="E349" s="254"/>
      <c r="F349" s="254"/>
      <c r="G349" s="254"/>
      <c r="H349" s="254"/>
      <c r="I349" s="254"/>
      <c r="J349" s="25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255"/>
    </row>
    <row r="350">
      <c r="A350" s="274"/>
      <c r="B350" s="254"/>
      <c r="C350" s="254"/>
      <c r="D350" s="254"/>
      <c r="E350" s="254"/>
      <c r="F350" s="254"/>
      <c r="G350" s="254"/>
      <c r="H350" s="254"/>
      <c r="I350" s="254"/>
      <c r="J350" s="25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5"/>
    </row>
    <row r="351">
      <c r="A351" s="274"/>
      <c r="B351" s="254"/>
      <c r="C351" s="254"/>
      <c r="D351" s="254"/>
      <c r="E351" s="254"/>
      <c r="F351" s="254"/>
      <c r="G351" s="254"/>
      <c r="H351" s="254"/>
      <c r="I351" s="254"/>
      <c r="J351" s="25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5"/>
    </row>
    <row r="352">
      <c r="A352" s="274"/>
      <c r="B352" s="254"/>
      <c r="C352" s="254"/>
      <c r="D352" s="254"/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255"/>
    </row>
    <row r="353">
      <c r="A353" s="274"/>
      <c r="B353" s="254"/>
      <c r="C353" s="254"/>
      <c r="D353" s="254"/>
      <c r="E353" s="254"/>
      <c r="F353" s="254"/>
      <c r="G353" s="254"/>
      <c r="H353" s="254"/>
      <c r="I353" s="254"/>
      <c r="J353" s="25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255"/>
    </row>
    <row r="354">
      <c r="A354" s="274"/>
      <c r="B354" s="254"/>
      <c r="C354" s="254"/>
      <c r="D354" s="254"/>
      <c r="E354" s="254"/>
      <c r="F354" s="254"/>
      <c r="G354" s="254"/>
      <c r="H354" s="254"/>
      <c r="I354" s="254"/>
      <c r="J354" s="25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255"/>
    </row>
    <row r="355">
      <c r="A355" s="274"/>
      <c r="B355" s="254"/>
      <c r="C355" s="254"/>
      <c r="D355" s="254"/>
      <c r="E355" s="254"/>
      <c r="F355" s="254"/>
      <c r="G355" s="254"/>
      <c r="H355" s="254"/>
      <c r="I355" s="254"/>
      <c r="J355" s="25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255"/>
    </row>
    <row r="356">
      <c r="A356" s="274"/>
      <c r="B356" s="254"/>
      <c r="C356" s="254"/>
      <c r="D356" s="254"/>
      <c r="E356" s="254"/>
      <c r="F356" s="254"/>
      <c r="G356" s="254"/>
      <c r="H356" s="254"/>
      <c r="I356" s="254"/>
      <c r="J356" s="25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255"/>
    </row>
    <row r="357">
      <c r="A357" s="274"/>
      <c r="B357" s="254"/>
      <c r="C357" s="254"/>
      <c r="D357" s="254"/>
      <c r="E357" s="254"/>
      <c r="F357" s="254"/>
      <c r="G357" s="254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5"/>
    </row>
    <row r="358">
      <c r="A358" s="274"/>
      <c r="B358" s="254"/>
      <c r="C358" s="254"/>
      <c r="D358" s="254"/>
      <c r="E358" s="254"/>
      <c r="F358" s="254"/>
      <c r="G358" s="254"/>
      <c r="H358" s="254"/>
      <c r="I358" s="254"/>
      <c r="J358" s="25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5"/>
    </row>
    <row r="359">
      <c r="A359" s="274"/>
      <c r="B359" s="254"/>
      <c r="C359" s="254"/>
      <c r="D359" s="254"/>
      <c r="E359" s="254"/>
      <c r="F359" s="254"/>
      <c r="G359" s="254"/>
      <c r="H359" s="254"/>
      <c r="I359" s="254"/>
      <c r="J359" s="25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5"/>
    </row>
    <row r="360">
      <c r="A360" s="274"/>
      <c r="B360" s="254"/>
      <c r="C360" s="254"/>
      <c r="D360" s="254"/>
      <c r="E360" s="254"/>
      <c r="F360" s="254"/>
      <c r="G360" s="254"/>
      <c r="H360" s="254"/>
      <c r="I360" s="254"/>
      <c r="J360" s="254"/>
      <c r="K360" s="254"/>
      <c r="L360" s="254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  <c r="X360" s="254"/>
      <c r="Y360" s="255"/>
    </row>
    <row r="361">
      <c r="A361" s="274"/>
      <c r="B361" s="254"/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  <c r="X361" s="254"/>
      <c r="Y361" s="255"/>
    </row>
    <row r="362">
      <c r="A362" s="274"/>
      <c r="B362" s="254"/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  <c r="X362" s="254"/>
      <c r="Y362" s="255"/>
    </row>
    <row r="363">
      <c r="A363" s="274"/>
      <c r="B363" s="254"/>
      <c r="C363" s="254"/>
      <c r="D363" s="254"/>
      <c r="E363" s="254"/>
      <c r="F363" s="254"/>
      <c r="G363" s="254"/>
      <c r="H363" s="254"/>
      <c r="I363" s="254"/>
      <c r="J363" s="254"/>
      <c r="K363" s="254"/>
      <c r="L363" s="254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  <c r="X363" s="254"/>
      <c r="Y363" s="255"/>
    </row>
    <row r="364">
      <c r="A364" s="274"/>
      <c r="B364" s="254"/>
      <c r="C364" s="254"/>
      <c r="D364" s="254"/>
      <c r="E364" s="254"/>
      <c r="F364" s="254"/>
      <c r="G364" s="254"/>
      <c r="H364" s="254"/>
      <c r="I364" s="254"/>
      <c r="J364" s="254"/>
      <c r="K364" s="254"/>
      <c r="L364" s="254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  <c r="X364" s="254"/>
      <c r="Y364" s="255"/>
    </row>
    <row r="365">
      <c r="A365" s="274"/>
      <c r="B365" s="254"/>
      <c r="C365" s="254"/>
      <c r="D365" s="254"/>
      <c r="E365" s="254"/>
      <c r="F365" s="254"/>
      <c r="G365" s="254"/>
      <c r="H365" s="254"/>
      <c r="I365" s="254"/>
      <c r="J365" s="254"/>
      <c r="K365" s="254"/>
      <c r="L365" s="254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  <c r="X365" s="254"/>
      <c r="Y365" s="255"/>
    </row>
    <row r="366">
      <c r="A366" s="274"/>
      <c r="B366" s="254"/>
      <c r="C366" s="254"/>
      <c r="D366" s="254"/>
      <c r="E366" s="254"/>
      <c r="F366" s="254"/>
      <c r="G366" s="254"/>
      <c r="H366" s="254"/>
      <c r="I366" s="254"/>
      <c r="J366" s="254"/>
      <c r="K366" s="254"/>
      <c r="L366" s="254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  <c r="X366" s="254"/>
      <c r="Y366" s="255"/>
    </row>
    <row r="367">
      <c r="A367" s="274"/>
      <c r="B367" s="254"/>
      <c r="C367" s="254"/>
      <c r="D367" s="254"/>
      <c r="E367" s="254"/>
      <c r="F367" s="254"/>
      <c r="G367" s="254"/>
      <c r="H367" s="254"/>
      <c r="I367" s="254"/>
      <c r="J367" s="254"/>
      <c r="K367" s="254"/>
      <c r="L367" s="254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  <c r="X367" s="254"/>
      <c r="Y367" s="255"/>
    </row>
    <row r="368">
      <c r="A368" s="274"/>
      <c r="B368" s="254"/>
      <c r="C368" s="254"/>
      <c r="D368" s="254"/>
      <c r="E368" s="254"/>
      <c r="F368" s="254"/>
      <c r="G368" s="254"/>
      <c r="H368" s="254"/>
      <c r="I368" s="254"/>
      <c r="J368" s="25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  <c r="X368" s="254"/>
      <c r="Y368" s="255"/>
    </row>
    <row r="369">
      <c r="A369" s="274"/>
      <c r="B369" s="254"/>
      <c r="C369" s="254"/>
      <c r="D369" s="254"/>
      <c r="E369" s="254"/>
      <c r="F369" s="254"/>
      <c r="G369" s="254"/>
      <c r="H369" s="254"/>
      <c r="I369" s="254"/>
      <c r="J369" s="254"/>
      <c r="K369" s="254"/>
      <c r="L369" s="254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  <c r="X369" s="254"/>
      <c r="Y369" s="255"/>
    </row>
    <row r="370">
      <c r="A370" s="274"/>
      <c r="B370" s="254"/>
      <c r="C370" s="254"/>
      <c r="D370" s="254"/>
      <c r="E370" s="254"/>
      <c r="F370" s="254"/>
      <c r="G370" s="254"/>
      <c r="H370" s="254"/>
      <c r="I370" s="254"/>
      <c r="J370" s="254"/>
      <c r="K370" s="254"/>
      <c r="L370" s="254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  <c r="X370" s="254"/>
      <c r="Y370" s="255"/>
    </row>
    <row r="371">
      <c r="A371" s="274"/>
      <c r="B371" s="254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  <c r="X371" s="254"/>
      <c r="Y371" s="255"/>
    </row>
    <row r="372">
      <c r="A372" s="274"/>
      <c r="B372" s="254"/>
      <c r="C372" s="254"/>
      <c r="D372" s="254"/>
      <c r="E372" s="254"/>
      <c r="F372" s="254"/>
      <c r="G372" s="254"/>
      <c r="H372" s="254"/>
      <c r="I372" s="254"/>
      <c r="J372" s="254"/>
      <c r="K372" s="254"/>
      <c r="L372" s="254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  <c r="X372" s="254"/>
      <c r="Y372" s="255"/>
    </row>
    <row r="373">
      <c r="A373" s="274"/>
      <c r="B373" s="254"/>
      <c r="C373" s="254"/>
      <c r="D373" s="254"/>
      <c r="E373" s="254"/>
      <c r="F373" s="254"/>
      <c r="G373" s="254"/>
      <c r="H373" s="254"/>
      <c r="I373" s="254"/>
      <c r="J373" s="254"/>
      <c r="K373" s="254"/>
      <c r="L373" s="254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  <c r="X373" s="254"/>
      <c r="Y373" s="255"/>
    </row>
    <row r="374">
      <c r="A374" s="274"/>
      <c r="B374" s="254"/>
      <c r="C374" s="254"/>
      <c r="D374" s="254"/>
      <c r="E374" s="254"/>
      <c r="F374" s="254"/>
      <c r="G374" s="254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  <c r="X374" s="254"/>
      <c r="Y374" s="255"/>
    </row>
    <row r="375">
      <c r="A375" s="274"/>
      <c r="B375" s="254"/>
      <c r="C375" s="254"/>
      <c r="D375" s="254"/>
      <c r="E375" s="254"/>
      <c r="F375" s="254"/>
      <c r="G375" s="254"/>
      <c r="H375" s="254"/>
      <c r="I375" s="254"/>
      <c r="J375" s="254"/>
      <c r="K375" s="254"/>
      <c r="L375" s="254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  <c r="X375" s="254"/>
      <c r="Y375" s="255"/>
    </row>
    <row r="376">
      <c r="A376" s="274"/>
      <c r="B376" s="254"/>
      <c r="C376" s="254"/>
      <c r="D376" s="254"/>
      <c r="E376" s="254"/>
      <c r="F376" s="254"/>
      <c r="G376" s="254"/>
      <c r="H376" s="254"/>
      <c r="I376" s="254"/>
      <c r="J376" s="254"/>
      <c r="K376" s="254"/>
      <c r="L376" s="254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  <c r="X376" s="254"/>
      <c r="Y376" s="255"/>
    </row>
    <row r="377">
      <c r="A377" s="274"/>
      <c r="B377" s="254"/>
      <c r="C377" s="254"/>
      <c r="D377" s="254"/>
      <c r="E377" s="254"/>
      <c r="F377" s="254"/>
      <c r="G377" s="254"/>
      <c r="H377" s="254"/>
      <c r="I377" s="254"/>
      <c r="J377" s="254"/>
      <c r="K377" s="254"/>
      <c r="L377" s="254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  <c r="X377" s="254"/>
      <c r="Y377" s="255"/>
    </row>
    <row r="378">
      <c r="A378" s="274"/>
      <c r="B378" s="254"/>
      <c r="C378" s="254"/>
      <c r="D378" s="254"/>
      <c r="E378" s="254"/>
      <c r="F378" s="254"/>
      <c r="G378" s="254"/>
      <c r="H378" s="254"/>
      <c r="I378" s="254"/>
      <c r="J378" s="254"/>
      <c r="K378" s="254"/>
      <c r="L378" s="254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  <c r="X378" s="254"/>
      <c r="Y378" s="255"/>
    </row>
    <row r="379">
      <c r="A379" s="274"/>
      <c r="B379" s="254"/>
      <c r="C379" s="254"/>
      <c r="D379" s="254"/>
      <c r="E379" s="254"/>
      <c r="F379" s="254"/>
      <c r="G379" s="254"/>
      <c r="H379" s="254"/>
      <c r="I379" s="254"/>
      <c r="J379" s="254"/>
      <c r="K379" s="254"/>
      <c r="L379" s="254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  <c r="X379" s="254"/>
      <c r="Y379" s="255"/>
    </row>
    <row r="380">
      <c r="A380" s="274"/>
      <c r="B380" s="254"/>
      <c r="C380" s="254"/>
      <c r="D380" s="254"/>
      <c r="E380" s="254"/>
      <c r="F380" s="254"/>
      <c r="G380" s="254"/>
      <c r="H380" s="254"/>
      <c r="I380" s="254"/>
      <c r="J380" s="254"/>
      <c r="K380" s="254"/>
      <c r="L380" s="254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  <c r="X380" s="254"/>
      <c r="Y380" s="255"/>
    </row>
    <row r="381">
      <c r="A381" s="274"/>
      <c r="B381" s="254"/>
      <c r="C381" s="254"/>
      <c r="D381" s="254"/>
      <c r="E381" s="254"/>
      <c r="F381" s="254"/>
      <c r="G381" s="254"/>
      <c r="H381" s="254"/>
      <c r="I381" s="254"/>
      <c r="J381" s="254"/>
      <c r="K381" s="254"/>
      <c r="L381" s="254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  <c r="X381" s="254"/>
      <c r="Y381" s="255"/>
    </row>
    <row r="382">
      <c r="A382" s="274"/>
      <c r="B382" s="254"/>
      <c r="C382" s="254"/>
      <c r="D382" s="254"/>
      <c r="E382" s="254"/>
      <c r="F382" s="254"/>
      <c r="G382" s="254"/>
      <c r="H382" s="254"/>
      <c r="I382" s="254"/>
      <c r="J382" s="254"/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255"/>
    </row>
    <row r="383">
      <c r="A383" s="274"/>
      <c r="B383" s="254"/>
      <c r="C383" s="254"/>
      <c r="D383" s="254"/>
      <c r="E383" s="254"/>
      <c r="F383" s="254"/>
      <c r="G383" s="254"/>
      <c r="H383" s="254"/>
      <c r="I383" s="254"/>
      <c r="J383" s="254"/>
      <c r="K383" s="254"/>
      <c r="L383" s="254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  <c r="X383" s="254"/>
      <c r="Y383" s="255"/>
    </row>
    <row r="384">
      <c r="A384" s="274"/>
      <c r="B384" s="254"/>
      <c r="C384" s="254"/>
      <c r="D384" s="254"/>
      <c r="E384" s="254"/>
      <c r="F384" s="254"/>
      <c r="G384" s="254"/>
      <c r="H384" s="254"/>
      <c r="I384" s="254"/>
      <c r="J384" s="254"/>
      <c r="K384" s="254"/>
      <c r="L384" s="254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  <c r="X384" s="254"/>
      <c r="Y384" s="255"/>
    </row>
    <row r="385">
      <c r="A385" s="274"/>
      <c r="B385" s="254"/>
      <c r="C385" s="254"/>
      <c r="D385" s="254"/>
      <c r="E385" s="254"/>
      <c r="F385" s="254"/>
      <c r="G385" s="254"/>
      <c r="H385" s="254"/>
      <c r="I385" s="254"/>
      <c r="J385" s="254"/>
      <c r="K385" s="254"/>
      <c r="L385" s="254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  <c r="X385" s="254"/>
      <c r="Y385" s="255"/>
    </row>
    <row r="386">
      <c r="A386" s="274"/>
      <c r="B386" s="254"/>
      <c r="C386" s="254"/>
      <c r="D386" s="254"/>
      <c r="E386" s="254"/>
      <c r="F386" s="254"/>
      <c r="G386" s="254"/>
      <c r="H386" s="254"/>
      <c r="I386" s="254"/>
      <c r="J386" s="254"/>
      <c r="K386" s="254"/>
      <c r="L386" s="254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255"/>
    </row>
    <row r="387">
      <c r="A387" s="274"/>
      <c r="B387" s="254"/>
      <c r="C387" s="254"/>
      <c r="D387" s="254"/>
      <c r="E387" s="254"/>
      <c r="F387" s="254"/>
      <c r="G387" s="254"/>
      <c r="H387" s="254"/>
      <c r="I387" s="254"/>
      <c r="J387" s="254"/>
      <c r="K387" s="254"/>
      <c r="L387" s="254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  <c r="X387" s="254"/>
      <c r="Y387" s="255"/>
    </row>
    <row r="388">
      <c r="A388" s="274"/>
      <c r="B388" s="254"/>
      <c r="C388" s="254"/>
      <c r="D388" s="254"/>
      <c r="E388" s="254"/>
      <c r="F388" s="254"/>
      <c r="G388" s="254"/>
      <c r="H388" s="254"/>
      <c r="I388" s="254"/>
      <c r="J388" s="254"/>
      <c r="K388" s="254"/>
      <c r="L388" s="254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255"/>
    </row>
    <row r="389">
      <c r="A389" s="274"/>
      <c r="B389" s="254"/>
      <c r="C389" s="254"/>
      <c r="D389" s="254"/>
      <c r="E389" s="254"/>
      <c r="F389" s="254"/>
      <c r="G389" s="254"/>
      <c r="H389" s="254"/>
      <c r="I389" s="254"/>
      <c r="J389" s="254"/>
      <c r="K389" s="254"/>
      <c r="L389" s="254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  <c r="X389" s="254"/>
      <c r="Y389" s="255"/>
    </row>
    <row r="390">
      <c r="A390" s="274"/>
      <c r="B390" s="254"/>
      <c r="C390" s="254"/>
      <c r="D390" s="254"/>
      <c r="E390" s="254"/>
      <c r="F390" s="254"/>
      <c r="G390" s="254"/>
      <c r="H390" s="254"/>
      <c r="I390" s="254"/>
      <c r="J390" s="254"/>
      <c r="K390" s="254"/>
      <c r="L390" s="254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  <c r="X390" s="254"/>
      <c r="Y390" s="255"/>
    </row>
    <row r="391">
      <c r="A391" s="274"/>
      <c r="B391" s="254"/>
      <c r="C391" s="254"/>
      <c r="D391" s="254"/>
      <c r="E391" s="254"/>
      <c r="F391" s="254"/>
      <c r="G391" s="254"/>
      <c r="H391" s="254"/>
      <c r="I391" s="254"/>
      <c r="J391" s="254"/>
      <c r="K391" s="254"/>
      <c r="L391" s="254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  <c r="X391" s="254"/>
      <c r="Y391" s="255"/>
    </row>
    <row r="392">
      <c r="A392" s="274"/>
      <c r="B392" s="254"/>
      <c r="C392" s="254"/>
      <c r="D392" s="254"/>
      <c r="E392" s="254"/>
      <c r="F392" s="254"/>
      <c r="G392" s="254"/>
      <c r="H392" s="254"/>
      <c r="I392" s="254"/>
      <c r="J392" s="25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255"/>
    </row>
    <row r="393">
      <c r="A393" s="274"/>
      <c r="B393" s="254"/>
      <c r="C393" s="254"/>
      <c r="D393" s="254"/>
      <c r="E393" s="254"/>
      <c r="F393" s="254"/>
      <c r="G393" s="254"/>
      <c r="H393" s="254"/>
      <c r="I393" s="254"/>
      <c r="J393" s="254"/>
      <c r="K393" s="254"/>
      <c r="L393" s="254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  <c r="X393" s="254"/>
      <c r="Y393" s="255"/>
    </row>
    <row r="394">
      <c r="A394" s="274"/>
      <c r="B394" s="254"/>
      <c r="C394" s="254"/>
      <c r="D394" s="254"/>
      <c r="E394" s="254"/>
      <c r="F394" s="254"/>
      <c r="G394" s="254"/>
      <c r="H394" s="254"/>
      <c r="I394" s="254"/>
      <c r="J394" s="254"/>
      <c r="K394" s="254"/>
      <c r="L394" s="254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  <c r="X394" s="254"/>
      <c r="Y394" s="255"/>
    </row>
    <row r="395">
      <c r="A395" s="274"/>
      <c r="B395" s="254"/>
      <c r="C395" s="254"/>
      <c r="D395" s="254"/>
      <c r="E395" s="254"/>
      <c r="F395" s="254"/>
      <c r="G395" s="254"/>
      <c r="H395" s="254"/>
      <c r="I395" s="254"/>
      <c r="J395" s="254"/>
      <c r="K395" s="254"/>
      <c r="L395" s="254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  <c r="X395" s="254"/>
      <c r="Y395" s="255"/>
    </row>
    <row r="396">
      <c r="A396" s="274"/>
      <c r="B396" s="254"/>
      <c r="C396" s="254"/>
      <c r="D396" s="254"/>
      <c r="E396" s="254"/>
      <c r="F396" s="254"/>
      <c r="G396" s="254"/>
      <c r="H396" s="254"/>
      <c r="I396" s="254"/>
      <c r="J396" s="254"/>
      <c r="K396" s="254"/>
      <c r="L396" s="254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  <c r="X396" s="254"/>
      <c r="Y396" s="255"/>
    </row>
    <row r="397">
      <c r="A397" s="274"/>
      <c r="B397" s="254"/>
      <c r="C397" s="254"/>
      <c r="D397" s="254"/>
      <c r="E397" s="254"/>
      <c r="F397" s="254"/>
      <c r="G397" s="254"/>
      <c r="H397" s="254"/>
      <c r="I397" s="254"/>
      <c r="J397" s="254"/>
      <c r="K397" s="254"/>
      <c r="L397" s="254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  <c r="X397" s="254"/>
      <c r="Y397" s="255"/>
    </row>
    <row r="398">
      <c r="A398" s="274"/>
      <c r="B398" s="254"/>
      <c r="C398" s="254"/>
      <c r="D398" s="254"/>
      <c r="E398" s="254"/>
      <c r="F398" s="254"/>
      <c r="G398" s="254"/>
      <c r="H398" s="254"/>
      <c r="I398" s="254"/>
      <c r="J398" s="254"/>
      <c r="K398" s="254"/>
      <c r="L398" s="254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  <c r="X398" s="254"/>
      <c r="Y398" s="255"/>
    </row>
    <row r="399">
      <c r="A399" s="274"/>
      <c r="B399" s="254"/>
      <c r="C399" s="254"/>
      <c r="D399" s="254"/>
      <c r="E399" s="254"/>
      <c r="F399" s="254"/>
      <c r="G399" s="254"/>
      <c r="H399" s="254"/>
      <c r="I399" s="254"/>
      <c r="J399" s="254"/>
      <c r="K399" s="254"/>
      <c r="L399" s="254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  <c r="X399" s="254"/>
      <c r="Y399" s="255"/>
    </row>
    <row r="400">
      <c r="A400" s="274"/>
      <c r="B400" s="254"/>
      <c r="C400" s="254"/>
      <c r="D400" s="254"/>
      <c r="E400" s="254"/>
      <c r="F400" s="254"/>
      <c r="G400" s="254"/>
      <c r="H400" s="254"/>
      <c r="I400" s="254"/>
      <c r="J400" s="254"/>
      <c r="K400" s="254"/>
      <c r="L400" s="254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  <c r="X400" s="254"/>
      <c r="Y400" s="255"/>
    </row>
    <row r="401">
      <c r="A401" s="274"/>
      <c r="B401" s="254"/>
      <c r="C401" s="254"/>
      <c r="D401" s="254"/>
      <c r="E401" s="254"/>
      <c r="F401" s="254"/>
      <c r="G401" s="254"/>
      <c r="H401" s="254"/>
      <c r="I401" s="254"/>
      <c r="J401" s="254"/>
      <c r="K401" s="254"/>
      <c r="L401" s="254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  <c r="X401" s="254"/>
      <c r="Y401" s="255"/>
    </row>
    <row r="402">
      <c r="A402" s="274"/>
      <c r="B402" s="254"/>
      <c r="C402" s="254"/>
      <c r="D402" s="254"/>
      <c r="E402" s="254"/>
      <c r="F402" s="254"/>
      <c r="G402" s="254"/>
      <c r="H402" s="254"/>
      <c r="I402" s="254"/>
      <c r="J402" s="25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255"/>
    </row>
    <row r="403">
      <c r="A403" s="274"/>
      <c r="B403" s="254"/>
      <c r="C403" s="254"/>
      <c r="D403" s="254"/>
      <c r="E403" s="254"/>
      <c r="F403" s="254"/>
      <c r="G403" s="254"/>
      <c r="H403" s="254"/>
      <c r="I403" s="254"/>
      <c r="J403" s="254"/>
      <c r="K403" s="254"/>
      <c r="L403" s="254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  <c r="X403" s="254"/>
      <c r="Y403" s="255"/>
    </row>
    <row r="404">
      <c r="A404" s="274"/>
      <c r="B404" s="254"/>
      <c r="C404" s="254"/>
      <c r="D404" s="254"/>
      <c r="E404" s="254"/>
      <c r="F404" s="254"/>
      <c r="G404" s="254"/>
      <c r="H404" s="254"/>
      <c r="I404" s="254"/>
      <c r="J404" s="254"/>
      <c r="K404" s="254"/>
      <c r="L404" s="254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  <c r="X404" s="254"/>
      <c r="Y404" s="255"/>
    </row>
    <row r="405">
      <c r="A405" s="274"/>
      <c r="B405" s="254"/>
      <c r="C405" s="254"/>
      <c r="D405" s="254"/>
      <c r="E405" s="254"/>
      <c r="F405" s="254"/>
      <c r="G405" s="254"/>
      <c r="H405" s="254"/>
      <c r="I405" s="254"/>
      <c r="J405" s="254"/>
      <c r="K405" s="254"/>
      <c r="L405" s="254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  <c r="X405" s="254"/>
      <c r="Y405" s="255"/>
    </row>
    <row r="406">
      <c r="A406" s="274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  <c r="X406" s="254"/>
      <c r="Y406" s="255"/>
    </row>
    <row r="407">
      <c r="A407" s="274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255"/>
    </row>
    <row r="408">
      <c r="A408" s="274"/>
      <c r="B408" s="254"/>
      <c r="C408" s="254"/>
      <c r="D408" s="254"/>
      <c r="E408" s="254"/>
      <c r="F408" s="254"/>
      <c r="G408" s="254"/>
      <c r="H408" s="254"/>
      <c r="I408" s="254"/>
      <c r="J408" s="254"/>
      <c r="K408" s="254"/>
      <c r="L408" s="254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  <c r="X408" s="254"/>
      <c r="Y408" s="255"/>
    </row>
    <row r="409">
      <c r="A409" s="274"/>
      <c r="B409" s="254"/>
      <c r="C409" s="254"/>
      <c r="D409" s="254"/>
      <c r="E409" s="254"/>
      <c r="F409" s="254"/>
      <c r="G409" s="254"/>
      <c r="H409" s="254"/>
      <c r="I409" s="254"/>
      <c r="J409" s="25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  <c r="X409" s="254"/>
      <c r="Y409" s="255"/>
    </row>
    <row r="410">
      <c r="A410" s="274"/>
      <c r="B410" s="254"/>
      <c r="C410" s="254"/>
      <c r="D410" s="254"/>
      <c r="E410" s="254"/>
      <c r="F410" s="254"/>
      <c r="G410" s="254"/>
      <c r="H410" s="254"/>
      <c r="I410" s="254"/>
      <c r="J410" s="254"/>
      <c r="K410" s="254"/>
      <c r="L410" s="254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  <c r="X410" s="254"/>
      <c r="Y410" s="255"/>
    </row>
    <row r="411">
      <c r="A411" s="274"/>
      <c r="B411" s="254"/>
      <c r="C411" s="254"/>
      <c r="D411" s="254"/>
      <c r="E411" s="254"/>
      <c r="F411" s="254"/>
      <c r="G411" s="254"/>
      <c r="H411" s="254"/>
      <c r="I411" s="254"/>
      <c r="J411" s="25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255"/>
    </row>
    <row r="412">
      <c r="A412" s="274"/>
      <c r="B412" s="254"/>
      <c r="C412" s="254"/>
      <c r="D412" s="254"/>
      <c r="E412" s="254"/>
      <c r="F412" s="254"/>
      <c r="G412" s="254"/>
      <c r="H412" s="254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5"/>
    </row>
    <row r="413">
      <c r="A413" s="274"/>
      <c r="B413" s="254"/>
      <c r="C413" s="254"/>
      <c r="D413" s="254"/>
      <c r="E413" s="254"/>
      <c r="F413" s="254"/>
      <c r="G413" s="254"/>
      <c r="H413" s="254"/>
      <c r="I413" s="254"/>
      <c r="J413" s="25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5"/>
    </row>
    <row r="414">
      <c r="A414" s="274"/>
      <c r="B414" s="254"/>
      <c r="C414" s="254"/>
      <c r="D414" s="254"/>
      <c r="E414" s="254"/>
      <c r="F414" s="254"/>
      <c r="G414" s="254"/>
      <c r="H414" s="254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5"/>
    </row>
    <row r="415">
      <c r="A415" s="274"/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255"/>
    </row>
    <row r="416">
      <c r="A416" s="274"/>
      <c r="B416" s="254"/>
      <c r="C416" s="254"/>
      <c r="D416" s="254"/>
      <c r="E416" s="254"/>
      <c r="F416" s="254"/>
      <c r="G416" s="254"/>
      <c r="H416" s="254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5"/>
    </row>
    <row r="417">
      <c r="A417" s="274"/>
      <c r="B417" s="254"/>
      <c r="C417" s="254"/>
      <c r="D417" s="254"/>
      <c r="E417" s="254"/>
      <c r="F417" s="254"/>
      <c r="G417" s="254"/>
      <c r="H417" s="254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5"/>
    </row>
    <row r="418">
      <c r="A418" s="274"/>
      <c r="B418" s="254"/>
      <c r="C418" s="254"/>
      <c r="D418" s="254"/>
      <c r="E418" s="254"/>
      <c r="F418" s="254"/>
      <c r="G418" s="254"/>
      <c r="H418" s="254"/>
      <c r="I418" s="254"/>
      <c r="J418" s="25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255"/>
    </row>
    <row r="419">
      <c r="A419" s="274"/>
      <c r="B419" s="254"/>
      <c r="C419" s="254"/>
      <c r="D419" s="254"/>
      <c r="E419" s="254"/>
      <c r="F419" s="254"/>
      <c r="G419" s="254"/>
      <c r="H419" s="254"/>
      <c r="I419" s="254"/>
      <c r="J419" s="25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255"/>
    </row>
    <row r="420">
      <c r="A420" s="274"/>
      <c r="B420" s="254"/>
      <c r="C420" s="254"/>
      <c r="D420" s="254"/>
      <c r="E420" s="254"/>
      <c r="F420" s="254"/>
      <c r="G420" s="254"/>
      <c r="H420" s="254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5"/>
    </row>
    <row r="421">
      <c r="A421" s="274"/>
      <c r="B421" s="254"/>
      <c r="C421" s="254"/>
      <c r="D421" s="254"/>
      <c r="E421" s="254"/>
      <c r="F421" s="254"/>
      <c r="G421" s="254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255"/>
    </row>
    <row r="422">
      <c r="A422" s="274"/>
      <c r="B422" s="254"/>
      <c r="C422" s="254"/>
      <c r="D422" s="254"/>
      <c r="E422" s="254"/>
      <c r="F422" s="254"/>
      <c r="G422" s="254"/>
      <c r="H422" s="254"/>
      <c r="I422" s="254"/>
      <c r="J422" s="25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255"/>
    </row>
    <row r="423">
      <c r="A423" s="274"/>
      <c r="B423" s="254"/>
      <c r="C423" s="254"/>
      <c r="D423" s="254"/>
      <c r="E423" s="254"/>
      <c r="F423" s="254"/>
      <c r="G423" s="254"/>
      <c r="H423" s="254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5"/>
    </row>
    <row r="424">
      <c r="A424" s="274"/>
      <c r="B424" s="254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255"/>
    </row>
    <row r="425">
      <c r="A425" s="274"/>
      <c r="B425" s="254"/>
      <c r="C425" s="254"/>
      <c r="D425" s="254"/>
      <c r="E425" s="254"/>
      <c r="F425" s="254"/>
      <c r="G425" s="254"/>
      <c r="H425" s="254"/>
      <c r="I425" s="254"/>
      <c r="J425" s="25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255"/>
    </row>
    <row r="426">
      <c r="A426" s="274"/>
      <c r="B426" s="254"/>
      <c r="C426" s="254"/>
      <c r="D426" s="254"/>
      <c r="E426" s="254"/>
      <c r="F426" s="254"/>
      <c r="G426" s="254"/>
      <c r="H426" s="254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5"/>
    </row>
    <row r="427">
      <c r="A427" s="274"/>
      <c r="B427" s="254"/>
      <c r="C427" s="254"/>
      <c r="D427" s="254"/>
      <c r="E427" s="254"/>
      <c r="F427" s="254"/>
      <c r="G427" s="254"/>
      <c r="H427" s="254"/>
      <c r="I427" s="254"/>
      <c r="J427" s="25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255"/>
    </row>
    <row r="428">
      <c r="A428" s="274"/>
      <c r="B428" s="254"/>
      <c r="C428" s="254"/>
      <c r="D428" s="254"/>
      <c r="E428" s="254"/>
      <c r="F428" s="254"/>
      <c r="G428" s="254"/>
      <c r="H428" s="254"/>
      <c r="I428" s="254"/>
      <c r="J428" s="25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255"/>
    </row>
    <row r="429">
      <c r="A429" s="274"/>
      <c r="B429" s="254"/>
      <c r="C429" s="254"/>
      <c r="D429" s="254"/>
      <c r="E429" s="254"/>
      <c r="F429" s="254"/>
      <c r="G429" s="254"/>
      <c r="H429" s="254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5"/>
    </row>
    <row r="430">
      <c r="A430" s="274"/>
      <c r="B430" s="254"/>
      <c r="C430" s="254"/>
      <c r="D430" s="254"/>
      <c r="E430" s="254"/>
      <c r="F430" s="254"/>
      <c r="G430" s="254"/>
      <c r="H430" s="254"/>
      <c r="I430" s="254"/>
      <c r="J430" s="25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5"/>
    </row>
    <row r="431">
      <c r="A431" s="274"/>
      <c r="B431" s="254"/>
      <c r="C431" s="254"/>
      <c r="D431" s="254"/>
      <c r="E431" s="254"/>
      <c r="F431" s="254"/>
      <c r="G431" s="254"/>
      <c r="H431" s="254"/>
      <c r="I431" s="254"/>
      <c r="J431" s="25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5"/>
    </row>
    <row r="432">
      <c r="A432" s="274"/>
      <c r="B432" s="254"/>
      <c r="C432" s="254"/>
      <c r="D432" s="254"/>
      <c r="E432" s="254"/>
      <c r="F432" s="254"/>
      <c r="G432" s="254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5"/>
    </row>
    <row r="433">
      <c r="A433" s="274"/>
      <c r="B433" s="254"/>
      <c r="C433" s="254"/>
      <c r="D433" s="254"/>
      <c r="E433" s="254"/>
      <c r="F433" s="254"/>
      <c r="G433" s="254"/>
      <c r="H433" s="254"/>
      <c r="I433" s="254"/>
      <c r="J433" s="25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255"/>
    </row>
    <row r="434">
      <c r="A434" s="274"/>
      <c r="B434" s="254"/>
      <c r="C434" s="254"/>
      <c r="D434" s="254"/>
      <c r="E434" s="254"/>
      <c r="F434" s="254"/>
      <c r="G434" s="254"/>
      <c r="H434" s="254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5"/>
    </row>
    <row r="435">
      <c r="A435" s="274"/>
      <c r="B435" s="254"/>
      <c r="C435" s="254"/>
      <c r="D435" s="254"/>
      <c r="E435" s="254"/>
      <c r="F435" s="254"/>
      <c r="G435" s="254"/>
      <c r="H435" s="254"/>
      <c r="I435" s="254"/>
      <c r="J435" s="25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255"/>
    </row>
    <row r="436">
      <c r="A436" s="274"/>
      <c r="B436" s="254"/>
      <c r="C436" s="254"/>
      <c r="D436" s="254"/>
      <c r="E436" s="254"/>
      <c r="F436" s="254"/>
      <c r="G436" s="254"/>
      <c r="H436" s="254"/>
      <c r="I436" s="254"/>
      <c r="J436" s="25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255"/>
    </row>
    <row r="437">
      <c r="A437" s="274"/>
      <c r="B437" s="254"/>
      <c r="C437" s="254"/>
      <c r="D437" s="254"/>
      <c r="E437" s="254"/>
      <c r="F437" s="254"/>
      <c r="G437" s="254"/>
      <c r="H437" s="254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5"/>
    </row>
    <row r="438">
      <c r="A438" s="274"/>
      <c r="B438" s="254"/>
      <c r="C438" s="254"/>
      <c r="D438" s="254"/>
      <c r="E438" s="254"/>
      <c r="F438" s="254"/>
      <c r="G438" s="254"/>
      <c r="H438" s="254"/>
      <c r="I438" s="254"/>
      <c r="J438" s="25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255"/>
    </row>
    <row r="439">
      <c r="A439" s="274"/>
      <c r="B439" s="254"/>
      <c r="C439" s="254"/>
      <c r="D439" s="254"/>
      <c r="E439" s="254"/>
      <c r="F439" s="254"/>
      <c r="G439" s="254"/>
      <c r="H439" s="254"/>
      <c r="I439" s="254"/>
      <c r="J439" s="25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255"/>
    </row>
    <row r="440">
      <c r="A440" s="274"/>
      <c r="B440" s="254"/>
      <c r="C440" s="254"/>
      <c r="D440" s="254"/>
      <c r="E440" s="254"/>
      <c r="F440" s="254"/>
      <c r="G440" s="254"/>
      <c r="H440" s="254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5"/>
    </row>
    <row r="441">
      <c r="A441" s="274"/>
      <c r="B441" s="254"/>
      <c r="C441" s="254"/>
      <c r="D441" s="254"/>
      <c r="E441" s="254"/>
      <c r="F441" s="254"/>
      <c r="G441" s="254"/>
      <c r="H441" s="254"/>
      <c r="I441" s="254"/>
      <c r="J441" s="25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255"/>
    </row>
    <row r="442">
      <c r="A442" s="274"/>
      <c r="B442" s="254"/>
      <c r="C442" s="254"/>
      <c r="D442" s="254"/>
      <c r="E442" s="254"/>
      <c r="F442" s="254"/>
      <c r="G442" s="254"/>
      <c r="H442" s="254"/>
      <c r="I442" s="254"/>
      <c r="J442" s="25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255"/>
    </row>
    <row r="443">
      <c r="A443" s="274"/>
      <c r="B443" s="254"/>
      <c r="C443" s="254"/>
      <c r="D443" s="254"/>
      <c r="E443" s="254"/>
      <c r="F443" s="254"/>
      <c r="G443" s="254"/>
      <c r="H443" s="254"/>
      <c r="I443" s="254"/>
      <c r="J443" s="25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255"/>
    </row>
    <row r="444">
      <c r="A444" s="274"/>
      <c r="B444" s="254"/>
      <c r="C444" s="254"/>
      <c r="D444" s="254"/>
      <c r="E444" s="254"/>
      <c r="F444" s="254"/>
      <c r="G444" s="254"/>
      <c r="H444" s="254"/>
      <c r="I444" s="254"/>
      <c r="J444" s="25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255"/>
    </row>
    <row r="445">
      <c r="A445" s="274"/>
      <c r="B445" s="254"/>
      <c r="C445" s="254"/>
      <c r="D445" s="254"/>
      <c r="E445" s="254"/>
      <c r="F445" s="254"/>
      <c r="G445" s="254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255"/>
    </row>
    <row r="446">
      <c r="A446" s="274"/>
      <c r="B446" s="254"/>
      <c r="C446" s="254"/>
      <c r="D446" s="254"/>
      <c r="E446" s="254"/>
      <c r="F446" s="254"/>
      <c r="G446" s="254"/>
      <c r="H446" s="254"/>
      <c r="I446" s="254"/>
      <c r="J446" s="25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255"/>
    </row>
    <row r="447">
      <c r="A447" s="274"/>
      <c r="B447" s="254"/>
      <c r="C447" s="254"/>
      <c r="D447" s="254"/>
      <c r="E447" s="254"/>
      <c r="F447" s="254"/>
      <c r="G447" s="254"/>
      <c r="H447" s="254"/>
      <c r="I447" s="254"/>
      <c r="J447" s="25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255"/>
    </row>
    <row r="448">
      <c r="A448" s="274"/>
      <c r="B448" s="254"/>
      <c r="C448" s="254"/>
      <c r="D448" s="254"/>
      <c r="E448" s="254"/>
      <c r="F448" s="254"/>
      <c r="G448" s="254"/>
      <c r="H448" s="254"/>
      <c r="I448" s="254"/>
      <c r="J448" s="25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255"/>
    </row>
    <row r="449">
      <c r="A449" s="274"/>
      <c r="B449" s="254"/>
      <c r="C449" s="254"/>
      <c r="D449" s="254"/>
      <c r="E449" s="254"/>
      <c r="F449" s="254"/>
      <c r="G449" s="254"/>
      <c r="H449" s="254"/>
      <c r="I449" s="254"/>
      <c r="J449" s="25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255"/>
    </row>
    <row r="450">
      <c r="A450" s="274"/>
      <c r="B450" s="254"/>
      <c r="C450" s="254"/>
      <c r="D450" s="254"/>
      <c r="E450" s="254"/>
      <c r="F450" s="254"/>
      <c r="G450" s="254"/>
      <c r="H450" s="254"/>
      <c r="I450" s="254"/>
      <c r="J450" s="25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255"/>
    </row>
    <row r="451">
      <c r="A451" s="274"/>
      <c r="B451" s="254"/>
      <c r="C451" s="254"/>
      <c r="D451" s="254"/>
      <c r="E451" s="254"/>
      <c r="F451" s="254"/>
      <c r="G451" s="254"/>
      <c r="H451" s="254"/>
      <c r="I451" s="254"/>
      <c r="J451" s="25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255"/>
    </row>
    <row r="452">
      <c r="A452" s="274"/>
      <c r="B452" s="254"/>
      <c r="C452" s="254"/>
      <c r="D452" s="254"/>
      <c r="E452" s="254"/>
      <c r="F452" s="254"/>
      <c r="G452" s="254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5"/>
    </row>
    <row r="453">
      <c r="A453" s="274"/>
      <c r="B453" s="254"/>
      <c r="C453" s="254"/>
      <c r="D453" s="254"/>
      <c r="E453" s="254"/>
      <c r="F453" s="254"/>
      <c r="G453" s="254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5"/>
    </row>
    <row r="454">
      <c r="A454" s="274"/>
      <c r="B454" s="254"/>
      <c r="C454" s="254"/>
      <c r="D454" s="254"/>
      <c r="E454" s="254"/>
      <c r="F454" s="254"/>
      <c r="G454" s="254"/>
      <c r="H454" s="25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5"/>
    </row>
    <row r="455">
      <c r="A455" s="274"/>
      <c r="B455" s="254"/>
      <c r="C455" s="254"/>
      <c r="D455" s="254"/>
      <c r="E455" s="254"/>
      <c r="F455" s="254"/>
      <c r="G455" s="254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255"/>
    </row>
    <row r="456">
      <c r="A456" s="274"/>
      <c r="B456" s="254"/>
      <c r="C456" s="254"/>
      <c r="D456" s="254"/>
      <c r="E456" s="254"/>
      <c r="F456" s="254"/>
      <c r="G456" s="254"/>
      <c r="H456" s="254"/>
      <c r="I456" s="254"/>
      <c r="J456" s="25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5"/>
    </row>
    <row r="457">
      <c r="A457" s="274"/>
      <c r="B457" s="254"/>
      <c r="C457" s="254"/>
      <c r="D457" s="254"/>
      <c r="E457" s="254"/>
      <c r="F457" s="254"/>
      <c r="G457" s="254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5"/>
    </row>
    <row r="458">
      <c r="A458" s="274"/>
      <c r="B458" s="254"/>
      <c r="C458" s="254"/>
      <c r="D458" s="254"/>
      <c r="E458" s="254"/>
      <c r="F458" s="254"/>
      <c r="G458" s="254"/>
      <c r="H458" s="254"/>
      <c r="I458" s="254"/>
      <c r="J458" s="25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255"/>
    </row>
    <row r="459">
      <c r="A459" s="274"/>
      <c r="B459" s="254"/>
      <c r="C459" s="254"/>
      <c r="D459" s="254"/>
      <c r="E459" s="254"/>
      <c r="F459" s="254"/>
      <c r="G459" s="254"/>
      <c r="H459" s="254"/>
      <c r="I459" s="254"/>
      <c r="J459" s="25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255"/>
    </row>
    <row r="460">
      <c r="A460" s="274"/>
      <c r="B460" s="254"/>
      <c r="C460" s="254"/>
      <c r="D460" s="254"/>
      <c r="E460" s="254"/>
      <c r="F460" s="254"/>
      <c r="G460" s="254"/>
      <c r="H460" s="254"/>
      <c r="I460" s="254"/>
      <c r="J460" s="25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255"/>
    </row>
    <row r="461">
      <c r="A461" s="274"/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255"/>
    </row>
    <row r="462">
      <c r="A462" s="274"/>
      <c r="B462" s="254"/>
      <c r="C462" s="254"/>
      <c r="D462" s="254"/>
      <c r="E462" s="254"/>
      <c r="F462" s="254"/>
      <c r="G462" s="254"/>
      <c r="H462" s="254"/>
      <c r="I462" s="254"/>
      <c r="J462" s="25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255"/>
    </row>
    <row r="463">
      <c r="A463" s="274"/>
      <c r="B463" s="254"/>
      <c r="C463" s="254"/>
      <c r="D463" s="254"/>
      <c r="E463" s="254"/>
      <c r="F463" s="254"/>
      <c r="G463" s="254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255"/>
    </row>
    <row r="464">
      <c r="A464" s="274"/>
      <c r="B464" s="254"/>
      <c r="C464" s="254"/>
      <c r="D464" s="254"/>
      <c r="E464" s="254"/>
      <c r="F464" s="254"/>
      <c r="G464" s="254"/>
      <c r="H464" s="254"/>
      <c r="I464" s="254"/>
      <c r="J464" s="25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255"/>
    </row>
    <row r="465">
      <c r="A465" s="274"/>
      <c r="B465" s="254"/>
      <c r="C465" s="254"/>
      <c r="D465" s="254"/>
      <c r="E465" s="254"/>
      <c r="F465" s="254"/>
      <c r="G465" s="254"/>
      <c r="H465" s="254"/>
      <c r="I465" s="254"/>
      <c r="J465" s="25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255"/>
    </row>
    <row r="466">
      <c r="A466" s="274"/>
      <c r="B466" s="254"/>
      <c r="C466" s="254"/>
      <c r="D466" s="254"/>
      <c r="E466" s="254"/>
      <c r="F466" s="254"/>
      <c r="G466" s="254"/>
      <c r="H466" s="254"/>
      <c r="I466" s="254"/>
      <c r="J466" s="25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255"/>
    </row>
    <row r="467">
      <c r="A467" s="274"/>
      <c r="B467" s="254"/>
      <c r="C467" s="254"/>
      <c r="D467" s="254"/>
      <c r="E467" s="254"/>
      <c r="F467" s="254"/>
      <c r="G467" s="254"/>
      <c r="H467" s="254"/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5"/>
    </row>
    <row r="468">
      <c r="A468" s="274"/>
      <c r="B468" s="254"/>
      <c r="C468" s="254"/>
      <c r="D468" s="254"/>
      <c r="E468" s="254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5"/>
    </row>
    <row r="469">
      <c r="A469" s="274"/>
      <c r="B469" s="254"/>
      <c r="C469" s="254"/>
      <c r="D469" s="254"/>
      <c r="E469" s="254"/>
      <c r="F469" s="254"/>
      <c r="G469" s="254"/>
      <c r="H469" s="254"/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5"/>
    </row>
    <row r="470">
      <c r="A470" s="274"/>
      <c r="B470" s="254"/>
      <c r="C470" s="254"/>
      <c r="D470" s="254"/>
      <c r="E470" s="254"/>
      <c r="F470" s="254"/>
      <c r="G470" s="254"/>
      <c r="H470" s="254"/>
      <c r="I470" s="254"/>
      <c r="J470" s="25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5"/>
    </row>
    <row r="471">
      <c r="A471" s="274"/>
      <c r="B471" s="254"/>
      <c r="C471" s="254"/>
      <c r="D471" s="254"/>
      <c r="E471" s="254"/>
      <c r="F471" s="254"/>
      <c r="G471" s="254"/>
      <c r="H471" s="254"/>
      <c r="I471" s="254"/>
      <c r="J471" s="25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255"/>
    </row>
    <row r="472">
      <c r="A472" s="274"/>
      <c r="B472" s="254"/>
      <c r="C472" s="254"/>
      <c r="D472" s="254"/>
      <c r="E472" s="254"/>
      <c r="F472" s="254"/>
      <c r="G472" s="254"/>
      <c r="H472" s="254"/>
      <c r="I472" s="254"/>
      <c r="J472" s="25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255"/>
    </row>
    <row r="473">
      <c r="A473" s="274"/>
      <c r="B473" s="254"/>
      <c r="C473" s="254"/>
      <c r="D473" s="254"/>
      <c r="E473" s="254"/>
      <c r="F473" s="254"/>
      <c r="G473" s="254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255"/>
    </row>
    <row r="474">
      <c r="A474" s="274"/>
      <c r="B474" s="254"/>
      <c r="C474" s="254"/>
      <c r="D474" s="254"/>
      <c r="E474" s="254"/>
      <c r="F474" s="254"/>
      <c r="G474" s="254"/>
      <c r="H474" s="254"/>
      <c r="I474" s="254"/>
      <c r="J474" s="25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255"/>
    </row>
    <row r="475">
      <c r="A475" s="274"/>
      <c r="B475" s="254"/>
      <c r="C475" s="254"/>
      <c r="D475" s="254"/>
      <c r="E475" s="254"/>
      <c r="F475" s="254"/>
      <c r="G475" s="254"/>
      <c r="H475" s="254"/>
      <c r="I475" s="254"/>
      <c r="J475" s="25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255"/>
    </row>
    <row r="476">
      <c r="A476" s="274"/>
      <c r="B476" s="254"/>
      <c r="C476" s="254"/>
      <c r="D476" s="254"/>
      <c r="E476" s="254"/>
      <c r="F476" s="254"/>
      <c r="G476" s="254"/>
      <c r="H476" s="254"/>
      <c r="I476" s="254"/>
      <c r="J476" s="25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255"/>
    </row>
    <row r="477">
      <c r="A477" s="274"/>
      <c r="B477" s="254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255"/>
    </row>
    <row r="478">
      <c r="A478" s="274"/>
      <c r="B478" s="254"/>
      <c r="C478" s="254"/>
      <c r="D478" s="254"/>
      <c r="E478" s="254"/>
      <c r="F478" s="254"/>
      <c r="G478" s="254"/>
      <c r="H478" s="254"/>
      <c r="I478" s="254"/>
      <c r="J478" s="25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255"/>
    </row>
    <row r="479">
      <c r="A479" s="274"/>
      <c r="B479" s="254"/>
      <c r="C479" s="254"/>
      <c r="D479" s="254"/>
      <c r="E479" s="254"/>
      <c r="F479" s="254"/>
      <c r="G479" s="254"/>
      <c r="H479" s="254"/>
      <c r="I479" s="254"/>
      <c r="J479" s="25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255"/>
    </row>
    <row r="480">
      <c r="A480" s="274"/>
      <c r="B480" s="254"/>
      <c r="C480" s="254"/>
      <c r="D480" s="254"/>
      <c r="E480" s="254"/>
      <c r="F480" s="254"/>
      <c r="G480" s="254"/>
      <c r="H480" s="254"/>
      <c r="I480" s="254"/>
      <c r="J480" s="25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255"/>
    </row>
    <row r="481">
      <c r="A481" s="274"/>
      <c r="B481" s="254"/>
      <c r="C481" s="254"/>
      <c r="D481" s="254"/>
      <c r="E481" s="254"/>
      <c r="F481" s="254"/>
      <c r="G481" s="254"/>
      <c r="H481" s="254"/>
      <c r="I481" s="254"/>
      <c r="J481" s="25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255"/>
    </row>
    <row r="482">
      <c r="A482" s="274"/>
      <c r="B482" s="254"/>
      <c r="C482" s="254"/>
      <c r="D482" s="254"/>
      <c r="E482" s="254"/>
      <c r="F482" s="254"/>
      <c r="G482" s="254"/>
      <c r="H482" s="254"/>
      <c r="I482" s="254"/>
      <c r="J482" s="25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255"/>
    </row>
    <row r="483">
      <c r="A483" s="274"/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255"/>
    </row>
    <row r="484">
      <c r="A484" s="274"/>
      <c r="B484" s="254"/>
      <c r="C484" s="254"/>
      <c r="D484" s="254"/>
      <c r="E484" s="254"/>
      <c r="F484" s="254"/>
      <c r="G484" s="254"/>
      <c r="H484" s="254"/>
      <c r="I484" s="254"/>
      <c r="J484" s="25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255"/>
    </row>
    <row r="485">
      <c r="A485" s="274"/>
      <c r="B485" s="254"/>
      <c r="C485" s="254"/>
      <c r="D485" s="254"/>
      <c r="E485" s="254"/>
      <c r="F485" s="254"/>
      <c r="G485" s="254"/>
      <c r="H485" s="25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5"/>
    </row>
    <row r="486">
      <c r="A486" s="274"/>
      <c r="B486" s="254"/>
      <c r="C486" s="254"/>
      <c r="D486" s="254"/>
      <c r="E486" s="254"/>
      <c r="F486" s="254"/>
      <c r="G486" s="254"/>
      <c r="H486" s="254"/>
      <c r="I486" s="254"/>
      <c r="J486" s="25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255"/>
    </row>
    <row r="487">
      <c r="A487" s="274"/>
      <c r="B487" s="254"/>
      <c r="C487" s="254"/>
      <c r="D487" s="254"/>
      <c r="E487" s="254"/>
      <c r="F487" s="254"/>
      <c r="G487" s="254"/>
      <c r="H487" s="254"/>
      <c r="I487" s="254"/>
      <c r="J487" s="25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255"/>
    </row>
    <row r="488">
      <c r="A488" s="274"/>
      <c r="B488" s="254"/>
      <c r="C488" s="254"/>
      <c r="D488" s="254"/>
      <c r="E488" s="254"/>
      <c r="F488" s="254"/>
      <c r="G488" s="254"/>
      <c r="H488" s="254"/>
      <c r="I488" s="254"/>
      <c r="J488" s="25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255"/>
    </row>
    <row r="489">
      <c r="A489" s="274"/>
      <c r="B489" s="254"/>
      <c r="C489" s="254"/>
      <c r="D489" s="254"/>
      <c r="E489" s="254"/>
      <c r="F489" s="254"/>
      <c r="G489" s="254"/>
      <c r="H489" s="254"/>
      <c r="I489" s="254"/>
      <c r="J489" s="25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255"/>
    </row>
    <row r="490">
      <c r="A490" s="274"/>
      <c r="B490" s="254"/>
      <c r="C490" s="254"/>
      <c r="D490" s="254"/>
      <c r="E490" s="254"/>
      <c r="F490" s="254"/>
      <c r="G490" s="254"/>
      <c r="H490" s="254"/>
      <c r="I490" s="254"/>
      <c r="J490" s="25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255"/>
    </row>
    <row r="491">
      <c r="A491" s="274"/>
      <c r="B491" s="254"/>
      <c r="C491" s="254"/>
      <c r="D491" s="254"/>
      <c r="E491" s="254"/>
      <c r="F491" s="254"/>
      <c r="G491" s="254"/>
      <c r="H491" s="254"/>
      <c r="I491" s="254"/>
      <c r="J491" s="25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255"/>
    </row>
    <row r="492">
      <c r="A492" s="274"/>
      <c r="B492" s="254"/>
      <c r="C492" s="254"/>
      <c r="D492" s="254"/>
      <c r="E492" s="254"/>
      <c r="F492" s="254"/>
      <c r="G492" s="254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5"/>
    </row>
    <row r="493">
      <c r="A493" s="274"/>
      <c r="B493" s="254"/>
      <c r="C493" s="254"/>
      <c r="D493" s="254"/>
      <c r="E493" s="254"/>
      <c r="F493" s="254"/>
      <c r="G493" s="254"/>
      <c r="H493" s="254"/>
      <c r="I493" s="254"/>
      <c r="J493" s="25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255"/>
    </row>
    <row r="494">
      <c r="A494" s="274"/>
      <c r="B494" s="254"/>
      <c r="C494" s="254"/>
      <c r="D494" s="254"/>
      <c r="E494" s="254"/>
      <c r="F494" s="254"/>
      <c r="G494" s="254"/>
      <c r="H494" s="254"/>
      <c r="I494" s="254"/>
      <c r="J494" s="25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255"/>
    </row>
    <row r="495">
      <c r="A495" s="274"/>
      <c r="B495" s="254"/>
      <c r="C495" s="254"/>
      <c r="D495" s="254"/>
      <c r="E495" s="254"/>
      <c r="F495" s="254"/>
      <c r="G495" s="254"/>
      <c r="H495" s="254"/>
      <c r="I495" s="254"/>
      <c r="J495" s="25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255"/>
    </row>
    <row r="496">
      <c r="A496" s="274"/>
      <c r="B496" s="254"/>
      <c r="C496" s="254"/>
      <c r="D496" s="254"/>
      <c r="E496" s="254"/>
      <c r="F496" s="254"/>
      <c r="G496" s="254"/>
      <c r="H496" s="254"/>
      <c r="I496" s="254"/>
      <c r="J496" s="25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255"/>
    </row>
    <row r="497">
      <c r="A497" s="274"/>
      <c r="B497" s="254"/>
      <c r="C497" s="254"/>
      <c r="D497" s="254"/>
      <c r="E497" s="254"/>
      <c r="F497" s="254"/>
      <c r="G497" s="254"/>
      <c r="H497" s="254"/>
      <c r="I497" s="254"/>
      <c r="J497" s="25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255"/>
    </row>
    <row r="498">
      <c r="A498" s="274"/>
      <c r="B498" s="254"/>
      <c r="C498" s="254"/>
      <c r="D498" s="254"/>
      <c r="E498" s="254"/>
      <c r="F498" s="254"/>
      <c r="G498" s="254"/>
      <c r="H498" s="254"/>
      <c r="I498" s="254"/>
      <c r="J498" s="25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255"/>
    </row>
    <row r="499">
      <c r="A499" s="274"/>
      <c r="B499" s="254"/>
      <c r="C499" s="254"/>
      <c r="D499" s="254"/>
      <c r="E499" s="254"/>
      <c r="F499" s="254"/>
      <c r="G499" s="254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255"/>
    </row>
    <row r="500">
      <c r="A500" s="274"/>
      <c r="B500" s="254"/>
      <c r="C500" s="254"/>
      <c r="D500" s="254"/>
      <c r="E500" s="254"/>
      <c r="F500" s="254"/>
      <c r="G500" s="254"/>
      <c r="H500" s="254"/>
      <c r="I500" s="254"/>
      <c r="J500" s="25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255"/>
    </row>
    <row r="501">
      <c r="A501" s="274"/>
      <c r="B501" s="254"/>
      <c r="C501" s="254"/>
      <c r="D501" s="254"/>
      <c r="E501" s="254"/>
      <c r="F501" s="254"/>
      <c r="G501" s="254"/>
      <c r="H501" s="254"/>
      <c r="I501" s="254"/>
      <c r="J501" s="25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255"/>
    </row>
    <row r="502">
      <c r="A502" s="274"/>
      <c r="B502" s="254"/>
      <c r="C502" s="254"/>
      <c r="D502" s="254"/>
      <c r="E502" s="254"/>
      <c r="F502" s="254"/>
      <c r="G502" s="254"/>
      <c r="H502" s="254"/>
      <c r="I502" s="254"/>
      <c r="J502" s="25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255"/>
    </row>
    <row r="503">
      <c r="A503" s="274"/>
      <c r="B503" s="254"/>
      <c r="C503" s="254"/>
      <c r="D503" s="254"/>
      <c r="E503" s="254"/>
      <c r="F503" s="254"/>
      <c r="G503" s="254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5"/>
    </row>
    <row r="504">
      <c r="A504" s="274"/>
      <c r="B504" s="254"/>
      <c r="C504" s="254"/>
      <c r="D504" s="254"/>
      <c r="E504" s="254"/>
      <c r="F504" s="254"/>
      <c r="G504" s="254"/>
      <c r="H504" s="254"/>
      <c r="I504" s="254"/>
      <c r="J504" s="25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255"/>
    </row>
    <row r="505">
      <c r="A505" s="274"/>
      <c r="B505" s="254"/>
      <c r="C505" s="254"/>
      <c r="D505" s="254"/>
      <c r="E505" s="254"/>
      <c r="F505" s="254"/>
      <c r="G505" s="254"/>
      <c r="H505" s="254"/>
      <c r="I505" s="254"/>
      <c r="J505" s="25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255"/>
    </row>
    <row r="506">
      <c r="A506" s="274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255"/>
    </row>
    <row r="507">
      <c r="A507" s="274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255"/>
    </row>
    <row r="508">
      <c r="A508" s="274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255"/>
    </row>
    <row r="509">
      <c r="A509" s="274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255"/>
    </row>
    <row r="510">
      <c r="A510" s="274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255"/>
    </row>
    <row r="511">
      <c r="A511" s="274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5"/>
    </row>
    <row r="512">
      <c r="A512" s="274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255"/>
    </row>
    <row r="513">
      <c r="A513" s="274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255"/>
    </row>
    <row r="514">
      <c r="A514" s="274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255"/>
    </row>
    <row r="515">
      <c r="A515" s="274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255"/>
    </row>
    <row r="516">
      <c r="A516" s="274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255"/>
    </row>
    <row r="517">
      <c r="A517" s="274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255"/>
    </row>
    <row r="518">
      <c r="A518" s="274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255"/>
    </row>
    <row r="519">
      <c r="A519" s="274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255"/>
    </row>
    <row r="520">
      <c r="A520" s="274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255"/>
    </row>
    <row r="521">
      <c r="A521" s="274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255"/>
    </row>
    <row r="522">
      <c r="A522" s="274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255"/>
    </row>
    <row r="523">
      <c r="A523" s="274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255"/>
    </row>
    <row r="524">
      <c r="A524" s="274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255"/>
    </row>
    <row r="525">
      <c r="A525" s="274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255"/>
    </row>
    <row r="526">
      <c r="A526" s="274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5"/>
    </row>
    <row r="527">
      <c r="A527" s="274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255"/>
    </row>
    <row r="528">
      <c r="A528" s="274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255"/>
    </row>
    <row r="529">
      <c r="A529" s="274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255"/>
    </row>
    <row r="530">
      <c r="A530" s="274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255"/>
    </row>
    <row r="531">
      <c r="A531" s="274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255"/>
    </row>
    <row r="532">
      <c r="A532" s="274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255"/>
    </row>
    <row r="533">
      <c r="A533" s="274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255"/>
    </row>
    <row r="534">
      <c r="A534" s="274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255"/>
    </row>
    <row r="535">
      <c r="A535" s="274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255"/>
    </row>
    <row r="536">
      <c r="A536" s="274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255"/>
    </row>
    <row r="537">
      <c r="A537" s="274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255"/>
    </row>
    <row r="538">
      <c r="A538" s="274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255"/>
    </row>
    <row r="539">
      <c r="A539" s="274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255"/>
    </row>
    <row r="540">
      <c r="A540" s="274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255"/>
    </row>
    <row r="541">
      <c r="A541" s="274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255"/>
    </row>
    <row r="542">
      <c r="A542" s="274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255"/>
    </row>
    <row r="543">
      <c r="A543" s="274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255"/>
    </row>
    <row r="544">
      <c r="A544" s="274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255"/>
    </row>
    <row r="545">
      <c r="A545" s="274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255"/>
    </row>
    <row r="546">
      <c r="A546" s="274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255"/>
    </row>
    <row r="547">
      <c r="A547" s="274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255"/>
    </row>
    <row r="548">
      <c r="A548" s="274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255"/>
    </row>
    <row r="549">
      <c r="A549" s="274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255"/>
    </row>
    <row r="550">
      <c r="A550" s="274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255"/>
    </row>
    <row r="551">
      <c r="A551" s="274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255"/>
    </row>
    <row r="552">
      <c r="A552" s="274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255"/>
    </row>
    <row r="553">
      <c r="A553" s="274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255"/>
    </row>
    <row r="554">
      <c r="A554" s="274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255"/>
    </row>
    <row r="555">
      <c r="A555" s="274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255"/>
    </row>
    <row r="556">
      <c r="A556" s="274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255"/>
    </row>
    <row r="557">
      <c r="A557" s="274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255"/>
    </row>
    <row r="558">
      <c r="A558" s="274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255"/>
    </row>
    <row r="559">
      <c r="A559" s="274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255"/>
    </row>
    <row r="560">
      <c r="A560" s="274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255"/>
    </row>
    <row r="561">
      <c r="A561" s="274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255"/>
    </row>
    <row r="562">
      <c r="A562" s="274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255"/>
    </row>
    <row r="563">
      <c r="A563" s="274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255"/>
    </row>
    <row r="564">
      <c r="A564" s="274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255"/>
    </row>
    <row r="565">
      <c r="A565" s="274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255"/>
    </row>
    <row r="566">
      <c r="A566" s="274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255"/>
    </row>
    <row r="567">
      <c r="A567" s="274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255"/>
    </row>
    <row r="568">
      <c r="A568" s="274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5"/>
    </row>
    <row r="569">
      <c r="A569" s="274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255"/>
    </row>
    <row r="570">
      <c r="A570" s="274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255"/>
    </row>
    <row r="571">
      <c r="A571" s="274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255"/>
    </row>
    <row r="572">
      <c r="A572" s="274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255"/>
    </row>
    <row r="573">
      <c r="A573" s="274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255"/>
    </row>
    <row r="574">
      <c r="A574" s="274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255"/>
    </row>
    <row r="575">
      <c r="A575" s="274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255"/>
    </row>
    <row r="576">
      <c r="A576" s="274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255"/>
    </row>
    <row r="577">
      <c r="A577" s="274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255"/>
    </row>
    <row r="578">
      <c r="A578" s="274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255"/>
    </row>
    <row r="579">
      <c r="A579" s="274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255"/>
    </row>
    <row r="580">
      <c r="A580" s="274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255"/>
    </row>
    <row r="581">
      <c r="A581" s="274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255"/>
    </row>
    <row r="582">
      <c r="A582" s="274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255"/>
    </row>
    <row r="583">
      <c r="A583" s="274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255"/>
    </row>
    <row r="584">
      <c r="A584" s="274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5"/>
    </row>
    <row r="585">
      <c r="A585" s="274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255"/>
    </row>
    <row r="586">
      <c r="A586" s="274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255"/>
    </row>
    <row r="587">
      <c r="A587" s="274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255"/>
    </row>
    <row r="588">
      <c r="A588" s="274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255"/>
    </row>
    <row r="589">
      <c r="A589" s="274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255"/>
    </row>
    <row r="590">
      <c r="A590" s="274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255"/>
    </row>
    <row r="591">
      <c r="A591" s="274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255"/>
    </row>
    <row r="592">
      <c r="A592" s="274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255"/>
    </row>
    <row r="593">
      <c r="A593" s="274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255"/>
    </row>
    <row r="594">
      <c r="A594" s="274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255"/>
    </row>
    <row r="595">
      <c r="A595" s="274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255"/>
    </row>
    <row r="596">
      <c r="A596" s="274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255"/>
    </row>
    <row r="597">
      <c r="A597" s="274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255"/>
    </row>
    <row r="598">
      <c r="A598" s="274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255"/>
    </row>
    <row r="599">
      <c r="A599" s="274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255"/>
    </row>
    <row r="600">
      <c r="A600" s="274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255"/>
    </row>
    <row r="601">
      <c r="A601" s="274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255"/>
    </row>
    <row r="602">
      <c r="A602" s="274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255"/>
    </row>
    <row r="603">
      <c r="A603" s="274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255"/>
    </row>
    <row r="604">
      <c r="A604" s="274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255"/>
    </row>
    <row r="605">
      <c r="A605" s="274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255"/>
    </row>
    <row r="606">
      <c r="A606" s="274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255"/>
    </row>
    <row r="607">
      <c r="A607" s="274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255"/>
    </row>
    <row r="608">
      <c r="A608" s="274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255"/>
    </row>
    <row r="609">
      <c r="A609" s="274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255"/>
    </row>
    <row r="610">
      <c r="A610" s="274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255"/>
    </row>
    <row r="611">
      <c r="A611" s="274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255"/>
    </row>
    <row r="612">
      <c r="A612" s="274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255"/>
    </row>
    <row r="613">
      <c r="A613" s="274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255"/>
    </row>
    <row r="614">
      <c r="A614" s="274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255"/>
    </row>
    <row r="615">
      <c r="A615" s="274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255"/>
    </row>
    <row r="616">
      <c r="A616" s="274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255"/>
    </row>
    <row r="617">
      <c r="A617" s="274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255"/>
    </row>
    <row r="618">
      <c r="A618" s="274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255"/>
    </row>
    <row r="619">
      <c r="A619" s="274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255"/>
    </row>
    <row r="620">
      <c r="A620" s="274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255"/>
    </row>
    <row r="621">
      <c r="A621" s="274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255"/>
    </row>
    <row r="622">
      <c r="A622" s="274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255"/>
    </row>
    <row r="623">
      <c r="A623" s="274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255"/>
    </row>
    <row r="624">
      <c r="A624" s="274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255"/>
    </row>
    <row r="625">
      <c r="A625" s="274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255"/>
    </row>
    <row r="626">
      <c r="A626" s="274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255"/>
    </row>
    <row r="627">
      <c r="A627" s="274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255"/>
    </row>
    <row r="628">
      <c r="A628" s="274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255"/>
    </row>
    <row r="629">
      <c r="A629" s="274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255"/>
    </row>
    <row r="630">
      <c r="A630" s="274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255"/>
    </row>
    <row r="631">
      <c r="A631" s="274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255"/>
    </row>
    <row r="632">
      <c r="A632" s="274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255"/>
    </row>
    <row r="633">
      <c r="A633" s="274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255"/>
    </row>
    <row r="634">
      <c r="A634" s="274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255"/>
    </row>
    <row r="635">
      <c r="A635" s="274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255"/>
    </row>
    <row r="636">
      <c r="A636" s="274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255"/>
    </row>
    <row r="637">
      <c r="A637" s="274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255"/>
    </row>
    <row r="638">
      <c r="A638" s="274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255"/>
    </row>
    <row r="639">
      <c r="A639" s="274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255"/>
    </row>
    <row r="640">
      <c r="A640" s="274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255"/>
    </row>
    <row r="641">
      <c r="A641" s="274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255"/>
    </row>
    <row r="642">
      <c r="A642" s="274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255"/>
    </row>
    <row r="643">
      <c r="A643" s="274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255"/>
    </row>
    <row r="644">
      <c r="A644" s="274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255"/>
    </row>
    <row r="645">
      <c r="A645" s="274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255"/>
    </row>
    <row r="646">
      <c r="A646" s="274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255"/>
    </row>
    <row r="647">
      <c r="A647" s="274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255"/>
    </row>
    <row r="648">
      <c r="A648" s="274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255"/>
    </row>
    <row r="649">
      <c r="A649" s="274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255"/>
    </row>
    <row r="650">
      <c r="A650" s="274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255"/>
    </row>
    <row r="651">
      <c r="A651" s="274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255"/>
    </row>
    <row r="652">
      <c r="A652" s="274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255"/>
    </row>
    <row r="653">
      <c r="A653" s="274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255"/>
    </row>
    <row r="654">
      <c r="A654" s="274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255"/>
    </row>
    <row r="655">
      <c r="A655" s="274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255"/>
    </row>
    <row r="656">
      <c r="A656" s="274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255"/>
    </row>
    <row r="657">
      <c r="A657" s="274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255"/>
    </row>
    <row r="658">
      <c r="A658" s="274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255"/>
    </row>
    <row r="659">
      <c r="A659" s="274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255"/>
    </row>
    <row r="660">
      <c r="A660" s="274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255"/>
    </row>
    <row r="661">
      <c r="A661" s="274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255"/>
    </row>
    <row r="662">
      <c r="A662" s="274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255"/>
    </row>
    <row r="663">
      <c r="A663" s="274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255"/>
    </row>
    <row r="664">
      <c r="A664" s="274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255"/>
    </row>
    <row r="665">
      <c r="A665" s="274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255"/>
    </row>
    <row r="666">
      <c r="A666" s="274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255"/>
    </row>
    <row r="667">
      <c r="A667" s="274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255"/>
    </row>
    <row r="668">
      <c r="A668" s="274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255"/>
    </row>
    <row r="669">
      <c r="A669" s="274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255"/>
    </row>
    <row r="670">
      <c r="A670" s="274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255"/>
    </row>
    <row r="671">
      <c r="A671" s="274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255"/>
    </row>
    <row r="672">
      <c r="A672" s="274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255"/>
    </row>
    <row r="673">
      <c r="A673" s="274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255"/>
    </row>
    <row r="674">
      <c r="A674" s="274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255"/>
    </row>
    <row r="675">
      <c r="A675" s="274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255"/>
    </row>
    <row r="676">
      <c r="A676" s="274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255"/>
    </row>
    <row r="677">
      <c r="A677" s="274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255"/>
    </row>
    <row r="678">
      <c r="A678" s="274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255"/>
    </row>
    <row r="679">
      <c r="A679" s="274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255"/>
    </row>
    <row r="680">
      <c r="A680" s="274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255"/>
    </row>
    <row r="681">
      <c r="A681" s="274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255"/>
    </row>
    <row r="682">
      <c r="A682" s="274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255"/>
    </row>
    <row r="683">
      <c r="A683" s="274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255"/>
    </row>
    <row r="684">
      <c r="A684" s="274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255"/>
    </row>
    <row r="685">
      <c r="A685" s="274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255"/>
    </row>
    <row r="686">
      <c r="A686" s="274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255"/>
    </row>
    <row r="687">
      <c r="A687" s="274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255"/>
    </row>
    <row r="688">
      <c r="A688" s="274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255"/>
    </row>
    <row r="689">
      <c r="A689" s="274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255"/>
    </row>
    <row r="690">
      <c r="A690" s="274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255"/>
    </row>
    <row r="691">
      <c r="A691" s="274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255"/>
    </row>
    <row r="692">
      <c r="A692" s="274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255"/>
    </row>
    <row r="693">
      <c r="A693" s="274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255"/>
    </row>
    <row r="694">
      <c r="A694" s="274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255"/>
    </row>
    <row r="695">
      <c r="A695" s="274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255"/>
    </row>
    <row r="696">
      <c r="A696" s="274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255"/>
    </row>
    <row r="697">
      <c r="A697" s="274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255"/>
    </row>
    <row r="698">
      <c r="A698" s="274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255"/>
    </row>
    <row r="699">
      <c r="A699" s="274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255"/>
    </row>
    <row r="700">
      <c r="A700" s="274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255"/>
    </row>
    <row r="701">
      <c r="A701" s="274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255"/>
    </row>
    <row r="702">
      <c r="A702" s="274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255"/>
    </row>
    <row r="703">
      <c r="A703" s="274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255"/>
    </row>
    <row r="704">
      <c r="A704" s="274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255"/>
    </row>
    <row r="705">
      <c r="A705" s="274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255"/>
    </row>
    <row r="706">
      <c r="A706" s="274"/>
      <c r="B706" s="254"/>
      <c r="C706" s="254"/>
      <c r="D706" s="254"/>
      <c r="E706" s="254"/>
      <c r="F706" s="254"/>
      <c r="G706" s="254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255"/>
    </row>
    <row r="707">
      <c r="A707" s="274"/>
      <c r="B707" s="254"/>
      <c r="C707" s="254"/>
      <c r="D707" s="254"/>
      <c r="E707" s="254"/>
      <c r="F707" s="254"/>
      <c r="G707" s="254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255"/>
    </row>
    <row r="708">
      <c r="A708" s="274"/>
      <c r="B708" s="254"/>
      <c r="C708" s="254"/>
      <c r="D708" s="254"/>
      <c r="E708" s="254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255"/>
    </row>
    <row r="709">
      <c r="A709" s="274"/>
      <c r="B709" s="254"/>
      <c r="C709" s="254"/>
      <c r="D709" s="254"/>
      <c r="E709" s="254"/>
      <c r="F709" s="254"/>
      <c r="G709" s="254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255"/>
    </row>
    <row r="710">
      <c r="A710" s="274"/>
      <c r="B710" s="254"/>
      <c r="C710" s="254"/>
      <c r="D710" s="254"/>
      <c r="E710" s="254"/>
      <c r="F710" s="254"/>
      <c r="G710" s="254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255"/>
    </row>
    <row r="711">
      <c r="A711" s="274"/>
      <c r="B711" s="254"/>
      <c r="C711" s="254"/>
      <c r="D711" s="254"/>
      <c r="E711" s="254"/>
      <c r="F711" s="254"/>
      <c r="G711" s="254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255"/>
    </row>
    <row r="712">
      <c r="A712" s="274"/>
      <c r="B712" s="254"/>
      <c r="C712" s="254"/>
      <c r="D712" s="254"/>
      <c r="E712" s="254"/>
      <c r="F712" s="254"/>
      <c r="G712" s="254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255"/>
    </row>
    <row r="713">
      <c r="A713" s="274"/>
      <c r="B713" s="254"/>
      <c r="C713" s="254"/>
      <c r="D713" s="254"/>
      <c r="E713" s="254"/>
      <c r="F713" s="254"/>
      <c r="G713" s="254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255"/>
    </row>
    <row r="714">
      <c r="A714" s="274"/>
      <c r="B714" s="254"/>
      <c r="C714" s="254"/>
      <c r="D714" s="254"/>
      <c r="E714" s="254"/>
      <c r="F714" s="254"/>
      <c r="G714" s="254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255"/>
    </row>
    <row r="715">
      <c r="A715" s="274"/>
      <c r="B715" s="254"/>
      <c r="C715" s="254"/>
      <c r="D715" s="254"/>
      <c r="E715" s="254"/>
      <c r="F715" s="254"/>
      <c r="G715" s="254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255"/>
    </row>
    <row r="716">
      <c r="A716" s="274"/>
      <c r="B716" s="254"/>
      <c r="C716" s="254"/>
      <c r="D716" s="254"/>
      <c r="E716" s="254"/>
      <c r="F716" s="254"/>
      <c r="G716" s="254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255"/>
    </row>
    <row r="717">
      <c r="A717" s="274"/>
      <c r="B717" s="254"/>
      <c r="C717" s="254"/>
      <c r="D717" s="254"/>
      <c r="E717" s="254"/>
      <c r="F717" s="254"/>
      <c r="G717" s="254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255"/>
    </row>
    <row r="718">
      <c r="A718" s="274"/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255"/>
    </row>
    <row r="719">
      <c r="A719" s="274"/>
      <c r="B719" s="254"/>
      <c r="C719" s="254"/>
      <c r="D719" s="254"/>
      <c r="E719" s="254"/>
      <c r="F719" s="254"/>
      <c r="G719" s="254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255"/>
    </row>
    <row r="720">
      <c r="A720" s="274"/>
      <c r="B720" s="254"/>
      <c r="C720" s="254"/>
      <c r="D720" s="254"/>
      <c r="E720" s="254"/>
      <c r="F720" s="254"/>
      <c r="G720" s="254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255"/>
    </row>
    <row r="721">
      <c r="A721" s="274"/>
      <c r="B721" s="254"/>
      <c r="C721" s="254"/>
      <c r="D721" s="254"/>
      <c r="E721" s="254"/>
      <c r="F721" s="254"/>
      <c r="G721" s="254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255"/>
    </row>
    <row r="722">
      <c r="A722" s="274"/>
      <c r="B722" s="254"/>
      <c r="C722" s="254"/>
      <c r="D722" s="254"/>
      <c r="E722" s="254"/>
      <c r="F722" s="254"/>
      <c r="G722" s="254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255"/>
    </row>
    <row r="723">
      <c r="A723" s="274"/>
      <c r="B723" s="254"/>
      <c r="C723" s="254"/>
      <c r="D723" s="254"/>
      <c r="E723" s="254"/>
      <c r="F723" s="254"/>
      <c r="G723" s="254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255"/>
    </row>
    <row r="724">
      <c r="A724" s="274"/>
      <c r="B724" s="254"/>
      <c r="C724" s="254"/>
      <c r="D724" s="254"/>
      <c r="E724" s="254"/>
      <c r="F724" s="254"/>
      <c r="G724" s="254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255"/>
    </row>
    <row r="725">
      <c r="A725" s="274"/>
      <c r="B725" s="254"/>
      <c r="C725" s="254"/>
      <c r="D725" s="254"/>
      <c r="E725" s="254"/>
      <c r="F725" s="254"/>
      <c r="G725" s="254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255"/>
    </row>
    <row r="726">
      <c r="A726" s="274"/>
      <c r="B726" s="254"/>
      <c r="C726" s="254"/>
      <c r="D726" s="254"/>
      <c r="E726" s="254"/>
      <c r="F726" s="254"/>
      <c r="G726" s="254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255"/>
    </row>
    <row r="727">
      <c r="A727" s="274"/>
      <c r="B727" s="254"/>
      <c r="C727" s="254"/>
      <c r="D727" s="254"/>
      <c r="E727" s="254"/>
      <c r="F727" s="254"/>
      <c r="G727" s="254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255"/>
    </row>
    <row r="728">
      <c r="A728" s="274"/>
      <c r="B728" s="254"/>
      <c r="C728" s="254"/>
      <c r="D728" s="254"/>
      <c r="E728" s="254"/>
      <c r="F728" s="254"/>
      <c r="G728" s="254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255"/>
    </row>
    <row r="729">
      <c r="A729" s="274"/>
      <c r="B729" s="254"/>
      <c r="C729" s="254"/>
      <c r="D729" s="254"/>
      <c r="E729" s="254"/>
      <c r="F729" s="254"/>
      <c r="G729" s="254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255"/>
    </row>
    <row r="730">
      <c r="A730" s="274"/>
      <c r="B730" s="254"/>
      <c r="C730" s="254"/>
      <c r="D730" s="254"/>
      <c r="E730" s="254"/>
      <c r="F730" s="254"/>
      <c r="G730" s="254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255"/>
    </row>
    <row r="731">
      <c r="A731" s="274"/>
      <c r="B731" s="254"/>
      <c r="C731" s="254"/>
      <c r="D731" s="254"/>
      <c r="E731" s="254"/>
      <c r="F731" s="254"/>
      <c r="G731" s="254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255"/>
    </row>
    <row r="732">
      <c r="A732" s="274"/>
      <c r="B732" s="254"/>
      <c r="C732" s="254"/>
      <c r="D732" s="254"/>
      <c r="E732" s="254"/>
      <c r="F732" s="254"/>
      <c r="G732" s="254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255"/>
    </row>
    <row r="733">
      <c r="A733" s="274"/>
      <c r="B733" s="254"/>
      <c r="C733" s="254"/>
      <c r="D733" s="254"/>
      <c r="E733" s="254"/>
      <c r="F733" s="254"/>
      <c r="G733" s="254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255"/>
    </row>
    <row r="734">
      <c r="A734" s="274"/>
      <c r="B734" s="254"/>
      <c r="C734" s="254"/>
      <c r="D734" s="254"/>
      <c r="E734" s="254"/>
      <c r="F734" s="254"/>
      <c r="G734" s="254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255"/>
    </row>
    <row r="735">
      <c r="A735" s="274"/>
      <c r="B735" s="254"/>
      <c r="C735" s="254"/>
      <c r="D735" s="254"/>
      <c r="E735" s="254"/>
      <c r="F735" s="254"/>
      <c r="G735" s="254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255"/>
    </row>
    <row r="736">
      <c r="A736" s="274"/>
      <c r="B736" s="254"/>
      <c r="C736" s="254"/>
      <c r="D736" s="254"/>
      <c r="E736" s="254"/>
      <c r="F736" s="254"/>
      <c r="G736" s="254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255"/>
    </row>
    <row r="737">
      <c r="A737" s="274"/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255"/>
    </row>
    <row r="738">
      <c r="A738" s="274"/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255"/>
    </row>
    <row r="739">
      <c r="A739" s="274"/>
      <c r="B739" s="254"/>
      <c r="C739" s="254"/>
      <c r="D739" s="254"/>
      <c r="E739" s="254"/>
      <c r="F739" s="254"/>
      <c r="G739" s="254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255"/>
    </row>
    <row r="740">
      <c r="A740" s="274"/>
      <c r="B740" s="254"/>
      <c r="C740" s="254"/>
      <c r="D740" s="254"/>
      <c r="E740" s="254"/>
      <c r="F740" s="254"/>
      <c r="G740" s="254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255"/>
    </row>
    <row r="741">
      <c r="A741" s="274"/>
      <c r="B741" s="254"/>
      <c r="C741" s="254"/>
      <c r="D741" s="254"/>
      <c r="E741" s="254"/>
      <c r="F741" s="254"/>
      <c r="G741" s="254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255"/>
    </row>
    <row r="742">
      <c r="A742" s="274"/>
      <c r="B742" s="254"/>
      <c r="C742" s="254"/>
      <c r="D742" s="254"/>
      <c r="E742" s="254"/>
      <c r="F742" s="254"/>
      <c r="G742" s="254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255"/>
    </row>
    <row r="743">
      <c r="A743" s="274"/>
      <c r="B743" s="254"/>
      <c r="C743" s="254"/>
      <c r="D743" s="254"/>
      <c r="E743" s="254"/>
      <c r="F743" s="254"/>
      <c r="G743" s="254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255"/>
    </row>
    <row r="744">
      <c r="A744" s="274"/>
      <c r="B744" s="254"/>
      <c r="C744" s="254"/>
      <c r="D744" s="254"/>
      <c r="E744" s="254"/>
      <c r="F744" s="254"/>
      <c r="G744" s="254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255"/>
    </row>
    <row r="745">
      <c r="A745" s="274"/>
      <c r="B745" s="254"/>
      <c r="C745" s="254"/>
      <c r="D745" s="254"/>
      <c r="E745" s="254"/>
      <c r="F745" s="254"/>
      <c r="G745" s="254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255"/>
    </row>
    <row r="746">
      <c r="A746" s="274"/>
      <c r="B746" s="254"/>
      <c r="C746" s="254"/>
      <c r="D746" s="254"/>
      <c r="E746" s="254"/>
      <c r="F746" s="254"/>
      <c r="G746" s="254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255"/>
    </row>
    <row r="747">
      <c r="A747" s="274"/>
      <c r="B747" s="254"/>
      <c r="C747" s="254"/>
      <c r="D747" s="254"/>
      <c r="E747" s="254"/>
      <c r="F747" s="254"/>
      <c r="G747" s="254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255"/>
    </row>
    <row r="748">
      <c r="A748" s="274"/>
      <c r="B748" s="254"/>
      <c r="C748" s="254"/>
      <c r="D748" s="254"/>
      <c r="E748" s="254"/>
      <c r="F748" s="254"/>
      <c r="G748" s="254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255"/>
    </row>
    <row r="749">
      <c r="A749" s="274"/>
      <c r="B749" s="254"/>
      <c r="C749" s="254"/>
      <c r="D749" s="254"/>
      <c r="E749" s="254"/>
      <c r="F749" s="254"/>
      <c r="G749" s="254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255"/>
    </row>
    <row r="750">
      <c r="A750" s="274"/>
      <c r="B750" s="254"/>
      <c r="C750" s="254"/>
      <c r="D750" s="254"/>
      <c r="E750" s="254"/>
      <c r="F750" s="254"/>
      <c r="G750" s="254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255"/>
    </row>
    <row r="751">
      <c r="A751" s="274"/>
      <c r="B751" s="254"/>
      <c r="C751" s="254"/>
      <c r="D751" s="254"/>
      <c r="E751" s="254"/>
      <c r="F751" s="254"/>
      <c r="G751" s="254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255"/>
    </row>
    <row r="752">
      <c r="A752" s="274"/>
      <c r="B752" s="254"/>
      <c r="C752" s="254"/>
      <c r="D752" s="254"/>
      <c r="E752" s="254"/>
      <c r="F752" s="254"/>
      <c r="G752" s="254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255"/>
    </row>
    <row r="753">
      <c r="A753" s="274"/>
      <c r="B753" s="254"/>
      <c r="C753" s="254"/>
      <c r="D753" s="254"/>
      <c r="E753" s="254"/>
      <c r="F753" s="254"/>
      <c r="G753" s="254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255"/>
    </row>
    <row r="754">
      <c r="A754" s="274"/>
      <c r="B754" s="254"/>
      <c r="C754" s="254"/>
      <c r="D754" s="254"/>
      <c r="E754" s="254"/>
      <c r="F754" s="254"/>
      <c r="G754" s="254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255"/>
    </row>
    <row r="755">
      <c r="A755" s="274"/>
      <c r="B755" s="254"/>
      <c r="C755" s="254"/>
      <c r="D755" s="254"/>
      <c r="E755" s="254"/>
      <c r="F755" s="254"/>
      <c r="G755" s="254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255"/>
    </row>
    <row r="756">
      <c r="A756" s="274"/>
      <c r="B756" s="254"/>
      <c r="C756" s="254"/>
      <c r="D756" s="254"/>
      <c r="E756" s="254"/>
      <c r="F756" s="254"/>
      <c r="G756" s="254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255"/>
    </row>
    <row r="757">
      <c r="A757" s="274"/>
      <c r="B757" s="254"/>
      <c r="C757" s="254"/>
      <c r="D757" s="254"/>
      <c r="E757" s="254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255"/>
    </row>
    <row r="758">
      <c r="A758" s="274"/>
      <c r="B758" s="254"/>
      <c r="C758" s="254"/>
      <c r="D758" s="254"/>
      <c r="E758" s="254"/>
      <c r="F758" s="254"/>
      <c r="G758" s="254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255"/>
    </row>
    <row r="759">
      <c r="A759" s="274"/>
      <c r="B759" s="254"/>
      <c r="C759" s="254"/>
      <c r="D759" s="254"/>
      <c r="E759" s="254"/>
      <c r="F759" s="254"/>
      <c r="G759" s="254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255"/>
    </row>
    <row r="760">
      <c r="A760" s="274"/>
      <c r="B760" s="254"/>
      <c r="C760" s="254"/>
      <c r="D760" s="254"/>
      <c r="E760" s="254"/>
      <c r="F760" s="254"/>
      <c r="G760" s="254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255"/>
    </row>
    <row r="761">
      <c r="A761" s="274"/>
      <c r="B761" s="254"/>
      <c r="C761" s="254"/>
      <c r="D761" s="254"/>
      <c r="E761" s="254"/>
      <c r="F761" s="254"/>
      <c r="G761" s="254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255"/>
    </row>
    <row r="762">
      <c r="A762" s="274"/>
      <c r="B762" s="254"/>
      <c r="C762" s="254"/>
      <c r="D762" s="254"/>
      <c r="E762" s="254"/>
      <c r="F762" s="254"/>
      <c r="G762" s="254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255"/>
    </row>
    <row r="763">
      <c r="A763" s="274"/>
      <c r="B763" s="254"/>
      <c r="C763" s="254"/>
      <c r="D763" s="254"/>
      <c r="E763" s="254"/>
      <c r="F763" s="254"/>
      <c r="G763" s="254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255"/>
    </row>
    <row r="764">
      <c r="A764" s="274"/>
      <c r="B764" s="254"/>
      <c r="C764" s="254"/>
      <c r="D764" s="254"/>
      <c r="E764" s="254"/>
      <c r="F764" s="254"/>
      <c r="G764" s="254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255"/>
    </row>
    <row r="765">
      <c r="A765" s="274"/>
      <c r="B765" s="254"/>
      <c r="C765" s="254"/>
      <c r="D765" s="254"/>
      <c r="E765" s="254"/>
      <c r="F765" s="254"/>
      <c r="G765" s="254"/>
      <c r="H765" s="254"/>
      <c r="I765" s="254"/>
      <c r="J765" s="25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255"/>
    </row>
    <row r="766">
      <c r="A766" s="274"/>
      <c r="B766" s="254"/>
      <c r="C766" s="254"/>
      <c r="D766" s="254"/>
      <c r="E766" s="254"/>
      <c r="F766" s="254"/>
      <c r="G766" s="254"/>
      <c r="H766" s="254"/>
      <c r="I766" s="254"/>
      <c r="J766" s="25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255"/>
    </row>
    <row r="767">
      <c r="A767" s="274"/>
      <c r="B767" s="254"/>
      <c r="C767" s="254"/>
      <c r="D767" s="254"/>
      <c r="E767" s="254"/>
      <c r="F767" s="254"/>
      <c r="G767" s="254"/>
      <c r="H767" s="254"/>
      <c r="I767" s="254"/>
      <c r="J767" s="25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255"/>
    </row>
    <row r="768">
      <c r="A768" s="274"/>
      <c r="B768" s="254"/>
      <c r="C768" s="254"/>
      <c r="D768" s="254"/>
      <c r="E768" s="254"/>
      <c r="F768" s="254"/>
      <c r="G768" s="254"/>
      <c r="H768" s="254"/>
      <c r="I768" s="254"/>
      <c r="J768" s="25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255"/>
    </row>
    <row r="769">
      <c r="A769" s="274"/>
      <c r="B769" s="254"/>
      <c r="C769" s="254"/>
      <c r="D769" s="254"/>
      <c r="E769" s="254"/>
      <c r="F769" s="254"/>
      <c r="G769" s="254"/>
      <c r="H769" s="254"/>
      <c r="I769" s="254"/>
      <c r="J769" s="25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255"/>
    </row>
    <row r="770">
      <c r="A770" s="274"/>
      <c r="B770" s="254"/>
      <c r="C770" s="254"/>
      <c r="D770" s="254"/>
      <c r="E770" s="254"/>
      <c r="F770" s="254"/>
      <c r="G770" s="254"/>
      <c r="H770" s="254"/>
      <c r="I770" s="254"/>
      <c r="J770" s="25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255"/>
    </row>
    <row r="771">
      <c r="A771" s="274"/>
      <c r="B771" s="254"/>
      <c r="C771" s="254"/>
      <c r="D771" s="254"/>
      <c r="E771" s="254"/>
      <c r="F771" s="254"/>
      <c r="G771" s="254"/>
      <c r="H771" s="254"/>
      <c r="I771" s="254"/>
      <c r="J771" s="25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255"/>
    </row>
    <row r="772">
      <c r="A772" s="274"/>
      <c r="B772" s="254"/>
      <c r="C772" s="254"/>
      <c r="D772" s="254"/>
      <c r="E772" s="254"/>
      <c r="F772" s="254"/>
      <c r="G772" s="254"/>
      <c r="H772" s="254"/>
      <c r="I772" s="254"/>
      <c r="J772" s="25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255"/>
    </row>
    <row r="773">
      <c r="A773" s="274"/>
      <c r="B773" s="254"/>
      <c r="C773" s="254"/>
      <c r="D773" s="254"/>
      <c r="E773" s="254"/>
      <c r="F773" s="254"/>
      <c r="G773" s="254"/>
      <c r="H773" s="254"/>
      <c r="I773" s="254"/>
      <c r="J773" s="25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255"/>
    </row>
    <row r="774">
      <c r="A774" s="274"/>
      <c r="B774" s="254"/>
      <c r="C774" s="254"/>
      <c r="D774" s="254"/>
      <c r="E774" s="254"/>
      <c r="F774" s="254"/>
      <c r="G774" s="254"/>
      <c r="H774" s="254"/>
      <c r="I774" s="254"/>
      <c r="J774" s="25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255"/>
    </row>
    <row r="775">
      <c r="A775" s="274"/>
      <c r="B775" s="254"/>
      <c r="C775" s="254"/>
      <c r="D775" s="254"/>
      <c r="E775" s="254"/>
      <c r="F775" s="254"/>
      <c r="G775" s="254"/>
      <c r="H775" s="254"/>
      <c r="I775" s="254"/>
      <c r="J775" s="25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255"/>
    </row>
    <row r="776">
      <c r="A776" s="274"/>
      <c r="B776" s="254"/>
      <c r="C776" s="254"/>
      <c r="D776" s="254"/>
      <c r="E776" s="254"/>
      <c r="F776" s="254"/>
      <c r="G776" s="254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255"/>
    </row>
    <row r="777">
      <c r="A777" s="274"/>
      <c r="B777" s="254"/>
      <c r="C777" s="254"/>
      <c r="D777" s="254"/>
      <c r="E777" s="254"/>
      <c r="F777" s="254"/>
      <c r="G777" s="254"/>
      <c r="H777" s="254"/>
      <c r="I777" s="254"/>
      <c r="J777" s="25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255"/>
    </row>
    <row r="778">
      <c r="A778" s="274"/>
      <c r="B778" s="254"/>
      <c r="C778" s="254"/>
      <c r="D778" s="254"/>
      <c r="E778" s="254"/>
      <c r="F778" s="254"/>
      <c r="G778" s="254"/>
      <c r="H778" s="254"/>
      <c r="I778" s="254"/>
      <c r="J778" s="25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255"/>
    </row>
    <row r="779">
      <c r="A779" s="274"/>
      <c r="B779" s="254"/>
      <c r="C779" s="254"/>
      <c r="D779" s="254"/>
      <c r="E779" s="254"/>
      <c r="F779" s="254"/>
      <c r="G779" s="254"/>
      <c r="H779" s="254"/>
      <c r="I779" s="254"/>
      <c r="J779" s="25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255"/>
    </row>
    <row r="780">
      <c r="A780" s="274"/>
      <c r="B780" s="254"/>
      <c r="C780" s="254"/>
      <c r="D780" s="254"/>
      <c r="E780" s="254"/>
      <c r="F780" s="254"/>
      <c r="G780" s="254"/>
      <c r="H780" s="254"/>
      <c r="I780" s="254"/>
      <c r="J780" s="25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255"/>
    </row>
    <row r="781">
      <c r="A781" s="274"/>
      <c r="B781" s="254"/>
      <c r="C781" s="254"/>
      <c r="D781" s="254"/>
      <c r="E781" s="254"/>
      <c r="F781" s="254"/>
      <c r="G781" s="254"/>
      <c r="H781" s="254"/>
      <c r="I781" s="254"/>
      <c r="J781" s="25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255"/>
    </row>
    <row r="782">
      <c r="A782" s="274"/>
      <c r="B782" s="254"/>
      <c r="C782" s="254"/>
      <c r="D782" s="254"/>
      <c r="E782" s="254"/>
      <c r="F782" s="254"/>
      <c r="G782" s="254"/>
      <c r="H782" s="254"/>
      <c r="I782" s="254"/>
      <c r="J782" s="25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255"/>
    </row>
    <row r="783">
      <c r="A783" s="274"/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255"/>
    </row>
    <row r="784">
      <c r="A784" s="274"/>
      <c r="B784" s="254"/>
      <c r="C784" s="254"/>
      <c r="D784" s="254"/>
      <c r="E784" s="254"/>
      <c r="F784" s="254"/>
      <c r="G784" s="254"/>
      <c r="H784" s="254"/>
      <c r="I784" s="254"/>
      <c r="J784" s="25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255"/>
    </row>
    <row r="785">
      <c r="A785" s="274"/>
      <c r="B785" s="254"/>
      <c r="C785" s="254"/>
      <c r="D785" s="254"/>
      <c r="E785" s="254"/>
      <c r="F785" s="254"/>
      <c r="G785" s="254"/>
      <c r="H785" s="254"/>
      <c r="I785" s="254"/>
      <c r="J785" s="25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255"/>
    </row>
    <row r="786">
      <c r="A786" s="274"/>
      <c r="B786" s="254"/>
      <c r="C786" s="254"/>
      <c r="D786" s="254"/>
      <c r="E786" s="254"/>
      <c r="F786" s="254"/>
      <c r="G786" s="254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255"/>
    </row>
    <row r="787">
      <c r="A787" s="274"/>
      <c r="B787" s="254"/>
      <c r="C787" s="254"/>
      <c r="D787" s="254"/>
      <c r="E787" s="254"/>
      <c r="F787" s="254"/>
      <c r="G787" s="254"/>
      <c r="H787" s="254"/>
      <c r="I787" s="254"/>
      <c r="J787" s="25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255"/>
    </row>
    <row r="788">
      <c r="A788" s="274"/>
      <c r="B788" s="254"/>
      <c r="C788" s="254"/>
      <c r="D788" s="254"/>
      <c r="E788" s="254"/>
      <c r="F788" s="254"/>
      <c r="G788" s="254"/>
      <c r="H788" s="254"/>
      <c r="I788" s="254"/>
      <c r="J788" s="25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255"/>
    </row>
    <row r="789">
      <c r="A789" s="274"/>
      <c r="B789" s="254"/>
      <c r="C789" s="254"/>
      <c r="D789" s="254"/>
      <c r="E789" s="254"/>
      <c r="F789" s="254"/>
      <c r="G789" s="254"/>
      <c r="H789" s="254"/>
      <c r="I789" s="254"/>
      <c r="J789" s="25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255"/>
    </row>
    <row r="790">
      <c r="A790" s="274"/>
      <c r="B790" s="254"/>
      <c r="C790" s="254"/>
      <c r="D790" s="254"/>
      <c r="E790" s="254"/>
      <c r="F790" s="254"/>
      <c r="G790" s="254"/>
      <c r="H790" s="254"/>
      <c r="I790" s="254"/>
      <c r="J790" s="25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255"/>
    </row>
    <row r="791">
      <c r="A791" s="274"/>
      <c r="B791" s="254"/>
      <c r="C791" s="254"/>
      <c r="D791" s="254"/>
      <c r="E791" s="254"/>
      <c r="F791" s="254"/>
      <c r="G791" s="254"/>
      <c r="H791" s="254"/>
      <c r="I791" s="254"/>
      <c r="J791" s="25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255"/>
    </row>
    <row r="792">
      <c r="A792" s="274"/>
      <c r="B792" s="254"/>
      <c r="C792" s="254"/>
      <c r="D792" s="254"/>
      <c r="E792" s="254"/>
      <c r="F792" s="254"/>
      <c r="G792" s="254"/>
      <c r="H792" s="254"/>
      <c r="I792" s="254"/>
      <c r="J792" s="25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255"/>
    </row>
    <row r="793">
      <c r="A793" s="274"/>
      <c r="B793" s="254"/>
      <c r="C793" s="254"/>
      <c r="D793" s="254"/>
      <c r="E793" s="254"/>
      <c r="F793" s="254"/>
      <c r="G793" s="254"/>
      <c r="H793" s="254"/>
      <c r="I793" s="254"/>
      <c r="J793" s="25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255"/>
    </row>
    <row r="794">
      <c r="A794" s="274"/>
      <c r="B794" s="254"/>
      <c r="C794" s="254"/>
      <c r="D794" s="254"/>
      <c r="E794" s="254"/>
      <c r="F794" s="254"/>
      <c r="G794" s="254"/>
      <c r="H794" s="254"/>
      <c r="I794" s="254"/>
      <c r="J794" s="25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255"/>
    </row>
    <row r="795">
      <c r="A795" s="274"/>
      <c r="B795" s="254"/>
      <c r="C795" s="254"/>
      <c r="D795" s="254"/>
      <c r="E795" s="254"/>
      <c r="F795" s="254"/>
      <c r="G795" s="254"/>
      <c r="H795" s="254"/>
      <c r="I795" s="254"/>
      <c r="J795" s="25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255"/>
    </row>
    <row r="796">
      <c r="A796" s="274"/>
      <c r="B796" s="254"/>
      <c r="C796" s="254"/>
      <c r="D796" s="254"/>
      <c r="E796" s="254"/>
      <c r="F796" s="254"/>
      <c r="G796" s="254"/>
      <c r="H796" s="254"/>
      <c r="I796" s="254"/>
      <c r="J796" s="25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255"/>
    </row>
    <row r="797">
      <c r="A797" s="274"/>
      <c r="B797" s="254"/>
      <c r="C797" s="254"/>
      <c r="D797" s="254"/>
      <c r="E797" s="254"/>
      <c r="F797" s="254"/>
      <c r="G797" s="254"/>
      <c r="H797" s="254"/>
      <c r="I797" s="254"/>
      <c r="J797" s="25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255"/>
    </row>
    <row r="798">
      <c r="A798" s="274"/>
      <c r="B798" s="254"/>
      <c r="C798" s="254"/>
      <c r="D798" s="254"/>
      <c r="E798" s="254"/>
      <c r="F798" s="254"/>
      <c r="G798" s="254"/>
      <c r="H798" s="254"/>
      <c r="I798" s="254"/>
      <c r="J798" s="25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255"/>
    </row>
    <row r="799">
      <c r="A799" s="274"/>
      <c r="B799" s="254"/>
      <c r="C799" s="254"/>
      <c r="D799" s="254"/>
      <c r="E799" s="254"/>
      <c r="F799" s="254"/>
      <c r="G799" s="254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255"/>
    </row>
    <row r="800">
      <c r="A800" s="274"/>
      <c r="B800" s="254"/>
      <c r="C800" s="254"/>
      <c r="D800" s="254"/>
      <c r="E800" s="254"/>
      <c r="F800" s="254"/>
      <c r="G800" s="254"/>
      <c r="H800" s="254"/>
      <c r="I800" s="254"/>
      <c r="J800" s="25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255"/>
    </row>
    <row r="801">
      <c r="A801" s="274"/>
      <c r="B801" s="254"/>
      <c r="C801" s="254"/>
      <c r="D801" s="254"/>
      <c r="E801" s="254"/>
      <c r="F801" s="254"/>
      <c r="G801" s="254"/>
      <c r="H801" s="254"/>
      <c r="I801" s="254"/>
      <c r="J801" s="25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255"/>
    </row>
    <row r="802">
      <c r="A802" s="274"/>
      <c r="B802" s="254"/>
      <c r="C802" s="254"/>
      <c r="D802" s="254"/>
      <c r="E802" s="254"/>
      <c r="F802" s="254"/>
      <c r="G802" s="254"/>
      <c r="H802" s="254"/>
      <c r="I802" s="254"/>
      <c r="J802" s="25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255"/>
    </row>
    <row r="803">
      <c r="A803" s="274"/>
      <c r="B803" s="254"/>
      <c r="C803" s="254"/>
      <c r="D803" s="254"/>
      <c r="E803" s="254"/>
      <c r="F803" s="254"/>
      <c r="G803" s="254"/>
      <c r="H803" s="254"/>
      <c r="I803" s="254"/>
      <c r="J803" s="25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255"/>
    </row>
    <row r="804">
      <c r="A804" s="274"/>
      <c r="B804" s="254"/>
      <c r="C804" s="254"/>
      <c r="D804" s="254"/>
      <c r="E804" s="254"/>
      <c r="F804" s="254"/>
      <c r="G804" s="254"/>
      <c r="H804" s="254"/>
      <c r="I804" s="254"/>
      <c r="J804" s="25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255"/>
    </row>
    <row r="805">
      <c r="A805" s="274"/>
      <c r="B805" s="254"/>
      <c r="C805" s="254"/>
      <c r="D805" s="254"/>
      <c r="E805" s="254"/>
      <c r="F805" s="254"/>
      <c r="G805" s="254"/>
      <c r="H805" s="254"/>
      <c r="I805" s="254"/>
      <c r="J805" s="25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255"/>
    </row>
    <row r="806">
      <c r="A806" s="274"/>
      <c r="B806" s="254"/>
      <c r="C806" s="254"/>
      <c r="D806" s="254"/>
      <c r="E806" s="254"/>
      <c r="F806" s="254"/>
      <c r="G806" s="254"/>
      <c r="H806" s="254"/>
      <c r="I806" s="254"/>
      <c r="J806" s="25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255"/>
    </row>
    <row r="807">
      <c r="A807" s="274"/>
      <c r="B807" s="254"/>
      <c r="C807" s="254"/>
      <c r="D807" s="254"/>
      <c r="E807" s="254"/>
      <c r="F807" s="254"/>
      <c r="G807" s="254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255"/>
    </row>
    <row r="808">
      <c r="A808" s="274"/>
      <c r="B808" s="254"/>
      <c r="C808" s="254"/>
      <c r="D808" s="254"/>
      <c r="E808" s="254"/>
      <c r="F808" s="254"/>
      <c r="G808" s="254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255"/>
    </row>
    <row r="809">
      <c r="A809" s="274"/>
      <c r="B809" s="254"/>
      <c r="C809" s="254"/>
      <c r="D809" s="254"/>
      <c r="E809" s="254"/>
      <c r="F809" s="254"/>
      <c r="G809" s="254"/>
      <c r="H809" s="254"/>
      <c r="I809" s="254"/>
      <c r="J809" s="25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255"/>
    </row>
    <row r="810">
      <c r="A810" s="274"/>
      <c r="B810" s="254"/>
      <c r="C810" s="254"/>
      <c r="D810" s="254"/>
      <c r="E810" s="254"/>
      <c r="F810" s="254"/>
      <c r="G810" s="254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255"/>
    </row>
    <row r="811">
      <c r="A811" s="274"/>
      <c r="B811" s="254"/>
      <c r="C811" s="254"/>
      <c r="D811" s="254"/>
      <c r="E811" s="254"/>
      <c r="F811" s="254"/>
      <c r="G811" s="254"/>
      <c r="H811" s="254"/>
      <c r="I811" s="254"/>
      <c r="J811" s="25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255"/>
    </row>
    <row r="812">
      <c r="A812" s="274"/>
      <c r="B812" s="254"/>
      <c r="C812" s="254"/>
      <c r="D812" s="254"/>
      <c r="E812" s="254"/>
      <c r="F812" s="254"/>
      <c r="G812" s="254"/>
      <c r="H812" s="254"/>
      <c r="I812" s="254"/>
      <c r="J812" s="25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255"/>
    </row>
    <row r="813">
      <c r="A813" s="274"/>
      <c r="B813" s="254"/>
      <c r="C813" s="254"/>
      <c r="D813" s="254"/>
      <c r="E813" s="254"/>
      <c r="F813" s="254"/>
      <c r="G813" s="254"/>
      <c r="H813" s="254"/>
      <c r="I813" s="254"/>
      <c r="J813" s="25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255"/>
    </row>
    <row r="814">
      <c r="A814" s="274"/>
      <c r="B814" s="254"/>
      <c r="C814" s="254"/>
      <c r="D814" s="254"/>
      <c r="E814" s="254"/>
      <c r="F814" s="254"/>
      <c r="G814" s="254"/>
      <c r="H814" s="254"/>
      <c r="I814" s="254"/>
      <c r="J814" s="25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255"/>
    </row>
    <row r="815">
      <c r="A815" s="274"/>
      <c r="B815" s="254"/>
      <c r="C815" s="254"/>
      <c r="D815" s="254"/>
      <c r="E815" s="254"/>
      <c r="F815" s="254"/>
      <c r="G815" s="254"/>
      <c r="H815" s="254"/>
      <c r="I815" s="254"/>
      <c r="J815" s="25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255"/>
    </row>
    <row r="816">
      <c r="A816" s="274"/>
      <c r="B816" s="254"/>
      <c r="C816" s="254"/>
      <c r="D816" s="254"/>
      <c r="E816" s="254"/>
      <c r="F816" s="254"/>
      <c r="G816" s="254"/>
      <c r="H816" s="254"/>
      <c r="I816" s="254"/>
      <c r="J816" s="25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255"/>
    </row>
    <row r="817">
      <c r="A817" s="274"/>
      <c r="B817" s="254"/>
      <c r="C817" s="254"/>
      <c r="D817" s="254"/>
      <c r="E817" s="254"/>
      <c r="F817" s="254"/>
      <c r="G817" s="254"/>
      <c r="H817" s="254"/>
      <c r="I817" s="254"/>
      <c r="J817" s="25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255"/>
    </row>
    <row r="818">
      <c r="A818" s="274"/>
      <c r="B818" s="254"/>
      <c r="C818" s="254"/>
      <c r="D818" s="254"/>
      <c r="E818" s="254"/>
      <c r="F818" s="254"/>
      <c r="G818" s="254"/>
      <c r="H818" s="254"/>
      <c r="I818" s="254"/>
      <c r="J818" s="25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255"/>
    </row>
    <row r="819">
      <c r="A819" s="274"/>
      <c r="B819" s="254"/>
      <c r="C819" s="254"/>
      <c r="D819" s="254"/>
      <c r="E819" s="254"/>
      <c r="F819" s="254"/>
      <c r="G819" s="254"/>
      <c r="H819" s="254"/>
      <c r="I819" s="254"/>
      <c r="J819" s="25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255"/>
    </row>
    <row r="820">
      <c r="A820" s="274"/>
      <c r="B820" s="254"/>
      <c r="C820" s="254"/>
      <c r="D820" s="254"/>
      <c r="E820" s="254"/>
      <c r="F820" s="254"/>
      <c r="G820" s="254"/>
      <c r="H820" s="254"/>
      <c r="I820" s="254"/>
      <c r="J820" s="25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255"/>
    </row>
    <row r="821">
      <c r="A821" s="274"/>
      <c r="B821" s="254"/>
      <c r="C821" s="254"/>
      <c r="D821" s="254"/>
      <c r="E821" s="254"/>
      <c r="F821" s="254"/>
      <c r="G821" s="254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255"/>
    </row>
    <row r="822">
      <c r="A822" s="274"/>
      <c r="B822" s="254"/>
      <c r="C822" s="254"/>
      <c r="D822" s="254"/>
      <c r="E822" s="254"/>
      <c r="F822" s="254"/>
      <c r="G822" s="254"/>
      <c r="H822" s="254"/>
      <c r="I822" s="254"/>
      <c r="J822" s="25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255"/>
    </row>
    <row r="823">
      <c r="A823" s="274"/>
      <c r="B823" s="254"/>
      <c r="C823" s="254"/>
      <c r="D823" s="254"/>
      <c r="E823" s="254"/>
      <c r="F823" s="254"/>
      <c r="G823" s="254"/>
      <c r="H823" s="254"/>
      <c r="I823" s="254"/>
      <c r="J823" s="25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255"/>
    </row>
    <row r="824">
      <c r="A824" s="274"/>
      <c r="B824" s="254"/>
      <c r="C824" s="254"/>
      <c r="D824" s="254"/>
      <c r="E824" s="254"/>
      <c r="F824" s="254"/>
      <c r="G824" s="254"/>
      <c r="H824" s="254"/>
      <c r="I824" s="254"/>
      <c r="J824" s="25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255"/>
    </row>
    <row r="825">
      <c r="A825" s="274"/>
      <c r="B825" s="254"/>
      <c r="C825" s="254"/>
      <c r="D825" s="254"/>
      <c r="E825" s="254"/>
      <c r="F825" s="254"/>
      <c r="G825" s="254"/>
      <c r="H825" s="254"/>
      <c r="I825" s="254"/>
      <c r="J825" s="25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255"/>
    </row>
    <row r="826">
      <c r="A826" s="274"/>
      <c r="B826" s="254"/>
      <c r="C826" s="254"/>
      <c r="D826" s="254"/>
      <c r="E826" s="254"/>
      <c r="F826" s="254"/>
      <c r="G826" s="254"/>
      <c r="H826" s="254"/>
      <c r="I826" s="254"/>
      <c r="J826" s="25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255"/>
    </row>
    <row r="827">
      <c r="A827" s="274"/>
      <c r="B827" s="254"/>
      <c r="C827" s="254"/>
      <c r="D827" s="254"/>
      <c r="E827" s="254"/>
      <c r="F827" s="254"/>
      <c r="G827" s="254"/>
      <c r="H827" s="254"/>
      <c r="I827" s="254"/>
      <c r="J827" s="25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255"/>
    </row>
    <row r="828">
      <c r="A828" s="274"/>
      <c r="B828" s="254"/>
      <c r="C828" s="254"/>
      <c r="D828" s="254"/>
      <c r="E828" s="254"/>
      <c r="F828" s="254"/>
      <c r="G828" s="254"/>
      <c r="H828" s="254"/>
      <c r="I828" s="254"/>
      <c r="J828" s="25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255"/>
    </row>
    <row r="829">
      <c r="A829" s="274"/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255"/>
    </row>
    <row r="830">
      <c r="A830" s="274"/>
      <c r="B830" s="254"/>
      <c r="C830" s="254"/>
      <c r="D830" s="254"/>
      <c r="E830" s="254"/>
      <c r="F830" s="254"/>
      <c r="G830" s="254"/>
      <c r="H830" s="254"/>
      <c r="I830" s="254"/>
      <c r="J830" s="25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255"/>
    </row>
    <row r="831">
      <c r="A831" s="274"/>
      <c r="B831" s="254"/>
      <c r="C831" s="254"/>
      <c r="D831" s="254"/>
      <c r="E831" s="254"/>
      <c r="F831" s="254"/>
      <c r="G831" s="254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255"/>
    </row>
    <row r="832">
      <c r="A832" s="274"/>
      <c r="B832" s="254"/>
      <c r="C832" s="254"/>
      <c r="D832" s="254"/>
      <c r="E832" s="254"/>
      <c r="F832" s="254"/>
      <c r="G832" s="254"/>
      <c r="H832" s="254"/>
      <c r="I832" s="254"/>
      <c r="J832" s="25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255"/>
    </row>
    <row r="833">
      <c r="A833" s="274"/>
      <c r="B833" s="254"/>
      <c r="C833" s="254"/>
      <c r="D833" s="254"/>
      <c r="E833" s="254"/>
      <c r="F833" s="254"/>
      <c r="G833" s="254"/>
      <c r="H833" s="254"/>
      <c r="I833" s="254"/>
      <c r="J833" s="25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255"/>
    </row>
    <row r="834">
      <c r="A834" s="274"/>
      <c r="B834" s="254"/>
      <c r="C834" s="254"/>
      <c r="D834" s="254"/>
      <c r="E834" s="254"/>
      <c r="F834" s="254"/>
      <c r="G834" s="254"/>
      <c r="H834" s="254"/>
      <c r="I834" s="254"/>
      <c r="J834" s="25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255"/>
    </row>
    <row r="835">
      <c r="A835" s="274"/>
      <c r="B835" s="254"/>
      <c r="C835" s="254"/>
      <c r="D835" s="254"/>
      <c r="E835" s="254"/>
      <c r="F835" s="254"/>
      <c r="G835" s="254"/>
      <c r="H835" s="254"/>
      <c r="I835" s="254"/>
      <c r="J835" s="25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255"/>
    </row>
    <row r="836">
      <c r="A836" s="274"/>
      <c r="B836" s="254"/>
      <c r="C836" s="254"/>
      <c r="D836" s="254"/>
      <c r="E836" s="254"/>
      <c r="F836" s="254"/>
      <c r="G836" s="254"/>
      <c r="H836" s="254"/>
      <c r="I836" s="254"/>
      <c r="J836" s="25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255"/>
    </row>
    <row r="837">
      <c r="A837" s="274"/>
      <c r="B837" s="254"/>
      <c r="C837" s="254"/>
      <c r="D837" s="254"/>
      <c r="E837" s="254"/>
      <c r="F837" s="254"/>
      <c r="G837" s="254"/>
      <c r="H837" s="254"/>
      <c r="I837" s="254"/>
      <c r="J837" s="25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255"/>
    </row>
    <row r="838">
      <c r="A838" s="274"/>
      <c r="B838" s="254"/>
      <c r="C838" s="254"/>
      <c r="D838" s="254"/>
      <c r="E838" s="254"/>
      <c r="F838" s="254"/>
      <c r="G838" s="254"/>
      <c r="H838" s="254"/>
      <c r="I838" s="254"/>
      <c r="J838" s="25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255"/>
    </row>
    <row r="839">
      <c r="A839" s="274"/>
      <c r="B839" s="254"/>
      <c r="C839" s="254"/>
      <c r="D839" s="254"/>
      <c r="E839" s="254"/>
      <c r="F839" s="254"/>
      <c r="G839" s="254"/>
      <c r="H839" s="254"/>
      <c r="I839" s="254"/>
      <c r="J839" s="25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255"/>
    </row>
    <row r="840">
      <c r="A840" s="274"/>
      <c r="B840" s="254"/>
      <c r="C840" s="254"/>
      <c r="D840" s="254"/>
      <c r="E840" s="254"/>
      <c r="F840" s="254"/>
      <c r="G840" s="254"/>
      <c r="H840" s="254"/>
      <c r="I840" s="254"/>
      <c r="J840" s="25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255"/>
    </row>
    <row r="841">
      <c r="A841" s="274"/>
      <c r="B841" s="254"/>
      <c r="C841" s="254"/>
      <c r="D841" s="254"/>
      <c r="E841" s="254"/>
      <c r="F841" s="254"/>
      <c r="G841" s="254"/>
      <c r="H841" s="254"/>
      <c r="I841" s="254"/>
      <c r="J841" s="25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255"/>
    </row>
    <row r="842">
      <c r="A842" s="274"/>
      <c r="B842" s="254"/>
      <c r="C842" s="254"/>
      <c r="D842" s="254"/>
      <c r="E842" s="254"/>
      <c r="F842" s="254"/>
      <c r="G842" s="254"/>
      <c r="H842" s="254"/>
      <c r="I842" s="254"/>
      <c r="J842" s="25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255"/>
    </row>
    <row r="843">
      <c r="A843" s="274"/>
      <c r="B843" s="254"/>
      <c r="C843" s="254"/>
      <c r="D843" s="254"/>
      <c r="E843" s="254"/>
      <c r="F843" s="254"/>
      <c r="G843" s="254"/>
      <c r="H843" s="254"/>
      <c r="I843" s="254"/>
      <c r="J843" s="25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255"/>
    </row>
    <row r="844">
      <c r="A844" s="274"/>
      <c r="B844" s="254"/>
      <c r="C844" s="254"/>
      <c r="D844" s="254"/>
      <c r="E844" s="254"/>
      <c r="F844" s="254"/>
      <c r="G844" s="254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255"/>
    </row>
    <row r="845">
      <c r="A845" s="274"/>
      <c r="B845" s="254"/>
      <c r="C845" s="254"/>
      <c r="D845" s="254"/>
      <c r="E845" s="254"/>
      <c r="F845" s="254"/>
      <c r="G845" s="254"/>
      <c r="H845" s="254"/>
      <c r="I845" s="254"/>
      <c r="J845" s="25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255"/>
    </row>
    <row r="846">
      <c r="A846" s="274"/>
      <c r="B846" s="254"/>
      <c r="C846" s="254"/>
      <c r="D846" s="254"/>
      <c r="E846" s="254"/>
      <c r="F846" s="254"/>
      <c r="G846" s="254"/>
      <c r="H846" s="254"/>
      <c r="I846" s="254"/>
      <c r="J846" s="25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255"/>
    </row>
    <row r="847">
      <c r="A847" s="274"/>
      <c r="B847" s="254"/>
      <c r="C847" s="254"/>
      <c r="D847" s="254"/>
      <c r="E847" s="254"/>
      <c r="F847" s="254"/>
      <c r="G847" s="254"/>
      <c r="H847" s="254"/>
      <c r="I847" s="254"/>
      <c r="J847" s="25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255"/>
    </row>
    <row r="848">
      <c r="A848" s="274"/>
      <c r="B848" s="254"/>
      <c r="C848" s="254"/>
      <c r="D848" s="254"/>
      <c r="E848" s="254"/>
      <c r="F848" s="254"/>
      <c r="G848" s="254"/>
      <c r="H848" s="254"/>
      <c r="I848" s="254"/>
      <c r="J848" s="25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255"/>
    </row>
    <row r="849">
      <c r="A849" s="274"/>
      <c r="B849" s="254"/>
      <c r="C849" s="254"/>
      <c r="D849" s="254"/>
      <c r="E849" s="254"/>
      <c r="F849" s="254"/>
      <c r="G849" s="254"/>
      <c r="H849" s="254"/>
      <c r="I849" s="254"/>
      <c r="J849" s="25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255"/>
    </row>
    <row r="850">
      <c r="A850" s="274"/>
      <c r="B850" s="254"/>
      <c r="C850" s="254"/>
      <c r="D850" s="254"/>
      <c r="E850" s="254"/>
      <c r="F850" s="254"/>
      <c r="G850" s="254"/>
      <c r="H850" s="254"/>
      <c r="I850" s="254"/>
      <c r="J850" s="25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255"/>
    </row>
    <row r="851">
      <c r="A851" s="274"/>
      <c r="B851" s="254"/>
      <c r="C851" s="254"/>
      <c r="D851" s="254"/>
      <c r="E851" s="254"/>
      <c r="F851" s="254"/>
      <c r="G851" s="254"/>
      <c r="H851" s="254"/>
      <c r="I851" s="254"/>
      <c r="J851" s="25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255"/>
    </row>
    <row r="852">
      <c r="A852" s="274"/>
      <c r="B852" s="254"/>
      <c r="C852" s="254"/>
      <c r="D852" s="254"/>
      <c r="E852" s="254"/>
      <c r="F852" s="254"/>
      <c r="G852" s="254"/>
      <c r="H852" s="254"/>
      <c r="I852" s="254"/>
      <c r="J852" s="25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255"/>
    </row>
    <row r="853">
      <c r="A853" s="274"/>
      <c r="B853" s="254"/>
      <c r="C853" s="254"/>
      <c r="D853" s="254"/>
      <c r="E853" s="254"/>
      <c r="F853" s="254"/>
      <c r="G853" s="254"/>
      <c r="H853" s="254"/>
      <c r="I853" s="254"/>
      <c r="J853" s="25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255"/>
    </row>
    <row r="854">
      <c r="A854" s="274"/>
      <c r="B854" s="254"/>
      <c r="C854" s="254"/>
      <c r="D854" s="254"/>
      <c r="E854" s="254"/>
      <c r="F854" s="254"/>
      <c r="G854" s="254"/>
      <c r="H854" s="254"/>
      <c r="I854" s="254"/>
      <c r="J854" s="25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255"/>
    </row>
    <row r="855">
      <c r="A855" s="274"/>
      <c r="B855" s="254"/>
      <c r="C855" s="254"/>
      <c r="D855" s="254"/>
      <c r="E855" s="254"/>
      <c r="F855" s="254"/>
      <c r="G855" s="254"/>
      <c r="H855" s="254"/>
      <c r="I855" s="254"/>
      <c r="J855" s="25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255"/>
    </row>
    <row r="856">
      <c r="A856" s="274"/>
      <c r="B856" s="254"/>
      <c r="C856" s="254"/>
      <c r="D856" s="254"/>
      <c r="E856" s="254"/>
      <c r="F856" s="254"/>
      <c r="G856" s="254"/>
      <c r="H856" s="254"/>
      <c r="I856" s="254"/>
      <c r="J856" s="25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255"/>
    </row>
    <row r="857">
      <c r="A857" s="274"/>
      <c r="B857" s="254"/>
      <c r="C857" s="254"/>
      <c r="D857" s="254"/>
      <c r="E857" s="254"/>
      <c r="F857" s="254"/>
      <c r="G857" s="254"/>
      <c r="H857" s="254"/>
      <c r="I857" s="254"/>
      <c r="J857" s="25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255"/>
    </row>
    <row r="858">
      <c r="A858" s="274"/>
      <c r="B858" s="254"/>
      <c r="C858" s="254"/>
      <c r="D858" s="254"/>
      <c r="E858" s="254"/>
      <c r="F858" s="254"/>
      <c r="G858" s="254"/>
      <c r="H858" s="254"/>
      <c r="I858" s="254"/>
      <c r="J858" s="25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255"/>
    </row>
    <row r="859">
      <c r="A859" s="274"/>
      <c r="B859" s="254"/>
      <c r="C859" s="254"/>
      <c r="D859" s="254"/>
      <c r="E859" s="254"/>
      <c r="F859" s="254"/>
      <c r="G859" s="254"/>
      <c r="H859" s="254"/>
      <c r="I859" s="254"/>
      <c r="J859" s="25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255"/>
    </row>
    <row r="860">
      <c r="A860" s="274"/>
      <c r="B860" s="254"/>
      <c r="C860" s="254"/>
      <c r="D860" s="254"/>
      <c r="E860" s="254"/>
      <c r="F860" s="254"/>
      <c r="G860" s="254"/>
      <c r="H860" s="254"/>
      <c r="I860" s="254"/>
      <c r="J860" s="25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255"/>
    </row>
    <row r="861">
      <c r="A861" s="274"/>
      <c r="B861" s="254"/>
      <c r="C861" s="254"/>
      <c r="D861" s="254"/>
      <c r="E861" s="254"/>
      <c r="F861" s="254"/>
      <c r="G861" s="254"/>
      <c r="H861" s="254"/>
      <c r="I861" s="254"/>
      <c r="J861" s="25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255"/>
    </row>
    <row r="862">
      <c r="A862" s="274"/>
      <c r="B862" s="254"/>
      <c r="C862" s="254"/>
      <c r="D862" s="254"/>
      <c r="E862" s="254"/>
      <c r="F862" s="254"/>
      <c r="G862" s="254"/>
      <c r="H862" s="254"/>
      <c r="I862" s="254"/>
      <c r="J862" s="25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255"/>
    </row>
    <row r="863">
      <c r="A863" s="274"/>
      <c r="B863" s="254"/>
      <c r="C863" s="254"/>
      <c r="D863" s="254"/>
      <c r="E863" s="254"/>
      <c r="F863" s="254"/>
      <c r="G863" s="254"/>
      <c r="H863" s="254"/>
      <c r="I863" s="254"/>
      <c r="J863" s="25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255"/>
    </row>
    <row r="864">
      <c r="A864" s="274"/>
      <c r="B864" s="254"/>
      <c r="C864" s="254"/>
      <c r="D864" s="254"/>
      <c r="E864" s="254"/>
      <c r="F864" s="254"/>
      <c r="G864" s="254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255"/>
    </row>
    <row r="865">
      <c r="A865" s="274"/>
      <c r="B865" s="254"/>
      <c r="C865" s="254"/>
      <c r="D865" s="254"/>
      <c r="E865" s="254"/>
      <c r="F865" s="254"/>
      <c r="G865" s="254"/>
      <c r="H865" s="254"/>
      <c r="I865" s="254"/>
      <c r="J865" s="25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255"/>
    </row>
    <row r="866">
      <c r="A866" s="274"/>
      <c r="B866" s="254"/>
      <c r="C866" s="254"/>
      <c r="D866" s="254"/>
      <c r="E866" s="254"/>
      <c r="F866" s="254"/>
      <c r="G866" s="254"/>
      <c r="H866" s="254"/>
      <c r="I866" s="254"/>
      <c r="J866" s="25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255"/>
    </row>
    <row r="867">
      <c r="A867" s="274"/>
      <c r="B867" s="254"/>
      <c r="C867" s="254"/>
      <c r="D867" s="254"/>
      <c r="E867" s="254"/>
      <c r="F867" s="254"/>
      <c r="G867" s="254"/>
      <c r="H867" s="254"/>
      <c r="I867" s="254"/>
      <c r="J867" s="25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255"/>
    </row>
    <row r="868">
      <c r="A868" s="274"/>
      <c r="B868" s="254"/>
      <c r="C868" s="254"/>
      <c r="D868" s="254"/>
      <c r="E868" s="254"/>
      <c r="F868" s="254"/>
      <c r="G868" s="254"/>
      <c r="H868" s="254"/>
      <c r="I868" s="254"/>
      <c r="J868" s="25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255"/>
    </row>
    <row r="869">
      <c r="A869" s="274"/>
      <c r="B869" s="254"/>
      <c r="C869" s="254"/>
      <c r="D869" s="254"/>
      <c r="E869" s="254"/>
      <c r="F869" s="254"/>
      <c r="G869" s="254"/>
      <c r="H869" s="254"/>
      <c r="I869" s="254"/>
      <c r="J869" s="25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255"/>
    </row>
    <row r="870">
      <c r="A870" s="274"/>
      <c r="B870" s="254"/>
      <c r="C870" s="254"/>
      <c r="D870" s="254"/>
      <c r="E870" s="254"/>
      <c r="F870" s="254"/>
      <c r="G870" s="254"/>
      <c r="H870" s="254"/>
      <c r="I870" s="254"/>
      <c r="J870" s="25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255"/>
    </row>
    <row r="871">
      <c r="A871" s="274"/>
      <c r="B871" s="254"/>
      <c r="C871" s="254"/>
      <c r="D871" s="254"/>
      <c r="E871" s="254"/>
      <c r="F871" s="254"/>
      <c r="G871" s="254"/>
      <c r="H871" s="254"/>
      <c r="I871" s="254"/>
      <c r="J871" s="25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255"/>
    </row>
    <row r="872">
      <c r="A872" s="274"/>
      <c r="B872" s="254"/>
      <c r="C872" s="254"/>
      <c r="D872" s="254"/>
      <c r="E872" s="254"/>
      <c r="F872" s="254"/>
      <c r="G872" s="254"/>
      <c r="H872" s="254"/>
      <c r="I872" s="254"/>
      <c r="J872" s="25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255"/>
    </row>
    <row r="873">
      <c r="A873" s="274"/>
      <c r="B873" s="254"/>
      <c r="C873" s="254"/>
      <c r="D873" s="254"/>
      <c r="E873" s="254"/>
      <c r="F873" s="254"/>
      <c r="G873" s="254"/>
      <c r="H873" s="254"/>
      <c r="I873" s="254"/>
      <c r="J873" s="25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255"/>
    </row>
    <row r="874">
      <c r="A874" s="274"/>
      <c r="B874" s="254"/>
      <c r="C874" s="254"/>
      <c r="D874" s="254"/>
      <c r="E874" s="254"/>
      <c r="F874" s="254"/>
      <c r="G874" s="254"/>
      <c r="H874" s="254"/>
      <c r="I874" s="254"/>
      <c r="J874" s="25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255"/>
    </row>
    <row r="875">
      <c r="A875" s="274"/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255"/>
    </row>
    <row r="876">
      <c r="A876" s="274"/>
      <c r="B876" s="254"/>
      <c r="C876" s="254"/>
      <c r="D876" s="254"/>
      <c r="E876" s="254"/>
      <c r="F876" s="254"/>
      <c r="G876" s="254"/>
      <c r="H876" s="254"/>
      <c r="I876" s="254"/>
      <c r="J876" s="25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255"/>
    </row>
    <row r="877">
      <c r="A877" s="274"/>
      <c r="B877" s="254"/>
      <c r="C877" s="254"/>
      <c r="D877" s="254"/>
      <c r="E877" s="254"/>
      <c r="F877" s="254"/>
      <c r="G877" s="254"/>
      <c r="H877" s="254"/>
      <c r="I877" s="254"/>
      <c r="J877" s="25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255"/>
    </row>
    <row r="878">
      <c r="A878" s="274"/>
      <c r="B878" s="254"/>
      <c r="C878" s="254"/>
      <c r="D878" s="254"/>
      <c r="E878" s="254"/>
      <c r="F878" s="254"/>
      <c r="G878" s="254"/>
      <c r="H878" s="254"/>
      <c r="I878" s="254"/>
      <c r="J878" s="25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255"/>
    </row>
    <row r="879">
      <c r="A879" s="274"/>
      <c r="B879" s="254"/>
      <c r="C879" s="254"/>
      <c r="D879" s="254"/>
      <c r="E879" s="254"/>
      <c r="F879" s="254"/>
      <c r="G879" s="254"/>
      <c r="H879" s="254"/>
      <c r="I879" s="254"/>
      <c r="J879" s="25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255"/>
    </row>
    <row r="880">
      <c r="A880" s="274"/>
      <c r="B880" s="254"/>
      <c r="C880" s="254"/>
      <c r="D880" s="254"/>
      <c r="E880" s="254"/>
      <c r="F880" s="254"/>
      <c r="G880" s="254"/>
      <c r="H880" s="254"/>
      <c r="I880" s="254"/>
      <c r="J880" s="25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255"/>
    </row>
    <row r="881">
      <c r="A881" s="274"/>
      <c r="B881" s="254"/>
      <c r="C881" s="254"/>
      <c r="D881" s="254"/>
      <c r="E881" s="254"/>
      <c r="F881" s="254"/>
      <c r="G881" s="254"/>
      <c r="H881" s="254"/>
      <c r="I881" s="254"/>
      <c r="J881" s="25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255"/>
    </row>
    <row r="882">
      <c r="A882" s="274"/>
      <c r="B882" s="254"/>
      <c r="C882" s="254"/>
      <c r="D882" s="254"/>
      <c r="E882" s="254"/>
      <c r="F882" s="254"/>
      <c r="G882" s="254"/>
      <c r="H882" s="254"/>
      <c r="I882" s="254"/>
      <c r="J882" s="25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255"/>
    </row>
    <row r="883">
      <c r="A883" s="274"/>
      <c r="B883" s="254"/>
      <c r="C883" s="254"/>
      <c r="D883" s="254"/>
      <c r="E883" s="254"/>
      <c r="F883" s="254"/>
      <c r="G883" s="254"/>
      <c r="H883" s="254"/>
      <c r="I883" s="254"/>
      <c r="J883" s="25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255"/>
    </row>
    <row r="884">
      <c r="A884" s="274"/>
      <c r="B884" s="254"/>
      <c r="C884" s="254"/>
      <c r="D884" s="254"/>
      <c r="E884" s="254"/>
      <c r="F884" s="254"/>
      <c r="G884" s="254"/>
      <c r="H884" s="254"/>
      <c r="I884" s="254"/>
      <c r="J884" s="25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255"/>
    </row>
    <row r="885">
      <c r="A885" s="274"/>
      <c r="B885" s="254"/>
      <c r="C885" s="254"/>
      <c r="D885" s="254"/>
      <c r="E885" s="254"/>
      <c r="F885" s="254"/>
      <c r="G885" s="254"/>
      <c r="H885" s="254"/>
      <c r="I885" s="254"/>
      <c r="J885" s="25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255"/>
    </row>
    <row r="886">
      <c r="A886" s="274"/>
      <c r="B886" s="254"/>
      <c r="C886" s="254"/>
      <c r="D886" s="254"/>
      <c r="E886" s="254"/>
      <c r="F886" s="254"/>
      <c r="G886" s="254"/>
      <c r="H886" s="254"/>
      <c r="I886" s="254"/>
      <c r="J886" s="25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255"/>
    </row>
    <row r="887">
      <c r="A887" s="274"/>
      <c r="B887" s="254"/>
      <c r="C887" s="254"/>
      <c r="D887" s="254"/>
      <c r="E887" s="254"/>
      <c r="F887" s="254"/>
      <c r="G887" s="254"/>
      <c r="H887" s="254"/>
      <c r="I887" s="254"/>
      <c r="J887" s="25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255"/>
    </row>
    <row r="888">
      <c r="A888" s="274"/>
      <c r="B888" s="254"/>
      <c r="C888" s="254"/>
      <c r="D888" s="254"/>
      <c r="E888" s="254"/>
      <c r="F888" s="254"/>
      <c r="G888" s="254"/>
      <c r="H888" s="254"/>
      <c r="I888" s="254"/>
      <c r="J888" s="25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255"/>
    </row>
    <row r="889">
      <c r="A889" s="274"/>
      <c r="B889" s="254"/>
      <c r="C889" s="254"/>
      <c r="D889" s="254"/>
      <c r="E889" s="254"/>
      <c r="F889" s="254"/>
      <c r="G889" s="254"/>
      <c r="H889" s="254"/>
      <c r="I889" s="254"/>
      <c r="J889" s="25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255"/>
    </row>
    <row r="890">
      <c r="A890" s="274"/>
      <c r="B890" s="254"/>
      <c r="C890" s="254"/>
      <c r="D890" s="254"/>
      <c r="E890" s="254"/>
      <c r="F890" s="254"/>
      <c r="G890" s="254"/>
      <c r="H890" s="254"/>
      <c r="I890" s="254"/>
      <c r="J890" s="25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255"/>
    </row>
    <row r="891">
      <c r="A891" s="274"/>
      <c r="B891" s="254"/>
      <c r="C891" s="254"/>
      <c r="D891" s="254"/>
      <c r="E891" s="254"/>
      <c r="F891" s="254"/>
      <c r="G891" s="254"/>
      <c r="H891" s="254"/>
      <c r="I891" s="254"/>
      <c r="J891" s="25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255"/>
    </row>
    <row r="892">
      <c r="A892" s="274"/>
      <c r="B892" s="254"/>
      <c r="C892" s="254"/>
      <c r="D892" s="254"/>
      <c r="E892" s="254"/>
      <c r="F892" s="254"/>
      <c r="G892" s="254"/>
      <c r="H892" s="254"/>
      <c r="I892" s="254"/>
      <c r="J892" s="25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255"/>
    </row>
    <row r="893">
      <c r="A893" s="274"/>
      <c r="B893" s="254"/>
      <c r="C893" s="254"/>
      <c r="D893" s="254"/>
      <c r="E893" s="254"/>
      <c r="F893" s="254"/>
      <c r="G893" s="254"/>
      <c r="H893" s="254"/>
      <c r="I893" s="254"/>
      <c r="J893" s="25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255"/>
    </row>
    <row r="894">
      <c r="A894" s="274"/>
      <c r="B894" s="254"/>
      <c r="C894" s="254"/>
      <c r="D894" s="254"/>
      <c r="E894" s="254"/>
      <c r="F894" s="254"/>
      <c r="G894" s="254"/>
      <c r="H894" s="254"/>
      <c r="I894" s="254"/>
      <c r="J894" s="25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255"/>
    </row>
    <row r="895">
      <c r="A895" s="274"/>
      <c r="B895" s="254"/>
      <c r="C895" s="254"/>
      <c r="D895" s="254"/>
      <c r="E895" s="254"/>
      <c r="F895" s="254"/>
      <c r="G895" s="254"/>
      <c r="H895" s="254"/>
      <c r="I895" s="254"/>
      <c r="J895" s="25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255"/>
    </row>
    <row r="896">
      <c r="A896" s="274"/>
      <c r="B896" s="254"/>
      <c r="C896" s="254"/>
      <c r="D896" s="254"/>
      <c r="E896" s="254"/>
      <c r="F896" s="254"/>
      <c r="G896" s="254"/>
      <c r="H896" s="254"/>
      <c r="I896" s="254"/>
      <c r="J896" s="25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255"/>
    </row>
    <row r="897">
      <c r="A897" s="274"/>
      <c r="B897" s="254"/>
      <c r="C897" s="254"/>
      <c r="D897" s="254"/>
      <c r="E897" s="254"/>
      <c r="F897" s="254"/>
      <c r="G897" s="254"/>
      <c r="H897" s="254"/>
      <c r="I897" s="254"/>
      <c r="J897" s="25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255"/>
    </row>
    <row r="898">
      <c r="A898" s="274"/>
      <c r="B898" s="254"/>
      <c r="C898" s="254"/>
      <c r="D898" s="254"/>
      <c r="E898" s="254"/>
      <c r="F898" s="254"/>
      <c r="G898" s="254"/>
      <c r="H898" s="254"/>
      <c r="I898" s="254"/>
      <c r="J898" s="25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255"/>
    </row>
    <row r="899">
      <c r="A899" s="274"/>
      <c r="B899" s="254"/>
      <c r="C899" s="254"/>
      <c r="D899" s="254"/>
      <c r="E899" s="254"/>
      <c r="F899" s="254"/>
      <c r="G899" s="254"/>
      <c r="H899" s="254"/>
      <c r="I899" s="254"/>
      <c r="J899" s="25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255"/>
    </row>
    <row r="900">
      <c r="A900" s="274"/>
      <c r="B900" s="254"/>
      <c r="C900" s="254"/>
      <c r="D900" s="254"/>
      <c r="E900" s="254"/>
      <c r="F900" s="254"/>
      <c r="G900" s="254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5"/>
    </row>
    <row r="901">
      <c r="A901" s="274"/>
      <c r="B901" s="254"/>
      <c r="C901" s="254"/>
      <c r="D901" s="254"/>
      <c r="E901" s="254"/>
      <c r="F901" s="254"/>
      <c r="G901" s="254"/>
      <c r="H901" s="254"/>
      <c r="I901" s="254"/>
      <c r="J901" s="25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255"/>
    </row>
    <row r="902">
      <c r="A902" s="274"/>
      <c r="B902" s="254"/>
      <c r="C902" s="254"/>
      <c r="D902" s="254"/>
      <c r="E902" s="254"/>
      <c r="F902" s="254"/>
      <c r="G902" s="254"/>
      <c r="H902" s="254"/>
      <c r="I902" s="254"/>
      <c r="J902" s="25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255"/>
    </row>
    <row r="903">
      <c r="A903" s="274"/>
      <c r="B903" s="254"/>
      <c r="C903" s="254"/>
      <c r="D903" s="254"/>
      <c r="E903" s="254"/>
      <c r="F903" s="254"/>
      <c r="G903" s="254"/>
      <c r="H903" s="254"/>
      <c r="I903" s="254"/>
      <c r="J903" s="25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255"/>
    </row>
    <row r="904">
      <c r="A904" s="274"/>
      <c r="B904" s="254"/>
      <c r="C904" s="254"/>
      <c r="D904" s="254"/>
      <c r="E904" s="254"/>
      <c r="F904" s="254"/>
      <c r="G904" s="254"/>
      <c r="H904" s="254"/>
      <c r="I904" s="254"/>
      <c r="J904" s="25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255"/>
    </row>
    <row r="905">
      <c r="A905" s="274"/>
      <c r="B905" s="254"/>
      <c r="C905" s="254"/>
      <c r="D905" s="254"/>
      <c r="E905" s="254"/>
      <c r="F905" s="254"/>
      <c r="G905" s="254"/>
      <c r="H905" s="254"/>
      <c r="I905" s="254"/>
      <c r="J905" s="25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255"/>
    </row>
    <row r="906">
      <c r="A906" s="274"/>
      <c r="B906" s="254"/>
      <c r="C906" s="254"/>
      <c r="D906" s="254"/>
      <c r="E906" s="254"/>
      <c r="F906" s="254"/>
      <c r="G906" s="254"/>
      <c r="H906" s="254"/>
      <c r="I906" s="254"/>
      <c r="J906" s="25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255"/>
    </row>
    <row r="907">
      <c r="A907" s="274"/>
      <c r="B907" s="254"/>
      <c r="C907" s="254"/>
      <c r="D907" s="254"/>
      <c r="E907" s="254"/>
      <c r="F907" s="254"/>
      <c r="G907" s="254"/>
      <c r="H907" s="254"/>
      <c r="I907" s="254"/>
      <c r="J907" s="25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255"/>
    </row>
    <row r="908">
      <c r="A908" s="274"/>
      <c r="B908" s="254"/>
      <c r="C908" s="254"/>
      <c r="D908" s="254"/>
      <c r="E908" s="254"/>
      <c r="F908" s="254"/>
      <c r="G908" s="254"/>
      <c r="H908" s="254"/>
      <c r="I908" s="254"/>
      <c r="J908" s="25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255"/>
    </row>
    <row r="909">
      <c r="A909" s="274"/>
      <c r="B909" s="254"/>
      <c r="C909" s="254"/>
      <c r="D909" s="254"/>
      <c r="E909" s="254"/>
      <c r="F909" s="254"/>
      <c r="G909" s="254"/>
      <c r="H909" s="254"/>
      <c r="I909" s="254"/>
      <c r="J909" s="25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255"/>
    </row>
    <row r="910">
      <c r="A910" s="274"/>
      <c r="B910" s="254"/>
      <c r="C910" s="254"/>
      <c r="D910" s="254"/>
      <c r="E910" s="254"/>
      <c r="F910" s="254"/>
      <c r="G910" s="254"/>
      <c r="H910" s="254"/>
      <c r="I910" s="254"/>
      <c r="J910" s="25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255"/>
    </row>
    <row r="911">
      <c r="A911" s="274"/>
      <c r="B911" s="254"/>
      <c r="C911" s="254"/>
      <c r="D911" s="254"/>
      <c r="E911" s="254"/>
      <c r="F911" s="254"/>
      <c r="G911" s="254"/>
      <c r="H911" s="254"/>
      <c r="I911" s="254"/>
      <c r="J911" s="25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255"/>
    </row>
    <row r="912">
      <c r="A912" s="274"/>
      <c r="B912" s="254"/>
      <c r="C912" s="254"/>
      <c r="D912" s="254"/>
      <c r="E912" s="254"/>
      <c r="F912" s="254"/>
      <c r="G912" s="254"/>
      <c r="H912" s="254"/>
      <c r="I912" s="254"/>
      <c r="J912" s="25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255"/>
    </row>
    <row r="913">
      <c r="A913" s="274"/>
      <c r="B913" s="254"/>
      <c r="C913" s="254"/>
      <c r="D913" s="254"/>
      <c r="E913" s="254"/>
      <c r="F913" s="254"/>
      <c r="G913" s="254"/>
      <c r="H913" s="254"/>
      <c r="I913" s="254"/>
      <c r="J913" s="25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255"/>
    </row>
    <row r="914">
      <c r="A914" s="274"/>
      <c r="B914" s="254"/>
      <c r="C914" s="254"/>
      <c r="D914" s="254"/>
      <c r="E914" s="254"/>
      <c r="F914" s="254"/>
      <c r="G914" s="254"/>
      <c r="H914" s="254"/>
      <c r="I914" s="254"/>
      <c r="J914" s="25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255"/>
    </row>
    <row r="915">
      <c r="A915" s="274"/>
      <c r="B915" s="254"/>
      <c r="C915" s="254"/>
      <c r="D915" s="254"/>
      <c r="E915" s="254"/>
      <c r="F915" s="254"/>
      <c r="G915" s="254"/>
      <c r="H915" s="254"/>
      <c r="I915" s="254"/>
      <c r="J915" s="25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255"/>
    </row>
    <row r="916">
      <c r="A916" s="274"/>
      <c r="B916" s="254"/>
      <c r="C916" s="254"/>
      <c r="D916" s="254"/>
      <c r="E916" s="254"/>
      <c r="F916" s="254"/>
      <c r="G916" s="254"/>
      <c r="H916" s="254"/>
      <c r="I916" s="254"/>
      <c r="J916" s="25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255"/>
    </row>
    <row r="917">
      <c r="A917" s="274"/>
      <c r="B917" s="254"/>
      <c r="C917" s="254"/>
      <c r="D917" s="254"/>
      <c r="E917" s="254"/>
      <c r="F917" s="254"/>
      <c r="G917" s="254"/>
      <c r="H917" s="254"/>
      <c r="I917" s="254"/>
      <c r="J917" s="25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255"/>
    </row>
    <row r="918">
      <c r="A918" s="274"/>
      <c r="B918" s="254"/>
      <c r="C918" s="254"/>
      <c r="D918" s="254"/>
      <c r="E918" s="254"/>
      <c r="F918" s="254"/>
      <c r="G918" s="254"/>
      <c r="H918" s="254"/>
      <c r="I918" s="254"/>
      <c r="J918" s="25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255"/>
    </row>
    <row r="919">
      <c r="A919" s="274"/>
      <c r="B919" s="254"/>
      <c r="C919" s="254"/>
      <c r="D919" s="254"/>
      <c r="E919" s="254"/>
      <c r="F919" s="254"/>
      <c r="G919" s="254"/>
      <c r="H919" s="254"/>
      <c r="I919" s="254"/>
      <c r="J919" s="25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255"/>
    </row>
    <row r="920">
      <c r="A920" s="274"/>
      <c r="B920" s="254"/>
      <c r="C920" s="254"/>
      <c r="D920" s="254"/>
      <c r="E920" s="254"/>
      <c r="F920" s="254"/>
      <c r="G920" s="254"/>
      <c r="H920" s="254"/>
      <c r="I920" s="254"/>
      <c r="J920" s="25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255"/>
    </row>
    <row r="921">
      <c r="A921" s="274"/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255"/>
    </row>
    <row r="922">
      <c r="A922" s="274"/>
      <c r="B922" s="254"/>
      <c r="C922" s="254"/>
      <c r="D922" s="254"/>
      <c r="E922" s="254"/>
      <c r="F922" s="254"/>
      <c r="G922" s="254"/>
      <c r="H922" s="254"/>
      <c r="I922" s="254"/>
      <c r="J922" s="25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255"/>
    </row>
    <row r="923">
      <c r="A923" s="274"/>
      <c r="B923" s="254"/>
      <c r="C923" s="254"/>
      <c r="D923" s="254"/>
      <c r="E923" s="254"/>
      <c r="F923" s="254"/>
      <c r="G923" s="254"/>
      <c r="H923" s="254"/>
      <c r="I923" s="254"/>
      <c r="J923" s="25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255"/>
    </row>
    <row r="924">
      <c r="A924" s="274"/>
      <c r="B924" s="254"/>
      <c r="C924" s="254"/>
      <c r="D924" s="254"/>
      <c r="E924" s="254"/>
      <c r="F924" s="254"/>
      <c r="G924" s="254"/>
      <c r="H924" s="254"/>
      <c r="I924" s="254"/>
      <c r="J924" s="25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255"/>
    </row>
    <row r="925">
      <c r="A925" s="274"/>
      <c r="B925" s="254"/>
      <c r="C925" s="254"/>
      <c r="D925" s="254"/>
      <c r="E925" s="254"/>
      <c r="F925" s="254"/>
      <c r="G925" s="254"/>
      <c r="H925" s="254"/>
      <c r="I925" s="254"/>
      <c r="J925" s="25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255"/>
    </row>
    <row r="926">
      <c r="A926" s="274"/>
      <c r="B926" s="254"/>
      <c r="C926" s="254"/>
      <c r="D926" s="254"/>
      <c r="E926" s="254"/>
      <c r="F926" s="254"/>
      <c r="G926" s="254"/>
      <c r="H926" s="254"/>
      <c r="I926" s="254"/>
      <c r="J926" s="25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255"/>
    </row>
    <row r="927">
      <c r="A927" s="274"/>
      <c r="B927" s="254"/>
      <c r="C927" s="254"/>
      <c r="D927" s="254"/>
      <c r="E927" s="254"/>
      <c r="F927" s="254"/>
      <c r="G927" s="254"/>
      <c r="H927" s="254"/>
      <c r="I927" s="254"/>
      <c r="J927" s="25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255"/>
    </row>
    <row r="928">
      <c r="A928" s="274"/>
      <c r="B928" s="254"/>
      <c r="C928" s="254"/>
      <c r="D928" s="254"/>
      <c r="E928" s="254"/>
      <c r="F928" s="254"/>
      <c r="G928" s="254"/>
      <c r="H928" s="254"/>
      <c r="I928" s="254"/>
      <c r="J928" s="25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255"/>
    </row>
    <row r="929">
      <c r="A929" s="274"/>
      <c r="B929" s="254"/>
      <c r="C929" s="254"/>
      <c r="D929" s="254"/>
      <c r="E929" s="254"/>
      <c r="F929" s="254"/>
      <c r="G929" s="254"/>
      <c r="H929" s="254"/>
      <c r="I929" s="254"/>
      <c r="J929" s="25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255"/>
    </row>
    <row r="930">
      <c r="A930" s="274"/>
      <c r="B930" s="254"/>
      <c r="C930" s="254"/>
      <c r="D930" s="254"/>
      <c r="E930" s="254"/>
      <c r="F930" s="254"/>
      <c r="G930" s="254"/>
      <c r="H930" s="254"/>
      <c r="I930" s="254"/>
      <c r="J930" s="25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255"/>
    </row>
    <row r="931">
      <c r="A931" s="274"/>
      <c r="B931" s="254"/>
      <c r="C931" s="254"/>
      <c r="D931" s="254"/>
      <c r="E931" s="254"/>
      <c r="F931" s="254"/>
      <c r="G931" s="254"/>
      <c r="H931" s="254"/>
      <c r="I931" s="254"/>
      <c r="J931" s="25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255"/>
    </row>
    <row r="932">
      <c r="A932" s="274"/>
      <c r="B932" s="254"/>
      <c r="C932" s="254"/>
      <c r="D932" s="254"/>
      <c r="E932" s="254"/>
      <c r="F932" s="254"/>
      <c r="G932" s="254"/>
      <c r="H932" s="254"/>
      <c r="I932" s="254"/>
      <c r="J932" s="25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255"/>
    </row>
    <row r="933">
      <c r="A933" s="274"/>
      <c r="B933" s="254"/>
      <c r="C933" s="254"/>
      <c r="D933" s="254"/>
      <c r="E933" s="254"/>
      <c r="F933" s="254"/>
      <c r="G933" s="254"/>
      <c r="H933" s="254"/>
      <c r="I933" s="254"/>
      <c r="J933" s="25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255"/>
    </row>
    <row r="934">
      <c r="A934" s="274"/>
      <c r="B934" s="254"/>
      <c r="C934" s="254"/>
      <c r="D934" s="254"/>
      <c r="E934" s="254"/>
      <c r="F934" s="254"/>
      <c r="G934" s="254"/>
      <c r="H934" s="254"/>
      <c r="I934" s="254"/>
      <c r="J934" s="25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255"/>
    </row>
    <row r="935">
      <c r="A935" s="274"/>
      <c r="B935" s="254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5"/>
    </row>
    <row r="936">
      <c r="A936" s="274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255"/>
    </row>
    <row r="937">
      <c r="A937" s="274"/>
      <c r="B937" s="254"/>
      <c r="C937" s="254"/>
      <c r="D937" s="254"/>
      <c r="E937" s="254"/>
      <c r="F937" s="254"/>
      <c r="G937" s="254"/>
      <c r="H937" s="254"/>
      <c r="I937" s="254"/>
      <c r="J937" s="25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255"/>
    </row>
    <row r="938">
      <c r="A938" s="274"/>
      <c r="B938" s="254"/>
      <c r="C938" s="254"/>
      <c r="D938" s="254"/>
      <c r="E938" s="254"/>
      <c r="F938" s="254"/>
      <c r="G938" s="254"/>
      <c r="H938" s="254"/>
      <c r="I938" s="254"/>
      <c r="J938" s="25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255"/>
    </row>
    <row r="939">
      <c r="A939" s="274"/>
      <c r="B939" s="254"/>
      <c r="C939" s="254"/>
      <c r="D939" s="254"/>
      <c r="E939" s="254"/>
      <c r="F939" s="254"/>
      <c r="G939" s="254"/>
      <c r="H939" s="254"/>
      <c r="I939" s="254"/>
      <c r="J939" s="25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255"/>
    </row>
    <row r="940">
      <c r="A940" s="274"/>
      <c r="B940" s="254"/>
      <c r="C940" s="254"/>
      <c r="D940" s="254"/>
      <c r="E940" s="254"/>
      <c r="F940" s="254"/>
      <c r="G940" s="254"/>
      <c r="H940" s="254"/>
      <c r="I940" s="254"/>
      <c r="J940" s="25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255"/>
    </row>
    <row r="941">
      <c r="A941" s="274"/>
      <c r="B941" s="254"/>
      <c r="C941" s="254"/>
      <c r="D941" s="254"/>
      <c r="E941" s="254"/>
      <c r="F941" s="254"/>
      <c r="G941" s="254"/>
      <c r="H941" s="254"/>
      <c r="I941" s="254"/>
      <c r="J941" s="25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255"/>
    </row>
    <row r="942">
      <c r="A942" s="274"/>
      <c r="B942" s="254"/>
      <c r="C942" s="254"/>
      <c r="D942" s="254"/>
      <c r="E942" s="254"/>
      <c r="F942" s="254"/>
      <c r="G942" s="254"/>
      <c r="H942" s="254"/>
      <c r="I942" s="254"/>
      <c r="J942" s="25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255"/>
    </row>
    <row r="943">
      <c r="A943" s="274"/>
      <c r="B943" s="254"/>
      <c r="C943" s="254"/>
      <c r="D943" s="254"/>
      <c r="E943" s="254"/>
      <c r="F943" s="254"/>
      <c r="G943" s="254"/>
      <c r="H943" s="254"/>
      <c r="I943" s="254"/>
      <c r="J943" s="25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255"/>
    </row>
    <row r="944">
      <c r="A944" s="274"/>
      <c r="B944" s="254"/>
      <c r="C944" s="254"/>
      <c r="D944" s="254"/>
      <c r="E944" s="254"/>
      <c r="F944" s="254"/>
      <c r="G944" s="254"/>
      <c r="H944" s="254"/>
      <c r="I944" s="254"/>
      <c r="J944" s="25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255"/>
    </row>
    <row r="945">
      <c r="A945" s="274"/>
      <c r="B945" s="254"/>
      <c r="C945" s="254"/>
      <c r="D945" s="254"/>
      <c r="E945" s="254"/>
      <c r="F945" s="254"/>
      <c r="G945" s="254"/>
      <c r="H945" s="254"/>
      <c r="I945" s="254"/>
      <c r="J945" s="25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255"/>
    </row>
    <row r="946">
      <c r="A946" s="274"/>
      <c r="B946" s="254"/>
      <c r="C946" s="254"/>
      <c r="D946" s="254"/>
      <c r="E946" s="254"/>
      <c r="F946" s="254"/>
      <c r="G946" s="254"/>
      <c r="H946" s="254"/>
      <c r="I946" s="254"/>
      <c r="J946" s="25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255"/>
    </row>
    <row r="947">
      <c r="A947" s="274"/>
      <c r="B947" s="254"/>
      <c r="C947" s="254"/>
      <c r="D947" s="254"/>
      <c r="E947" s="254"/>
      <c r="F947" s="254"/>
      <c r="G947" s="254"/>
      <c r="H947" s="254"/>
      <c r="I947" s="254"/>
      <c r="J947" s="25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255"/>
    </row>
    <row r="948">
      <c r="A948" s="274"/>
      <c r="B948" s="254"/>
      <c r="C948" s="254"/>
      <c r="D948" s="254"/>
      <c r="E948" s="254"/>
      <c r="F948" s="254"/>
      <c r="G948" s="254"/>
      <c r="H948" s="254"/>
      <c r="I948" s="254"/>
      <c r="J948" s="25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255"/>
    </row>
    <row r="949">
      <c r="A949" s="274"/>
      <c r="B949" s="254"/>
      <c r="C949" s="254"/>
      <c r="D949" s="254"/>
      <c r="E949" s="254"/>
      <c r="F949" s="254"/>
      <c r="G949" s="254"/>
      <c r="H949" s="254"/>
      <c r="I949" s="254"/>
      <c r="J949" s="25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255"/>
    </row>
    <row r="950">
      <c r="A950" s="274"/>
      <c r="B950" s="254"/>
      <c r="C950" s="254"/>
      <c r="D950" s="254"/>
      <c r="E950" s="254"/>
      <c r="F950" s="254"/>
      <c r="G950" s="254"/>
      <c r="H950" s="254"/>
      <c r="I950" s="254"/>
      <c r="J950" s="25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255"/>
    </row>
    <row r="951">
      <c r="A951" s="274"/>
      <c r="B951" s="254"/>
      <c r="C951" s="254"/>
      <c r="D951" s="254"/>
      <c r="E951" s="254"/>
      <c r="F951" s="254"/>
      <c r="G951" s="254"/>
      <c r="H951" s="254"/>
      <c r="I951" s="254"/>
      <c r="J951" s="25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255"/>
    </row>
    <row r="952">
      <c r="A952" s="274"/>
      <c r="B952" s="254"/>
      <c r="C952" s="254"/>
      <c r="D952" s="254"/>
      <c r="E952" s="254"/>
      <c r="F952" s="254"/>
      <c r="G952" s="254"/>
      <c r="H952" s="254"/>
      <c r="I952" s="254"/>
      <c r="J952" s="25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255"/>
    </row>
    <row r="953">
      <c r="A953" s="274"/>
      <c r="B953" s="254"/>
      <c r="C953" s="254"/>
      <c r="D953" s="254"/>
      <c r="E953" s="254"/>
      <c r="F953" s="254"/>
      <c r="G953" s="254"/>
      <c r="H953" s="254"/>
      <c r="I953" s="254"/>
      <c r="J953" s="25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255"/>
    </row>
    <row r="954">
      <c r="A954" s="274"/>
      <c r="B954" s="254"/>
      <c r="C954" s="254"/>
      <c r="D954" s="254"/>
      <c r="E954" s="254"/>
      <c r="F954" s="254"/>
      <c r="G954" s="254"/>
      <c r="H954" s="254"/>
      <c r="I954" s="254"/>
      <c r="J954" s="25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255"/>
    </row>
    <row r="955">
      <c r="A955" s="274"/>
      <c r="B955" s="254"/>
      <c r="C955" s="254"/>
      <c r="D955" s="254"/>
      <c r="E955" s="254"/>
      <c r="F955" s="254"/>
      <c r="G955" s="254"/>
      <c r="H955" s="254"/>
      <c r="I955" s="254"/>
      <c r="J955" s="25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255"/>
    </row>
    <row r="956">
      <c r="A956" s="274"/>
      <c r="B956" s="254"/>
      <c r="C956" s="254"/>
      <c r="D956" s="254"/>
      <c r="E956" s="254"/>
      <c r="F956" s="254"/>
      <c r="G956" s="254"/>
      <c r="H956" s="254"/>
      <c r="I956" s="254"/>
      <c r="J956" s="25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255"/>
    </row>
    <row r="957">
      <c r="A957" s="274"/>
      <c r="B957" s="254"/>
      <c r="C957" s="254"/>
      <c r="D957" s="254"/>
      <c r="E957" s="254"/>
      <c r="F957" s="254"/>
      <c r="G957" s="254"/>
      <c r="H957" s="254"/>
      <c r="I957" s="254"/>
      <c r="J957" s="25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255"/>
    </row>
    <row r="958">
      <c r="A958" s="274"/>
      <c r="B958" s="254"/>
      <c r="C958" s="254"/>
      <c r="D958" s="254"/>
      <c r="E958" s="254"/>
      <c r="F958" s="254"/>
      <c r="G958" s="254"/>
      <c r="H958" s="254"/>
      <c r="I958" s="254"/>
      <c r="J958" s="25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255"/>
    </row>
    <row r="959">
      <c r="A959" s="274"/>
      <c r="B959" s="254"/>
      <c r="C959" s="254"/>
      <c r="D959" s="254"/>
      <c r="E959" s="254"/>
      <c r="F959" s="254"/>
      <c r="G959" s="254"/>
      <c r="H959" s="254"/>
      <c r="I959" s="254"/>
      <c r="J959" s="25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255"/>
    </row>
    <row r="960">
      <c r="A960" s="274"/>
      <c r="B960" s="254"/>
      <c r="C960" s="254"/>
      <c r="D960" s="254"/>
      <c r="E960" s="254"/>
      <c r="F960" s="254"/>
      <c r="G960" s="254"/>
      <c r="H960" s="254"/>
      <c r="I960" s="254"/>
      <c r="J960" s="25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255"/>
    </row>
    <row r="961">
      <c r="A961" s="274"/>
      <c r="B961" s="254"/>
      <c r="C961" s="254"/>
      <c r="D961" s="254"/>
      <c r="E961" s="254"/>
      <c r="F961" s="254"/>
      <c r="G961" s="254"/>
      <c r="H961" s="254"/>
      <c r="I961" s="254"/>
      <c r="J961" s="25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255"/>
    </row>
    <row r="962">
      <c r="A962" s="274"/>
      <c r="B962" s="254"/>
      <c r="C962" s="254"/>
      <c r="D962" s="254"/>
      <c r="E962" s="254"/>
      <c r="F962" s="254"/>
      <c r="G962" s="254"/>
      <c r="H962" s="254"/>
      <c r="I962" s="254"/>
      <c r="J962" s="25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255"/>
    </row>
    <row r="963">
      <c r="A963" s="274"/>
      <c r="B963" s="254"/>
      <c r="C963" s="254"/>
      <c r="D963" s="254"/>
      <c r="E963" s="254"/>
      <c r="F963" s="254"/>
      <c r="G963" s="254"/>
      <c r="H963" s="254"/>
      <c r="I963" s="254"/>
      <c r="J963" s="25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255"/>
    </row>
    <row r="964">
      <c r="A964" s="274"/>
      <c r="B964" s="254"/>
      <c r="C964" s="254"/>
      <c r="D964" s="254"/>
      <c r="E964" s="254"/>
      <c r="F964" s="254"/>
      <c r="G964" s="254"/>
      <c r="H964" s="254"/>
      <c r="I964" s="254"/>
      <c r="J964" s="25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255"/>
    </row>
    <row r="965">
      <c r="A965" s="274"/>
      <c r="B965" s="254"/>
      <c r="C965" s="254"/>
      <c r="D965" s="254"/>
      <c r="E965" s="254"/>
      <c r="F965" s="254"/>
      <c r="G965" s="254"/>
      <c r="H965" s="254"/>
      <c r="I965" s="254"/>
      <c r="J965" s="25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255"/>
    </row>
    <row r="966">
      <c r="A966" s="274"/>
      <c r="B966" s="254"/>
      <c r="C966" s="254"/>
      <c r="D966" s="254"/>
      <c r="E966" s="254"/>
      <c r="F966" s="254"/>
      <c r="G966" s="254"/>
      <c r="H966" s="254"/>
      <c r="I966" s="254"/>
      <c r="J966" s="25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255"/>
    </row>
    <row r="967">
      <c r="A967" s="274"/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255"/>
    </row>
    <row r="968">
      <c r="A968" s="274"/>
      <c r="B968" s="254"/>
      <c r="C968" s="254"/>
      <c r="D968" s="254"/>
      <c r="E968" s="254"/>
      <c r="F968" s="254"/>
      <c r="G968" s="254"/>
      <c r="H968" s="254"/>
      <c r="I968" s="254"/>
      <c r="J968" s="25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255"/>
    </row>
    <row r="969">
      <c r="A969" s="274"/>
      <c r="B969" s="254"/>
      <c r="C969" s="254"/>
      <c r="D969" s="254"/>
      <c r="E969" s="254"/>
      <c r="F969" s="254"/>
      <c r="G969" s="254"/>
      <c r="H969" s="254"/>
      <c r="I969" s="254"/>
      <c r="J969" s="25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255"/>
    </row>
    <row r="970">
      <c r="A970" s="274"/>
      <c r="B970" s="254"/>
      <c r="C970" s="254"/>
      <c r="D970" s="254"/>
      <c r="E970" s="254"/>
      <c r="F970" s="254"/>
      <c r="G970" s="254"/>
      <c r="H970" s="254"/>
      <c r="I970" s="254"/>
      <c r="J970" s="25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255"/>
    </row>
    <row r="971">
      <c r="A971" s="274"/>
      <c r="B971" s="254"/>
      <c r="C971" s="254"/>
      <c r="D971" s="254"/>
      <c r="E971" s="254"/>
      <c r="F971" s="254"/>
      <c r="G971" s="254"/>
      <c r="H971" s="254"/>
      <c r="I971" s="254"/>
      <c r="J971" s="25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255"/>
    </row>
    <row r="972">
      <c r="A972" s="274"/>
      <c r="B972" s="254"/>
      <c r="C972" s="254"/>
      <c r="D972" s="254"/>
      <c r="E972" s="254"/>
      <c r="F972" s="254"/>
      <c r="G972" s="254"/>
      <c r="H972" s="254"/>
      <c r="I972" s="254"/>
      <c r="J972" s="25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255"/>
    </row>
    <row r="973">
      <c r="A973" s="274"/>
      <c r="B973" s="254"/>
      <c r="C973" s="254"/>
      <c r="D973" s="254"/>
      <c r="E973" s="254"/>
      <c r="F973" s="254"/>
      <c r="G973" s="254"/>
      <c r="H973" s="254"/>
      <c r="I973" s="254"/>
      <c r="J973" s="25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255"/>
    </row>
    <row r="974">
      <c r="A974" s="274"/>
      <c r="B974" s="254"/>
      <c r="C974" s="254"/>
      <c r="D974" s="254"/>
      <c r="E974" s="254"/>
      <c r="F974" s="254"/>
      <c r="G974" s="254"/>
      <c r="H974" s="254"/>
      <c r="I974" s="254"/>
      <c r="J974" s="25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255"/>
    </row>
    <row r="975">
      <c r="A975" s="274"/>
      <c r="B975" s="254"/>
      <c r="C975" s="254"/>
      <c r="D975" s="254"/>
      <c r="E975" s="254"/>
      <c r="F975" s="254"/>
      <c r="G975" s="254"/>
      <c r="H975" s="254"/>
      <c r="I975" s="254"/>
      <c r="J975" s="25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255"/>
    </row>
    <row r="976">
      <c r="A976" s="274"/>
      <c r="B976" s="254"/>
      <c r="C976" s="254"/>
      <c r="D976" s="254"/>
      <c r="E976" s="254"/>
      <c r="F976" s="254"/>
      <c r="G976" s="254"/>
      <c r="H976" s="254"/>
      <c r="I976" s="254"/>
      <c r="J976" s="25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255"/>
    </row>
    <row r="977">
      <c r="A977" s="274"/>
      <c r="B977" s="254"/>
      <c r="C977" s="254"/>
      <c r="D977" s="254"/>
      <c r="E977" s="254"/>
      <c r="F977" s="254"/>
      <c r="G977" s="254"/>
      <c r="H977" s="254"/>
      <c r="I977" s="254"/>
      <c r="J977" s="25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255"/>
    </row>
    <row r="978">
      <c r="A978" s="274"/>
      <c r="B978" s="254"/>
      <c r="C978" s="254"/>
      <c r="D978" s="254"/>
      <c r="E978" s="254"/>
      <c r="F978" s="254"/>
      <c r="G978" s="254"/>
      <c r="H978" s="254"/>
      <c r="I978" s="254"/>
      <c r="J978" s="25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255"/>
    </row>
    <row r="979">
      <c r="A979" s="274"/>
      <c r="B979" s="254"/>
      <c r="C979" s="254"/>
      <c r="D979" s="254"/>
      <c r="E979" s="254"/>
      <c r="F979" s="254"/>
      <c r="G979" s="254"/>
      <c r="H979" s="254"/>
      <c r="I979" s="254"/>
      <c r="J979" s="25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255"/>
    </row>
    <row r="980">
      <c r="A980" s="274"/>
      <c r="B980" s="254"/>
      <c r="C980" s="254"/>
      <c r="D980" s="254"/>
      <c r="E980" s="254"/>
      <c r="F980" s="254"/>
      <c r="G980" s="254"/>
      <c r="H980" s="254"/>
      <c r="I980" s="254"/>
      <c r="J980" s="25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255"/>
    </row>
    <row r="981">
      <c r="A981" s="274"/>
      <c r="B981" s="254"/>
      <c r="C981" s="254"/>
      <c r="D981" s="254"/>
      <c r="E981" s="254"/>
      <c r="F981" s="254"/>
      <c r="G981" s="254"/>
      <c r="H981" s="254"/>
      <c r="I981" s="254"/>
      <c r="J981" s="25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255"/>
    </row>
    <row r="982">
      <c r="A982" s="274"/>
      <c r="B982" s="254"/>
      <c r="C982" s="254"/>
      <c r="D982" s="254"/>
      <c r="E982" s="254"/>
      <c r="F982" s="254"/>
      <c r="G982" s="254"/>
      <c r="H982" s="254"/>
      <c r="I982" s="254"/>
      <c r="J982" s="25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255"/>
    </row>
    <row r="983">
      <c r="A983" s="274"/>
      <c r="B983" s="254"/>
      <c r="C983" s="254"/>
      <c r="D983" s="254"/>
      <c r="E983" s="254"/>
      <c r="F983" s="254"/>
      <c r="G983" s="254"/>
      <c r="H983" s="254"/>
      <c r="I983" s="254"/>
      <c r="J983" s="25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255"/>
    </row>
    <row r="984">
      <c r="A984" s="274"/>
      <c r="B984" s="254"/>
      <c r="C984" s="254"/>
      <c r="D984" s="254"/>
      <c r="E984" s="254"/>
      <c r="F984" s="254"/>
      <c r="G984" s="254"/>
      <c r="H984" s="254"/>
      <c r="I984" s="254"/>
      <c r="J984" s="25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255"/>
    </row>
    <row r="985">
      <c r="A985" s="274"/>
      <c r="B985" s="254"/>
      <c r="C985" s="254"/>
      <c r="D985" s="254"/>
      <c r="E985" s="254"/>
      <c r="F985" s="254"/>
      <c r="G985" s="254"/>
      <c r="H985" s="254"/>
      <c r="I985" s="254"/>
      <c r="J985" s="25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255"/>
    </row>
    <row r="986">
      <c r="A986" s="274"/>
      <c r="B986" s="254"/>
      <c r="C986" s="254"/>
      <c r="D986" s="254"/>
      <c r="E986" s="254"/>
      <c r="F986" s="254"/>
      <c r="G986" s="254"/>
      <c r="H986" s="254"/>
      <c r="I986" s="254"/>
      <c r="J986" s="25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255"/>
    </row>
    <row r="987">
      <c r="A987" s="274"/>
      <c r="B987" s="254"/>
      <c r="C987" s="254"/>
      <c r="D987" s="254"/>
      <c r="E987" s="254"/>
      <c r="F987" s="254"/>
      <c r="G987" s="254"/>
      <c r="H987" s="254"/>
      <c r="I987" s="254"/>
      <c r="J987" s="25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255"/>
    </row>
    <row r="988">
      <c r="A988" s="274"/>
      <c r="B988" s="254"/>
      <c r="C988" s="254"/>
      <c r="D988" s="254"/>
      <c r="E988" s="254"/>
      <c r="F988" s="254"/>
      <c r="G988" s="254"/>
      <c r="H988" s="254"/>
      <c r="I988" s="254"/>
      <c r="J988" s="25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255"/>
    </row>
    <row r="989">
      <c r="A989" s="274"/>
      <c r="B989" s="254"/>
      <c r="C989" s="254"/>
      <c r="D989" s="254"/>
      <c r="E989" s="254"/>
      <c r="F989" s="254"/>
      <c r="G989" s="254"/>
      <c r="H989" s="254"/>
      <c r="I989" s="254"/>
      <c r="J989" s="25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255"/>
    </row>
    <row r="990">
      <c r="A990" s="274"/>
      <c r="B990" s="254"/>
      <c r="C990" s="254"/>
      <c r="D990" s="254"/>
      <c r="E990" s="254"/>
      <c r="F990" s="254"/>
      <c r="G990" s="254"/>
      <c r="H990" s="254"/>
      <c r="I990" s="254"/>
      <c r="J990" s="25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255"/>
    </row>
    <row r="991">
      <c r="A991" s="274"/>
      <c r="B991" s="254"/>
      <c r="C991" s="254"/>
      <c r="D991" s="254"/>
      <c r="E991" s="254"/>
      <c r="F991" s="254"/>
      <c r="G991" s="254"/>
      <c r="H991" s="254"/>
      <c r="I991" s="254"/>
      <c r="J991" s="25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255"/>
    </row>
    <row r="992">
      <c r="A992" s="274"/>
      <c r="B992" s="254"/>
      <c r="C992" s="254"/>
      <c r="D992" s="254"/>
      <c r="E992" s="254"/>
      <c r="F992" s="254"/>
      <c r="G992" s="254"/>
      <c r="H992" s="254"/>
      <c r="I992" s="254"/>
      <c r="J992" s="25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255"/>
    </row>
    <row r="993">
      <c r="A993" s="274"/>
      <c r="B993" s="254"/>
      <c r="C993" s="254"/>
      <c r="D993" s="254"/>
      <c r="E993" s="254"/>
      <c r="F993" s="254"/>
      <c r="G993" s="254"/>
      <c r="H993" s="254"/>
      <c r="I993" s="254"/>
      <c r="J993" s="25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255"/>
    </row>
    <row r="994">
      <c r="A994" s="274"/>
      <c r="B994" s="254"/>
      <c r="C994" s="254"/>
      <c r="D994" s="254"/>
      <c r="E994" s="254"/>
      <c r="F994" s="254"/>
      <c r="G994" s="254"/>
      <c r="H994" s="254"/>
      <c r="I994" s="254"/>
      <c r="J994" s="25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255"/>
    </row>
    <row r="995">
      <c r="A995" s="274"/>
      <c r="B995" s="254"/>
      <c r="C995" s="254"/>
      <c r="D995" s="254"/>
      <c r="E995" s="254"/>
      <c r="F995" s="254"/>
      <c r="G995" s="254"/>
      <c r="H995" s="254"/>
      <c r="I995" s="254"/>
      <c r="J995" s="25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255"/>
    </row>
    <row r="996">
      <c r="A996" s="274"/>
      <c r="B996" s="254"/>
      <c r="C996" s="254"/>
      <c r="D996" s="254"/>
      <c r="E996" s="254"/>
      <c r="F996" s="254"/>
      <c r="G996" s="254"/>
      <c r="H996" s="254"/>
      <c r="I996" s="254"/>
      <c r="J996" s="25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255"/>
    </row>
    <row r="997">
      <c r="A997" s="274"/>
      <c r="B997" s="254"/>
      <c r="C997" s="254"/>
      <c r="D997" s="254"/>
      <c r="E997" s="254"/>
      <c r="F997" s="254"/>
      <c r="G997" s="254"/>
      <c r="H997" s="254"/>
      <c r="I997" s="254"/>
      <c r="J997" s="25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255"/>
    </row>
    <row r="998">
      <c r="A998" s="274"/>
      <c r="B998" s="254"/>
      <c r="C998" s="254"/>
      <c r="D998" s="254"/>
      <c r="E998" s="254"/>
      <c r="F998" s="254"/>
      <c r="G998" s="254"/>
      <c r="H998" s="254"/>
      <c r="I998" s="254"/>
      <c r="J998" s="25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255"/>
    </row>
    <row r="999">
      <c r="A999" s="283"/>
      <c r="B999" s="284"/>
      <c r="C999" s="284"/>
      <c r="D999" s="284"/>
      <c r="E999" s="284"/>
      <c r="F999" s="284"/>
      <c r="G999" s="284"/>
      <c r="H999" s="284"/>
      <c r="I999" s="284"/>
      <c r="J999" s="284"/>
      <c r="K999" s="284"/>
      <c r="L999" s="284"/>
      <c r="M999" s="284"/>
      <c r="N999" s="284"/>
      <c r="O999" s="284"/>
      <c r="P999" s="284"/>
      <c r="Q999" s="284"/>
      <c r="R999" s="284"/>
      <c r="S999" s="284"/>
      <c r="T999" s="284"/>
      <c r="U999" s="284"/>
      <c r="V999" s="284"/>
      <c r="W999" s="284"/>
      <c r="X999" s="284"/>
      <c r="Y999" s="285"/>
    </row>
  </sheetData>
  <mergeCells count="6">
    <mergeCell ref="B2:H2"/>
    <mergeCell ref="J2:R2"/>
    <mergeCell ref="F5:G5"/>
    <mergeCell ref="M5:O5"/>
    <mergeCell ref="F6:G6"/>
    <mergeCell ref="M6:O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2020-11-05T08:55:28Z</dcterms:created>
  <dc:creator>SONY GEORGE</dc:creator>
</cp:coreProperties>
</file>