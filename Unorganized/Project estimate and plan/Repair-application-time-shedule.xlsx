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filterPrivacy="1" codeName="ThisWorkbook"/>
  <bookViews>
    <workbookView xWindow="-120" yWindow="-120" windowWidth="20730" windowHeight="11760"/>
  </bookViews>
  <sheets>
    <sheet name="ProjectSchedule" sheetId="11" r:id="rId1"/>
  </sheets>
  <definedNames>
    <definedName name="Display_Week">ProjectSchedule!$E$5</definedName>
    <definedName name="_xlnm.Print_Titles" localSheetId="0">ProjectSchedule!$5:$7</definedName>
    <definedName name="Project_Start">ProjectSchedule!$E$4</definedName>
    <definedName name="task_end" localSheetId="0">ProjectSchedule!$F1</definedName>
    <definedName name="task_progress" localSheetId="0">ProjectSchedule!$D1</definedName>
    <definedName name="task_start" localSheetId="0">ProjectSchedule!$E1</definedName>
    <definedName name="today" localSheetId="0">TODAY()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0" i="11"/>
  <c r="J29"/>
  <c r="J22"/>
  <c r="J23"/>
  <c r="J24"/>
  <c r="J25"/>
  <c r="J26"/>
  <c r="J27"/>
  <c r="J28"/>
  <c r="J21"/>
  <c r="K6" l="1"/>
  <c r="J8" l="1"/>
  <c r="E10" l="1"/>
  <c r="J9" l="1"/>
  <c r="J10" l="1"/>
  <c r="K7"/>
  <c r="J15" l="1"/>
  <c r="J17"/>
  <c r="J11"/>
  <c r="J14"/>
  <c r="L6"/>
  <c r="M6" s="1"/>
  <c r="N6" s="1"/>
  <c r="O6" s="1"/>
  <c r="P6" s="1"/>
  <c r="K5"/>
  <c r="Q6" l="1"/>
  <c r="Q7" s="1"/>
  <c r="J19"/>
  <c r="J16"/>
  <c r="J20"/>
  <c r="J18"/>
  <c r="J12"/>
  <c r="J13"/>
  <c r="L7"/>
  <c r="R6" l="1"/>
  <c r="M7"/>
  <c r="S6" l="1"/>
  <c r="T6" s="1"/>
  <c r="U6" s="1"/>
  <c r="V6" s="1"/>
  <c r="W6" s="1"/>
  <c r="X6" s="1"/>
  <c r="Y6" s="1"/>
  <c r="R5"/>
  <c r="N7"/>
  <c r="Z6" l="1"/>
  <c r="AA6" s="1"/>
  <c r="AB6" s="1"/>
  <c r="AC6" s="1"/>
  <c r="AD6" s="1"/>
  <c r="AE6" s="1"/>
  <c r="AF6" s="1"/>
  <c r="Y5"/>
  <c r="O7"/>
  <c r="AF5" l="1"/>
  <c r="AG6"/>
  <c r="AH6" s="1"/>
  <c r="AI6" s="1"/>
  <c r="AJ6" s="1"/>
  <c r="AK6" s="1"/>
  <c r="AL6" s="1"/>
  <c r="AM6" s="1"/>
  <c r="AN6" s="1"/>
  <c r="AO6" s="1"/>
  <c r="AP6" s="1"/>
  <c r="AQ6" s="1"/>
  <c r="AR6" s="1"/>
  <c r="AS6" s="1"/>
  <c r="AT6" s="1"/>
  <c r="AU6" s="1"/>
  <c r="P7"/>
  <c r="AM5" l="1"/>
  <c r="AV6"/>
  <c r="AU7"/>
  <c r="AT5"/>
  <c r="AW6" l="1"/>
  <c r="AV7"/>
  <c r="AX6" l="1"/>
  <c r="AW7"/>
  <c r="R7"/>
  <c r="S7"/>
  <c r="AY6" l="1"/>
  <c r="AX7"/>
  <c r="T7"/>
  <c r="AZ6" l="1"/>
  <c r="BA6" s="1"/>
  <c r="AY7"/>
  <c r="U7"/>
  <c r="BA7" l="1"/>
  <c r="BB6"/>
  <c r="BA5"/>
  <c r="AZ7"/>
  <c r="V7"/>
  <c r="BC6" l="1"/>
  <c r="BB7"/>
  <c r="W7"/>
  <c r="BC7" l="1"/>
  <c r="BD6"/>
  <c r="X7"/>
  <c r="BD7" l="1"/>
  <c r="BE6"/>
  <c r="Y7"/>
  <c r="BE7" l="1"/>
  <c r="BF6"/>
  <c r="Z7"/>
  <c r="BG6" l="1"/>
  <c r="BF7"/>
  <c r="AA7"/>
  <c r="BG7" l="1"/>
  <c r="BH6"/>
  <c r="AB7"/>
  <c r="BH7" l="1"/>
  <c r="BI6"/>
  <c r="BH5"/>
  <c r="AC7"/>
  <c r="BI7" l="1"/>
  <c r="BJ6"/>
  <c r="AD7"/>
  <c r="BK6" l="1"/>
  <c r="BJ7"/>
  <c r="AE7"/>
  <c r="BL6" l="1"/>
  <c r="BK7"/>
  <c r="AF7"/>
  <c r="BM6" l="1"/>
  <c r="BL7"/>
  <c r="AG7"/>
  <c r="BN6" l="1"/>
  <c r="BM7"/>
  <c r="AH7"/>
  <c r="BN7" l="1"/>
  <c r="AI7"/>
  <c r="AJ7" l="1"/>
  <c r="AK7" l="1"/>
  <c r="AL7" l="1"/>
  <c r="AM7" l="1"/>
  <c r="AN7" l="1"/>
  <c r="AO7" l="1"/>
  <c r="AP7" l="1"/>
  <c r="AQ7" l="1"/>
  <c r="AR7" l="1"/>
  <c r="AS7" l="1"/>
  <c r="AT7" l="1"/>
</calcChain>
</file>

<file path=xl/sharedStrings.xml><?xml version="1.0" encoding="utf-8"?>
<sst xmlns="http://schemas.openxmlformats.org/spreadsheetml/2006/main" count="58" uniqueCount="41">
  <si>
    <t>Project Start:</t>
  </si>
  <si>
    <t>PROGRESS</t>
  </si>
  <si>
    <t>ASSIGNED
TO</t>
  </si>
  <si>
    <t>START</t>
  </si>
  <si>
    <t>END</t>
  </si>
  <si>
    <t>DAYS</t>
  </si>
  <si>
    <t>Display Week:</t>
  </si>
  <si>
    <t>TASK</t>
  </si>
  <si>
    <t>Phase 1 : User module</t>
  </si>
  <si>
    <t>PROJECT : Repair Application</t>
  </si>
  <si>
    <t>Blackwhite Technologies</t>
  </si>
  <si>
    <t>Client</t>
  </si>
  <si>
    <t>Team</t>
  </si>
  <si>
    <t>Deepak , Udhayan</t>
  </si>
  <si>
    <t>Udhayan</t>
  </si>
  <si>
    <t>Deepak</t>
  </si>
  <si>
    <t>Project concept and initialisation</t>
  </si>
  <si>
    <t>Project definition and planing</t>
  </si>
  <si>
    <t>DB Design</t>
  </si>
  <si>
    <t>Git &amp; Project set up</t>
  </si>
  <si>
    <t xml:space="preserve">Login / Registration </t>
  </si>
  <si>
    <t>User Profile Design</t>
  </si>
  <si>
    <t>User Alerts Design</t>
  </si>
  <si>
    <t>User History Design</t>
  </si>
  <si>
    <t>User Track order Design</t>
  </si>
  <si>
    <t>User Contact Design</t>
  </si>
  <si>
    <t>User Buy parts Design</t>
  </si>
  <si>
    <t>User dashboard Design</t>
  </si>
  <si>
    <t>User dashboard development</t>
  </si>
  <si>
    <t>User Profile  development</t>
  </si>
  <si>
    <t>User Alerts  development</t>
  </si>
  <si>
    <t>User History  development</t>
  </si>
  <si>
    <t>User Track order  development</t>
  </si>
  <si>
    <t>User Buy parts  development</t>
  </si>
  <si>
    <t>User Contact  development</t>
  </si>
  <si>
    <t>User module testing</t>
  </si>
  <si>
    <t>ACTUAL  START</t>
  </si>
  <si>
    <t>ACTUAL END</t>
  </si>
  <si>
    <t>Delivery</t>
  </si>
  <si>
    <t>Deepak | Udhayan</t>
  </si>
  <si>
    <t>First delivery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</si>
</sst>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m/d/yy;@"/>
    <numFmt numFmtId="165" formatCode="ddd\,\ m/d/yyyy"/>
    <numFmt numFmtId="166" formatCode="mmm\ d\,\ yyyy"/>
    <numFmt numFmtId="167" formatCode="d"/>
  </numFmts>
  <fonts count="2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b/>
      <sz val="11"/>
      <color theme="1" tint="0.499984740745262"/>
      <name val="Calibri"/>
      <family val="2"/>
      <scheme val="minor"/>
    </font>
    <font>
      <sz val="10"/>
      <color theme="1" tint="0.499984740745262"/>
      <name val="Arial"/>
      <family val="2"/>
    </font>
    <font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 tint="0.49998474074526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ajor"/>
    </font>
    <font>
      <sz val="14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499984740745262"/>
        <bgColor theme="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1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0" fontId="13" fillId="0" borderId="0"/>
    <xf numFmtId="43" fontId="6" fillId="0" borderId="3" applyFon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Alignment="0" applyProtection="0"/>
    <xf numFmtId="0" fontId="7" fillId="0" borderId="0" applyNumberFormat="0" applyFill="0" applyProtection="0">
      <alignment vertical="top"/>
    </xf>
    <xf numFmtId="0" fontId="6" fillId="0" borderId="0" applyNumberFormat="0" applyFill="0" applyProtection="0">
      <alignment horizontal="right" indent="1"/>
    </xf>
    <xf numFmtId="165" fontId="6" fillId="0" borderId="3">
      <alignment horizontal="center" vertical="center"/>
    </xf>
    <xf numFmtId="164" fontId="6" fillId="0" borderId="2" applyFill="0">
      <alignment horizontal="center" vertical="center"/>
    </xf>
    <xf numFmtId="0" fontId="6" fillId="0" borderId="2" applyFill="0">
      <alignment horizontal="center" vertical="center"/>
    </xf>
    <xf numFmtId="0" fontId="6" fillId="0" borderId="2" applyFill="0">
      <alignment horizontal="left" vertical="center" indent="2"/>
    </xf>
  </cellStyleXfs>
  <cellXfs count="6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167" fontId="8" fillId="2" borderId="0" xfId="0" applyNumberFormat="1" applyFont="1" applyFill="1" applyAlignment="1">
      <alignment horizontal="center" vertical="center"/>
    </xf>
    <xf numFmtId="167" fontId="8" fillId="2" borderId="6" xfId="0" applyNumberFormat="1" applyFont="1" applyFill="1" applyBorder="1" applyAlignment="1">
      <alignment horizontal="center" vertical="center"/>
    </xf>
    <xf numFmtId="167" fontId="8" fillId="2" borderId="7" xfId="0" applyNumberFormat="1" applyFont="1" applyFill="1" applyBorder="1" applyAlignment="1">
      <alignment horizontal="center" vertical="center"/>
    </xf>
    <xf numFmtId="0" fontId="11" fillId="0" borderId="0" xfId="0" applyFont="1"/>
    <xf numFmtId="0" fontId="3" fillId="0" borderId="2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3" fillId="0" borderId="0" xfId="3"/>
    <xf numFmtId="0" fontId="13" fillId="0" borderId="0" xfId="3" applyAlignment="1">
      <alignment wrapText="1"/>
    </xf>
    <xf numFmtId="0" fontId="12" fillId="0" borderId="0" xfId="1" applyFont="1" applyProtection="1">
      <alignment vertical="top"/>
    </xf>
    <xf numFmtId="0" fontId="0" fillId="0" borderId="0" xfId="0" applyAlignment="1">
      <alignment wrapText="1"/>
    </xf>
    <xf numFmtId="0" fontId="10" fillId="0" borderId="0" xfId="5" applyAlignment="1">
      <alignment horizontal="left"/>
    </xf>
    <xf numFmtId="0" fontId="7" fillId="0" borderId="0" xfId="7">
      <alignment vertical="top"/>
    </xf>
    <xf numFmtId="0" fontId="4" fillId="3" borderId="2" xfId="0" applyFont="1" applyFill="1" applyBorder="1" applyAlignment="1">
      <alignment horizontal="left" vertical="center" indent="1"/>
    </xf>
    <xf numFmtId="0" fontId="0" fillId="3" borderId="2" xfId="11" applyFont="1" applyFill="1">
      <alignment horizontal="center" vertical="center"/>
    </xf>
    <xf numFmtId="9" fontId="0" fillId="3" borderId="2" xfId="2" applyFont="1" applyFill="1" applyBorder="1" applyAlignment="1">
      <alignment horizontal="center" vertical="center"/>
    </xf>
    <xf numFmtId="164" fontId="0" fillId="3" borderId="2" xfId="0" applyNumberFormat="1" applyFont="1" applyFill="1" applyBorder="1" applyAlignment="1">
      <alignment horizontal="center" vertical="center"/>
    </xf>
    <xf numFmtId="0" fontId="13" fillId="4" borderId="2" xfId="12" applyFont="1" applyFill="1">
      <alignment horizontal="left" vertical="center" indent="2"/>
    </xf>
    <xf numFmtId="0" fontId="13" fillId="4" borderId="2" xfId="11" applyFont="1" applyFill="1">
      <alignment horizontal="center" vertical="center"/>
    </xf>
    <xf numFmtId="164" fontId="13" fillId="4" borderId="2" xfId="10" applyFont="1" applyFill="1">
      <alignment horizontal="center" vertical="center"/>
    </xf>
    <xf numFmtId="9" fontId="6" fillId="4" borderId="2" xfId="2" applyFont="1" applyFill="1" applyBorder="1" applyAlignment="1">
      <alignment horizontal="center" vertical="center"/>
    </xf>
    <xf numFmtId="0" fontId="13" fillId="4" borderId="0" xfId="3" applyFill="1" applyAlignment="1">
      <alignment wrapText="1"/>
    </xf>
    <xf numFmtId="0" fontId="5" fillId="5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shrinkToFit="1"/>
    </xf>
    <xf numFmtId="0" fontId="0" fillId="4" borderId="0" xfId="0" applyFill="1"/>
    <xf numFmtId="0" fontId="14" fillId="0" borderId="0" xfId="3" applyFont="1" applyAlignment="1">
      <alignment wrapText="1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0" fontId="15" fillId="0" borderId="0" xfId="0" applyFont="1"/>
    <xf numFmtId="0" fontId="17" fillId="0" borderId="0" xfId="0" applyFont="1"/>
    <xf numFmtId="0" fontId="0" fillId="0" borderId="0" xfId="0" applyAlignment="1">
      <alignment horizontal="center" vertical="center"/>
    </xf>
    <xf numFmtId="0" fontId="0" fillId="0" borderId="10" xfId="0" applyBorder="1"/>
    <xf numFmtId="166" fontId="0" fillId="2" borderId="4" xfId="0" applyNumberFormat="1" applyFill="1" applyBorder="1" applyAlignment="1">
      <alignment horizontal="left" vertical="center" wrapText="1" indent="1"/>
    </xf>
    <xf numFmtId="166" fontId="0" fillId="2" borderId="1" xfId="0" applyNumberFormat="1" applyFill="1" applyBorder="1" applyAlignment="1">
      <alignment horizontal="left" vertical="center" wrapText="1" indent="1"/>
    </xf>
    <xf numFmtId="166" fontId="0" fillId="2" borderId="5" xfId="0" applyNumberFormat="1" applyFill="1" applyBorder="1" applyAlignment="1">
      <alignment horizontal="left" vertical="center" wrapText="1" indent="1"/>
    </xf>
    <xf numFmtId="165" fontId="6" fillId="0" borderId="11" xfId="9" applyBorder="1" applyAlignment="1">
      <alignment horizontal="left" vertical="center"/>
    </xf>
    <xf numFmtId="165" fontId="6" fillId="0" borderId="13" xfId="9" applyBorder="1" applyAlignment="1">
      <alignment horizontal="left" vertical="center"/>
    </xf>
    <xf numFmtId="165" fontId="6" fillId="0" borderId="12" xfId="9" applyBorder="1" applyAlignment="1">
      <alignment horizontal="left" vertical="center"/>
    </xf>
    <xf numFmtId="0" fontId="6" fillId="0" borderId="0" xfId="8">
      <alignment horizontal="right" indent="1"/>
    </xf>
    <xf numFmtId="0" fontId="6" fillId="0" borderId="7" xfId="8" applyBorder="1">
      <alignment horizontal="right" indent="1"/>
    </xf>
    <xf numFmtId="0" fontId="13" fillId="4" borderId="0" xfId="0" applyFont="1" applyFill="1" applyAlignment="1">
      <alignment horizontal="center" vertical="center"/>
    </xf>
    <xf numFmtId="0" fontId="18" fillId="3" borderId="2" xfId="12" applyFont="1" applyFill="1">
      <alignment horizontal="left" vertical="center" indent="2"/>
    </xf>
    <xf numFmtId="0" fontId="18" fillId="3" borderId="0" xfId="0" applyFont="1" applyFill="1" applyAlignment="1">
      <alignment horizontal="center" vertical="center"/>
    </xf>
    <xf numFmtId="164" fontId="13" fillId="3" borderId="2" xfId="10" applyFont="1" applyFill="1">
      <alignment horizontal="center" vertical="center"/>
    </xf>
    <xf numFmtId="9" fontId="6" fillId="3" borderId="2" xfId="2" applyFont="1" applyFill="1" applyBorder="1" applyAlignment="1">
      <alignment horizontal="center" vertical="center"/>
    </xf>
    <xf numFmtId="0" fontId="13" fillId="3" borderId="0" xfId="3" applyFill="1"/>
    <xf numFmtId="0" fontId="3" fillId="3" borderId="2" xfId="0" applyFont="1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0" xfId="0" applyFill="1"/>
    <xf numFmtId="0" fontId="0" fillId="6" borderId="9" xfId="0" applyFill="1" applyBorder="1" applyAlignment="1">
      <alignment vertical="center"/>
    </xf>
    <xf numFmtId="0" fontId="0" fillId="6" borderId="0" xfId="0" applyFill="1"/>
    <xf numFmtId="164" fontId="18" fillId="3" borderId="2" xfId="10" applyFont="1" applyFill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0" fontId="9" fillId="3" borderId="8" xfId="0" applyFont="1" applyFill="1" applyBorder="1" applyAlignment="1">
      <alignment horizontal="center" vertical="center" shrinkToFit="1"/>
    </xf>
    <xf numFmtId="0" fontId="16" fillId="6" borderId="0" xfId="0" applyFont="1" applyFill="1"/>
    <xf numFmtId="0" fontId="19" fillId="0" borderId="0" xfId="5" applyFont="1" applyAlignment="1">
      <alignment horizontal="left" vertical="center"/>
    </xf>
    <xf numFmtId="0" fontId="20" fillId="0" borderId="0" xfId="6" applyFont="1"/>
    <xf numFmtId="0" fontId="18" fillId="0" borderId="0" xfId="0" applyFont="1"/>
  </cellXfs>
  <cellStyles count="13">
    <cellStyle name="Comma" xfId="4" builtinId="3" customBuiltin="1"/>
    <cellStyle name="Date" xfId="10"/>
    <cellStyle name="Heading 1" xfId="6" builtinId="16" customBuiltin="1"/>
    <cellStyle name="Heading 2" xfId="7" builtinId="17" customBuiltin="1"/>
    <cellStyle name="Heading 3" xfId="8" builtinId="18" customBuiltin="1"/>
    <cellStyle name="Hyperlink" xfId="1" builtinId="8" customBuiltin="1"/>
    <cellStyle name="Name" xfId="11"/>
    <cellStyle name="Normal" xfId="0" builtinId="0"/>
    <cellStyle name="Percent" xfId="2" builtinId="5"/>
    <cellStyle name="Project Start" xfId="9"/>
    <cellStyle name="Task" xfId="12"/>
    <cellStyle name="Title" xfId="5" builtinId="15" customBuiltin="1"/>
    <cellStyle name="zHiddenText" xfId="3"/>
  </cellStyles>
  <dxfs count="16">
    <dxf>
      <fill>
        <patternFill>
          <bgColor rgb="FFFF0000"/>
        </patternFill>
      </fill>
      <border>
        <left/>
        <right/>
      </border>
    </dxf>
    <dxf>
      <fill>
        <patternFill>
          <bgColor rgb="FF00B05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  <border>
        <left/>
        <right/>
      </border>
    </dxf>
    <dxf>
      <fill>
        <patternFill>
          <bgColor rgb="FF00B05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secondRowStripe" dxfId="9"/>
      <tableStyleElement type="firstColumnStripe" dxfId="8"/>
      <tableStyleElement type="second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000000"/>
      <color rgb="FF215881"/>
      <color rgb="FF42648A"/>
      <color rgb="FF969696"/>
      <color rgb="FFC0C0C0"/>
      <color rgb="FF427FC2"/>
      <color rgb="FF44678E"/>
      <color rgb="FF4A6F9C"/>
      <color rgb="FF396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161925</xdr:colOff>
      <xdr:row>3</xdr:row>
      <xdr:rowOff>152400</xdr:rowOff>
    </xdr:from>
    <xdr:to>
      <xdr:col>40</xdr:col>
      <xdr:colOff>152400</xdr:colOff>
      <xdr:row>3</xdr:row>
      <xdr:rowOff>333375</xdr:rowOff>
    </xdr:to>
    <xdr:sp macro="" textlink="">
      <xdr:nvSpPr>
        <xdr:cNvPr id="6" name="5-Point Star 5"/>
        <xdr:cNvSpPr/>
      </xdr:nvSpPr>
      <xdr:spPr>
        <a:xfrm>
          <a:off x="13592175" y="1047750"/>
          <a:ext cx="161925" cy="180975"/>
        </a:xfrm>
        <a:prstGeom prst="star5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4</xdr:col>
      <xdr:colOff>161925</xdr:colOff>
      <xdr:row>2</xdr:row>
      <xdr:rowOff>180975</xdr:rowOff>
    </xdr:to>
    <xdr:sp macro="" textlink="">
      <xdr:nvSpPr>
        <xdr:cNvPr id="8" name="5-Point Star 7"/>
        <xdr:cNvSpPr/>
      </xdr:nvSpPr>
      <xdr:spPr>
        <a:xfrm>
          <a:off x="5181600" y="647700"/>
          <a:ext cx="161925" cy="180975"/>
        </a:xfrm>
        <a:prstGeom prst="star5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Verve">
      <a:dk1>
        <a:sysClr val="windowText" lastClr="000000"/>
      </a:dk1>
      <a:lt1>
        <a:sysClr val="window" lastClr="FFFFFF"/>
      </a:lt1>
      <a:dk2>
        <a:srgbClr val="666666"/>
      </a:dk2>
      <a:lt2>
        <a:srgbClr val="D2D2D2"/>
      </a:lt2>
      <a:accent1>
        <a:srgbClr val="FF388C"/>
      </a:accent1>
      <a:accent2>
        <a:srgbClr val="E40059"/>
      </a:accent2>
      <a:accent3>
        <a:srgbClr val="9C007F"/>
      </a:accent3>
      <a:accent4>
        <a:srgbClr val="68007F"/>
      </a:accent4>
      <a:accent5>
        <a:srgbClr val="005BD3"/>
      </a:accent5>
      <a:accent6>
        <a:srgbClr val="00349E"/>
      </a:accent6>
      <a:hlink>
        <a:srgbClr val="17BBFD"/>
      </a:hlink>
      <a:folHlink>
        <a:srgbClr val="FF79C2"/>
      </a:folHlink>
    </a:clrScheme>
    <a:fontScheme name="Calibri">
      <a:majorFont>
        <a:latin typeface="Calibri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ET30"/>
  <sheetViews>
    <sheetView showGridLines="0" tabSelected="1" showRuler="0" zoomScalePageLayoutView="70" workbookViewId="0">
      <pane ySplit="7" topLeftCell="A29" activePane="bottomLeft" state="frozen"/>
      <selection pane="bottomLeft" activeCell="B5" sqref="B5"/>
    </sheetView>
  </sheetViews>
  <sheetFormatPr defaultRowHeight="30" customHeight="1"/>
  <cols>
    <col min="1" max="1" width="2.7109375" style="14" customWidth="1"/>
    <col min="2" max="2" width="33.5703125" customWidth="1"/>
    <col min="3" max="3" width="30.7109375" customWidth="1"/>
    <col min="4" max="4" width="10.7109375" customWidth="1"/>
    <col min="5" max="5" width="10.42578125" style="4" customWidth="1"/>
    <col min="6" max="6" width="10.42578125" customWidth="1"/>
    <col min="7" max="7" width="13.28515625" customWidth="1"/>
    <col min="8" max="8" width="12.28515625" customWidth="1"/>
    <col min="9" max="9" width="2.7109375" customWidth="1"/>
    <col min="10" max="10" width="6.140625" hidden="1" customWidth="1"/>
    <col min="11" max="40" width="2.5703125" customWidth="1"/>
    <col min="41" max="41" width="2.5703125" style="57" customWidth="1"/>
    <col min="42" max="66" width="2.5703125" customWidth="1"/>
    <col min="71" max="72" width="10.28515625"/>
  </cols>
  <sheetData>
    <row r="1" spans="1:66" s="36" customFormat="1" ht="30" customHeight="1">
      <c r="A1" s="33"/>
      <c r="B1" s="64" t="s">
        <v>9</v>
      </c>
      <c r="C1" s="64"/>
      <c r="D1" s="64"/>
      <c r="E1" s="34"/>
      <c r="F1" s="35"/>
      <c r="G1" s="35"/>
      <c r="H1" s="35"/>
      <c r="J1" s="37"/>
      <c r="K1" s="38"/>
      <c r="AO1" s="63"/>
    </row>
    <row r="2" spans="1:66" ht="21" customHeight="1">
      <c r="A2" s="15"/>
      <c r="B2" s="65" t="s">
        <v>11</v>
      </c>
      <c r="C2" s="66" t="s">
        <v>10</v>
      </c>
      <c r="D2" s="18"/>
      <c r="E2" s="3"/>
      <c r="F2" s="13"/>
      <c r="G2" s="13"/>
      <c r="H2" s="13"/>
      <c r="J2" s="1"/>
      <c r="K2" s="9"/>
      <c r="AO2" s="59"/>
    </row>
    <row r="3" spans="1:66" ht="19.5" customHeight="1">
      <c r="B3" s="65" t="s">
        <v>12</v>
      </c>
      <c r="C3" s="66" t="s">
        <v>13</v>
      </c>
      <c r="D3" s="39" t="s">
        <v>38</v>
      </c>
      <c r="E3" s="18"/>
      <c r="F3" s="3"/>
      <c r="K3" s="16"/>
      <c r="AO3" s="59"/>
    </row>
    <row r="4" spans="1:66" ht="30" customHeight="1">
      <c r="B4" s="19"/>
      <c r="C4" s="47" t="s">
        <v>0</v>
      </c>
      <c r="D4" s="48"/>
      <c r="E4" s="44">
        <v>44137</v>
      </c>
      <c r="F4" s="45"/>
      <c r="G4" s="45"/>
      <c r="H4" s="46"/>
      <c r="AO4" s="59"/>
    </row>
    <row r="5" spans="1:66" ht="30" customHeight="1">
      <c r="A5" s="15"/>
      <c r="C5" s="47" t="s">
        <v>6</v>
      </c>
      <c r="D5" s="48"/>
      <c r="E5" s="5">
        <v>1</v>
      </c>
      <c r="K5" s="41">
        <f>K6</f>
        <v>44137</v>
      </c>
      <c r="L5" s="42"/>
      <c r="M5" s="42"/>
      <c r="N5" s="42"/>
      <c r="O5" s="42"/>
      <c r="P5" s="42"/>
      <c r="Q5" s="43"/>
      <c r="R5" s="41">
        <f>R6</f>
        <v>44144</v>
      </c>
      <c r="S5" s="42"/>
      <c r="T5" s="42"/>
      <c r="U5" s="42"/>
      <c r="V5" s="42"/>
      <c r="W5" s="42"/>
      <c r="X5" s="43"/>
      <c r="Y5" s="41">
        <f>Y6</f>
        <v>44151</v>
      </c>
      <c r="Z5" s="42"/>
      <c r="AA5" s="42"/>
      <c r="AB5" s="42"/>
      <c r="AC5" s="42"/>
      <c r="AD5" s="42"/>
      <c r="AE5" s="43"/>
      <c r="AF5" s="41">
        <f>AF6</f>
        <v>44158</v>
      </c>
      <c r="AG5" s="42"/>
      <c r="AH5" s="42"/>
      <c r="AI5" s="42"/>
      <c r="AJ5" s="42"/>
      <c r="AK5" s="42"/>
      <c r="AL5" s="43"/>
      <c r="AM5" s="41">
        <f>AM6</f>
        <v>44165</v>
      </c>
      <c r="AN5" s="42"/>
      <c r="AO5" s="42"/>
      <c r="AP5" s="42"/>
      <c r="AQ5" s="42"/>
      <c r="AR5" s="42"/>
      <c r="AS5" s="43"/>
      <c r="AT5" s="41">
        <f>AT6</f>
        <v>44172</v>
      </c>
      <c r="AU5" s="42"/>
      <c r="AV5" s="42"/>
      <c r="AW5" s="42"/>
      <c r="AX5" s="42"/>
      <c r="AY5" s="42"/>
      <c r="AZ5" s="43"/>
      <c r="BA5" s="41">
        <f>BA6</f>
        <v>44179</v>
      </c>
      <c r="BB5" s="42"/>
      <c r="BC5" s="42"/>
      <c r="BD5" s="42"/>
      <c r="BE5" s="42"/>
      <c r="BF5" s="42"/>
      <c r="BG5" s="43"/>
      <c r="BH5" s="41">
        <f>BH6</f>
        <v>44186</v>
      </c>
      <c r="BI5" s="42"/>
      <c r="BJ5" s="42"/>
      <c r="BK5" s="42"/>
      <c r="BL5" s="42"/>
      <c r="BM5" s="42"/>
      <c r="BN5" s="43"/>
    </row>
    <row r="6" spans="1:66" ht="15" customHeight="1">
      <c r="A6" s="15"/>
      <c r="B6" s="40"/>
      <c r="C6" s="40"/>
      <c r="D6" s="40"/>
      <c r="E6" s="40"/>
      <c r="F6" s="40"/>
      <c r="G6" s="40"/>
      <c r="H6" s="40"/>
      <c r="I6" s="40"/>
      <c r="K6" s="7">
        <f>Project_Start-WEEKDAY(Project_Start,1)+2+7*(Display_Week-1)</f>
        <v>44137</v>
      </c>
      <c r="L6" s="6">
        <f>K6+1</f>
        <v>44138</v>
      </c>
      <c r="M6" s="6">
        <f t="shared" ref="M6:AZ6" si="0">L6+1</f>
        <v>44139</v>
      </c>
      <c r="N6" s="6">
        <f t="shared" si="0"/>
        <v>44140</v>
      </c>
      <c r="O6" s="6">
        <f t="shared" si="0"/>
        <v>44141</v>
      </c>
      <c r="P6" s="6">
        <f t="shared" si="0"/>
        <v>44142</v>
      </c>
      <c r="Q6" s="8">
        <f t="shared" si="0"/>
        <v>44143</v>
      </c>
      <c r="R6" s="7">
        <f>Q6+1</f>
        <v>44144</v>
      </c>
      <c r="S6" s="6">
        <f>R6+1</f>
        <v>44145</v>
      </c>
      <c r="T6" s="6">
        <f t="shared" si="0"/>
        <v>44146</v>
      </c>
      <c r="U6" s="6">
        <f t="shared" si="0"/>
        <v>44147</v>
      </c>
      <c r="V6" s="6">
        <f t="shared" si="0"/>
        <v>44148</v>
      </c>
      <c r="W6" s="6">
        <f t="shared" si="0"/>
        <v>44149</v>
      </c>
      <c r="X6" s="8">
        <f t="shared" si="0"/>
        <v>44150</v>
      </c>
      <c r="Y6" s="7">
        <f>X6+1</f>
        <v>44151</v>
      </c>
      <c r="Z6" s="6">
        <f>Y6+1</f>
        <v>44152</v>
      </c>
      <c r="AA6" s="6">
        <f t="shared" si="0"/>
        <v>44153</v>
      </c>
      <c r="AB6" s="6">
        <f t="shared" si="0"/>
        <v>44154</v>
      </c>
      <c r="AC6" s="6">
        <f t="shared" si="0"/>
        <v>44155</v>
      </c>
      <c r="AD6" s="6">
        <f t="shared" si="0"/>
        <v>44156</v>
      </c>
      <c r="AE6" s="8">
        <f t="shared" si="0"/>
        <v>44157</v>
      </c>
      <c r="AF6" s="7">
        <f>AE6+1</f>
        <v>44158</v>
      </c>
      <c r="AG6" s="6">
        <f>AF6+1</f>
        <v>44159</v>
      </c>
      <c r="AH6" s="6">
        <f t="shared" si="0"/>
        <v>44160</v>
      </c>
      <c r="AI6" s="6">
        <f t="shared" si="0"/>
        <v>44161</v>
      </c>
      <c r="AJ6" s="6">
        <f t="shared" si="0"/>
        <v>44162</v>
      </c>
      <c r="AK6" s="6">
        <f t="shared" si="0"/>
        <v>44163</v>
      </c>
      <c r="AL6" s="8">
        <f t="shared" si="0"/>
        <v>44164</v>
      </c>
      <c r="AM6" s="7">
        <f>AL6+1</f>
        <v>44165</v>
      </c>
      <c r="AN6" s="6">
        <f>AM6+1</f>
        <v>44166</v>
      </c>
      <c r="AO6" s="61">
        <f t="shared" si="0"/>
        <v>44167</v>
      </c>
      <c r="AP6" s="6">
        <f t="shared" si="0"/>
        <v>44168</v>
      </c>
      <c r="AQ6" s="6">
        <f t="shared" si="0"/>
        <v>44169</v>
      </c>
      <c r="AR6" s="6">
        <f t="shared" si="0"/>
        <v>44170</v>
      </c>
      <c r="AS6" s="8">
        <f t="shared" si="0"/>
        <v>44171</v>
      </c>
      <c r="AT6" s="7">
        <f>AS6+1</f>
        <v>44172</v>
      </c>
      <c r="AU6" s="6">
        <f>AT6+1</f>
        <v>44173</v>
      </c>
      <c r="AV6" s="6">
        <f t="shared" si="0"/>
        <v>44174</v>
      </c>
      <c r="AW6" s="6">
        <f t="shared" si="0"/>
        <v>44175</v>
      </c>
      <c r="AX6" s="6">
        <f t="shared" si="0"/>
        <v>44176</v>
      </c>
      <c r="AY6" s="6">
        <f t="shared" si="0"/>
        <v>44177</v>
      </c>
      <c r="AZ6" s="8">
        <f t="shared" si="0"/>
        <v>44178</v>
      </c>
      <c r="BA6" s="7">
        <f>AZ6+1</f>
        <v>44179</v>
      </c>
      <c r="BB6" s="6">
        <f>BA6+1</f>
        <v>44180</v>
      </c>
      <c r="BC6" s="6">
        <f t="shared" ref="BC6:BG6" si="1">BB6+1</f>
        <v>44181</v>
      </c>
      <c r="BD6" s="6">
        <f t="shared" si="1"/>
        <v>44182</v>
      </c>
      <c r="BE6" s="6">
        <f t="shared" si="1"/>
        <v>44183</v>
      </c>
      <c r="BF6" s="6">
        <f t="shared" si="1"/>
        <v>44184</v>
      </c>
      <c r="BG6" s="8">
        <f t="shared" si="1"/>
        <v>44185</v>
      </c>
      <c r="BH6" s="7">
        <f>BG6+1</f>
        <v>44186</v>
      </c>
      <c r="BI6" s="6">
        <f>BH6+1</f>
        <v>44187</v>
      </c>
      <c r="BJ6" s="6">
        <f t="shared" ref="BJ6:BN6" si="2">BI6+1</f>
        <v>44188</v>
      </c>
      <c r="BK6" s="6">
        <f t="shared" si="2"/>
        <v>44189</v>
      </c>
      <c r="BL6" s="6">
        <f t="shared" si="2"/>
        <v>44190</v>
      </c>
      <c r="BM6" s="6">
        <f t="shared" si="2"/>
        <v>44191</v>
      </c>
      <c r="BN6" s="8">
        <f t="shared" si="2"/>
        <v>44192</v>
      </c>
    </row>
    <row r="7" spans="1:66" s="32" customFormat="1" ht="30" customHeight="1" thickBot="1">
      <c r="A7" s="28"/>
      <c r="B7" s="29" t="s">
        <v>7</v>
      </c>
      <c r="C7" s="30" t="s">
        <v>2</v>
      </c>
      <c r="D7" s="30" t="s">
        <v>1</v>
      </c>
      <c r="E7" s="30" t="s">
        <v>3</v>
      </c>
      <c r="F7" s="30" t="s">
        <v>4</v>
      </c>
      <c r="G7" s="30" t="s">
        <v>36</v>
      </c>
      <c r="H7" s="30" t="s">
        <v>37</v>
      </c>
      <c r="I7" s="30"/>
      <c r="J7" s="30" t="s">
        <v>5</v>
      </c>
      <c r="K7" s="31" t="str">
        <f t="shared" ref="K7" si="3">LEFT(TEXT(K6,"ddd"),1)</f>
        <v>M</v>
      </c>
      <c r="L7" s="31" t="str">
        <f t="shared" ref="L7:AT7" si="4">LEFT(TEXT(L6,"ddd"),1)</f>
        <v>T</v>
      </c>
      <c r="M7" s="31" t="str">
        <f t="shared" si="4"/>
        <v>W</v>
      </c>
      <c r="N7" s="31" t="str">
        <f t="shared" si="4"/>
        <v>T</v>
      </c>
      <c r="O7" s="31" t="str">
        <f t="shared" si="4"/>
        <v>F</v>
      </c>
      <c r="P7" s="31" t="str">
        <f t="shared" si="4"/>
        <v>S</v>
      </c>
      <c r="Q7" s="31" t="str">
        <f t="shared" si="4"/>
        <v>S</v>
      </c>
      <c r="R7" s="31" t="str">
        <f t="shared" si="4"/>
        <v>M</v>
      </c>
      <c r="S7" s="31" t="str">
        <f t="shared" si="4"/>
        <v>T</v>
      </c>
      <c r="T7" s="31" t="str">
        <f t="shared" si="4"/>
        <v>W</v>
      </c>
      <c r="U7" s="31" t="str">
        <f t="shared" si="4"/>
        <v>T</v>
      </c>
      <c r="V7" s="31" t="str">
        <f t="shared" si="4"/>
        <v>F</v>
      </c>
      <c r="W7" s="31" t="str">
        <f t="shared" si="4"/>
        <v>S</v>
      </c>
      <c r="X7" s="31" t="str">
        <f t="shared" si="4"/>
        <v>S</v>
      </c>
      <c r="Y7" s="31" t="str">
        <f t="shared" si="4"/>
        <v>M</v>
      </c>
      <c r="Z7" s="31" t="str">
        <f t="shared" si="4"/>
        <v>T</v>
      </c>
      <c r="AA7" s="31" t="str">
        <f t="shared" si="4"/>
        <v>W</v>
      </c>
      <c r="AB7" s="31" t="str">
        <f t="shared" si="4"/>
        <v>T</v>
      </c>
      <c r="AC7" s="31" t="str">
        <f t="shared" si="4"/>
        <v>F</v>
      </c>
      <c r="AD7" s="31" t="str">
        <f t="shared" si="4"/>
        <v>S</v>
      </c>
      <c r="AE7" s="31" t="str">
        <f t="shared" si="4"/>
        <v>S</v>
      </c>
      <c r="AF7" s="31" t="str">
        <f t="shared" si="4"/>
        <v>M</v>
      </c>
      <c r="AG7" s="31" t="str">
        <f t="shared" si="4"/>
        <v>T</v>
      </c>
      <c r="AH7" s="31" t="str">
        <f t="shared" si="4"/>
        <v>W</v>
      </c>
      <c r="AI7" s="31" t="str">
        <f t="shared" si="4"/>
        <v>T</v>
      </c>
      <c r="AJ7" s="31" t="str">
        <f t="shared" si="4"/>
        <v>F</v>
      </c>
      <c r="AK7" s="31" t="str">
        <f t="shared" si="4"/>
        <v>S</v>
      </c>
      <c r="AL7" s="31" t="str">
        <f t="shared" si="4"/>
        <v>S</v>
      </c>
      <c r="AM7" s="31" t="str">
        <f t="shared" si="4"/>
        <v>M</v>
      </c>
      <c r="AN7" s="31" t="str">
        <f t="shared" si="4"/>
        <v>T</v>
      </c>
      <c r="AO7" s="62" t="str">
        <f t="shared" si="4"/>
        <v>W</v>
      </c>
      <c r="AP7" s="31" t="str">
        <f t="shared" si="4"/>
        <v>T</v>
      </c>
      <c r="AQ7" s="31" t="str">
        <f t="shared" si="4"/>
        <v>F</v>
      </c>
      <c r="AR7" s="31" t="str">
        <f t="shared" si="4"/>
        <v>S</v>
      </c>
      <c r="AS7" s="31" t="str">
        <f t="shared" si="4"/>
        <v>S</v>
      </c>
      <c r="AT7" s="31" t="str">
        <f t="shared" si="4"/>
        <v>M</v>
      </c>
      <c r="AU7" s="31" t="str">
        <f t="shared" ref="AU7:BN7" si="5">LEFT(TEXT(AU6,"ddd"),1)</f>
        <v>T</v>
      </c>
      <c r="AV7" s="31" t="str">
        <f t="shared" si="5"/>
        <v>W</v>
      </c>
      <c r="AW7" s="31" t="str">
        <f t="shared" si="5"/>
        <v>T</v>
      </c>
      <c r="AX7" s="31" t="str">
        <f t="shared" si="5"/>
        <v>F</v>
      </c>
      <c r="AY7" s="31" t="str">
        <f t="shared" si="5"/>
        <v>S</v>
      </c>
      <c r="AZ7" s="31" t="str">
        <f t="shared" si="5"/>
        <v>S</v>
      </c>
      <c r="BA7" s="31" t="str">
        <f t="shared" si="5"/>
        <v>M</v>
      </c>
      <c r="BB7" s="31" t="str">
        <f t="shared" si="5"/>
        <v>T</v>
      </c>
      <c r="BC7" s="31" t="str">
        <f t="shared" si="5"/>
        <v>W</v>
      </c>
      <c r="BD7" s="31" t="str">
        <f t="shared" si="5"/>
        <v>T</v>
      </c>
      <c r="BE7" s="31" t="str">
        <f t="shared" si="5"/>
        <v>F</v>
      </c>
      <c r="BF7" s="31" t="str">
        <f t="shared" si="5"/>
        <v>S</v>
      </c>
      <c r="BG7" s="31" t="str">
        <f t="shared" si="5"/>
        <v>S</v>
      </c>
      <c r="BH7" s="31" t="str">
        <f t="shared" si="5"/>
        <v>M</v>
      </c>
      <c r="BI7" s="31" t="str">
        <f t="shared" si="5"/>
        <v>T</v>
      </c>
      <c r="BJ7" s="31" t="str">
        <f t="shared" si="5"/>
        <v>W</v>
      </c>
      <c r="BK7" s="31" t="str">
        <f t="shared" si="5"/>
        <v>T</v>
      </c>
      <c r="BL7" s="31" t="str">
        <f t="shared" si="5"/>
        <v>F</v>
      </c>
      <c r="BM7" s="31" t="str">
        <f t="shared" si="5"/>
        <v>S</v>
      </c>
      <c r="BN7" s="31" t="str">
        <f t="shared" si="5"/>
        <v>S</v>
      </c>
    </row>
    <row r="8" spans="1:66" ht="30" hidden="1" customHeight="1" thickBot="1">
      <c r="C8" s="17"/>
      <c r="E8"/>
      <c r="J8" t="str">
        <f>IF(OR(ISBLANK(task_start),ISBLANK(task_end)),"",task_end-task_start+1)</f>
        <v/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56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</row>
    <row r="9" spans="1:66" s="2" customFormat="1" ht="30" customHeight="1" thickBot="1">
      <c r="A9" s="15"/>
      <c r="B9" s="20" t="s">
        <v>8</v>
      </c>
      <c r="C9" s="21"/>
      <c r="D9" s="22"/>
      <c r="E9" s="23"/>
      <c r="F9" s="23"/>
      <c r="G9" s="23"/>
      <c r="H9" s="23"/>
      <c r="I9" s="10"/>
      <c r="J9" s="10" t="str">
        <f t="shared" ref="J9:J30" si="6">IF(OR(ISBLANK(task_start),ISBLANK(task_end)),"",task_end-task_start+1)</f>
        <v/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56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</row>
    <row r="10" spans="1:66" s="2" customFormat="1" ht="30" customHeight="1" thickBot="1">
      <c r="A10" s="15"/>
      <c r="B10" s="24" t="s">
        <v>16</v>
      </c>
      <c r="C10" s="25" t="s">
        <v>14</v>
      </c>
      <c r="D10" s="27">
        <v>1</v>
      </c>
      <c r="E10" s="26">
        <f>Project_Start</f>
        <v>44137</v>
      </c>
      <c r="F10" s="26">
        <v>44137</v>
      </c>
      <c r="G10" s="26">
        <v>44137</v>
      </c>
      <c r="H10" s="26">
        <v>44137</v>
      </c>
      <c r="I10" s="10"/>
      <c r="J10" s="10">
        <f t="shared" si="6"/>
        <v>1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56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</row>
    <row r="11" spans="1:66" s="2" customFormat="1" ht="30" customHeight="1" thickBot="1">
      <c r="A11" s="15"/>
      <c r="B11" s="24" t="s">
        <v>17</v>
      </c>
      <c r="C11" s="25" t="s">
        <v>15</v>
      </c>
      <c r="D11" s="27">
        <v>1</v>
      </c>
      <c r="E11" s="26">
        <v>44138</v>
      </c>
      <c r="F11" s="26">
        <v>44145</v>
      </c>
      <c r="G11" s="26">
        <v>44138</v>
      </c>
      <c r="H11" s="26">
        <v>44139</v>
      </c>
      <c r="I11" s="10"/>
      <c r="J11" s="10">
        <f t="shared" si="6"/>
        <v>8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2"/>
      <c r="X11" s="12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56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</row>
    <row r="12" spans="1:66" s="2" customFormat="1" ht="30" customHeight="1" thickBot="1">
      <c r="A12" s="14"/>
      <c r="B12" s="24" t="s">
        <v>18</v>
      </c>
      <c r="C12" s="25" t="s">
        <v>15</v>
      </c>
      <c r="D12" s="27">
        <v>0.9</v>
      </c>
      <c r="E12" s="26">
        <v>44146</v>
      </c>
      <c r="F12" s="26">
        <v>44147</v>
      </c>
      <c r="G12" s="26">
        <v>44140</v>
      </c>
      <c r="H12" s="26">
        <v>44140</v>
      </c>
      <c r="I12" s="10"/>
      <c r="J12" s="10">
        <f t="shared" si="6"/>
        <v>2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56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</row>
    <row r="13" spans="1:66" s="2" customFormat="1" ht="30" customHeight="1" thickBot="1">
      <c r="A13" s="14"/>
      <c r="B13" s="24" t="s">
        <v>19</v>
      </c>
      <c r="C13" s="25" t="s">
        <v>15</v>
      </c>
      <c r="D13" s="27">
        <v>1</v>
      </c>
      <c r="E13" s="26">
        <v>44148</v>
      </c>
      <c r="F13" s="26">
        <v>44148</v>
      </c>
      <c r="G13" s="26">
        <v>44141</v>
      </c>
      <c r="H13" s="26">
        <v>44141</v>
      </c>
      <c r="I13" s="10"/>
      <c r="J13" s="10">
        <f t="shared" si="6"/>
        <v>1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56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</row>
    <row r="14" spans="1:66" s="2" customFormat="1" ht="30" customHeight="1" thickBot="1">
      <c r="A14" s="14"/>
      <c r="B14" s="24" t="s">
        <v>20</v>
      </c>
      <c r="C14" s="25" t="s">
        <v>14</v>
      </c>
      <c r="D14" s="27">
        <v>1</v>
      </c>
      <c r="E14" s="26">
        <v>44151</v>
      </c>
      <c r="F14" s="26">
        <v>44153</v>
      </c>
      <c r="G14" s="26">
        <v>44151</v>
      </c>
      <c r="H14" s="26">
        <v>44153</v>
      </c>
      <c r="I14" s="10"/>
      <c r="J14" s="10">
        <f t="shared" si="6"/>
        <v>3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56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</row>
    <row r="15" spans="1:66" s="2" customFormat="1" ht="30" customHeight="1" thickBot="1">
      <c r="A15" s="14"/>
      <c r="B15" s="24" t="s">
        <v>27</v>
      </c>
      <c r="C15" s="25" t="s">
        <v>15</v>
      </c>
      <c r="D15" s="27">
        <v>1</v>
      </c>
      <c r="E15" s="26">
        <v>44153</v>
      </c>
      <c r="F15" s="26">
        <v>44153</v>
      </c>
      <c r="G15" s="26">
        <v>44144</v>
      </c>
      <c r="H15" s="26">
        <v>44144</v>
      </c>
      <c r="I15" s="10"/>
      <c r="J15" s="10">
        <f t="shared" si="6"/>
        <v>1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56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</row>
    <row r="16" spans="1:66" s="2" customFormat="1" ht="30" customHeight="1" thickBot="1">
      <c r="A16" s="14"/>
      <c r="B16" s="24" t="s">
        <v>21</v>
      </c>
      <c r="C16" s="25" t="s">
        <v>15</v>
      </c>
      <c r="D16" s="27">
        <v>1</v>
      </c>
      <c r="E16" s="26">
        <v>44154</v>
      </c>
      <c r="F16" s="26">
        <v>44154</v>
      </c>
      <c r="G16" s="26">
        <v>44145</v>
      </c>
      <c r="H16" s="26">
        <v>44146</v>
      </c>
      <c r="I16" s="10"/>
      <c r="J16" s="10">
        <f t="shared" si="6"/>
        <v>1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56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</row>
    <row r="17" spans="1:150" s="2" customFormat="1" ht="30" customHeight="1" thickBot="1">
      <c r="A17" s="14"/>
      <c r="B17" s="24" t="s">
        <v>22</v>
      </c>
      <c r="C17" s="25" t="s">
        <v>15</v>
      </c>
      <c r="D17" s="27">
        <v>1</v>
      </c>
      <c r="E17" s="26">
        <v>44155</v>
      </c>
      <c r="F17" s="26">
        <v>44155</v>
      </c>
      <c r="G17" s="26">
        <v>44148</v>
      </c>
      <c r="H17" s="26">
        <v>44148</v>
      </c>
      <c r="I17" s="10"/>
      <c r="J17" s="10">
        <f t="shared" si="6"/>
        <v>1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56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</row>
    <row r="18" spans="1:150" s="2" customFormat="1" ht="30" customHeight="1" thickBot="1">
      <c r="A18" s="14"/>
      <c r="B18" s="24" t="s">
        <v>23</v>
      </c>
      <c r="C18" s="25" t="s">
        <v>15</v>
      </c>
      <c r="D18" s="27">
        <v>1</v>
      </c>
      <c r="E18" s="26">
        <v>44158</v>
      </c>
      <c r="F18" s="26">
        <v>44158</v>
      </c>
      <c r="G18" s="26">
        <v>44148</v>
      </c>
      <c r="H18" s="26">
        <v>44148</v>
      </c>
      <c r="I18" s="10"/>
      <c r="J18" s="10">
        <f t="shared" si="6"/>
        <v>1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56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</row>
    <row r="19" spans="1:150" s="2" customFormat="1" ht="30" customHeight="1" thickBot="1">
      <c r="A19" s="14"/>
      <c r="B19" s="24" t="s">
        <v>24</v>
      </c>
      <c r="C19" s="25" t="s">
        <v>15</v>
      </c>
      <c r="D19" s="27">
        <v>1</v>
      </c>
      <c r="E19" s="26">
        <v>44159</v>
      </c>
      <c r="F19" s="26">
        <v>44159</v>
      </c>
      <c r="G19" s="26">
        <v>44148</v>
      </c>
      <c r="H19" s="26">
        <v>44148</v>
      </c>
      <c r="I19" s="10"/>
      <c r="J19" s="10">
        <f t="shared" si="6"/>
        <v>1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56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</row>
    <row r="20" spans="1:150" s="2" customFormat="1" ht="30" customHeight="1" thickBot="1">
      <c r="A20" s="14"/>
      <c r="B20" s="24" t="s">
        <v>26</v>
      </c>
      <c r="C20" s="25" t="s">
        <v>15</v>
      </c>
      <c r="D20" s="27">
        <v>1</v>
      </c>
      <c r="E20" s="26">
        <v>44160</v>
      </c>
      <c r="F20" s="26">
        <v>44160</v>
      </c>
      <c r="G20" s="26">
        <v>44151</v>
      </c>
      <c r="H20" s="26">
        <v>44151</v>
      </c>
      <c r="I20" s="10"/>
      <c r="J20" s="10">
        <f t="shared" si="6"/>
        <v>1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56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</row>
    <row r="21" spans="1:150" ht="30" customHeight="1" thickBot="1">
      <c r="B21" s="24" t="s">
        <v>25</v>
      </c>
      <c r="C21" s="25" t="s">
        <v>15</v>
      </c>
      <c r="D21" s="27">
        <v>1</v>
      </c>
      <c r="E21" s="26">
        <v>44161</v>
      </c>
      <c r="F21" s="26">
        <v>44161</v>
      </c>
      <c r="G21" s="26">
        <v>44151</v>
      </c>
      <c r="H21" s="26">
        <v>44151</v>
      </c>
      <c r="I21" s="10"/>
      <c r="J21" s="10">
        <f t="shared" si="6"/>
        <v>1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56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</row>
    <row r="22" spans="1:150" ht="30" customHeight="1" thickBot="1">
      <c r="B22" s="24" t="s">
        <v>28</v>
      </c>
      <c r="C22" s="25" t="s">
        <v>14</v>
      </c>
      <c r="D22" s="27">
        <v>0</v>
      </c>
      <c r="E22" s="26">
        <v>44162</v>
      </c>
      <c r="F22" s="26">
        <v>44163</v>
      </c>
      <c r="G22" s="26"/>
      <c r="H22" s="26"/>
      <c r="I22" s="10"/>
      <c r="J22" s="10">
        <f t="shared" si="6"/>
        <v>2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56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</row>
    <row r="23" spans="1:150" ht="30" customHeight="1" thickBot="1">
      <c r="B23" s="24" t="s">
        <v>29</v>
      </c>
      <c r="C23" s="25" t="s">
        <v>14</v>
      </c>
      <c r="D23" s="27">
        <v>0</v>
      </c>
      <c r="E23" s="26">
        <v>44164</v>
      </c>
      <c r="F23" s="26">
        <v>44164</v>
      </c>
      <c r="G23" s="26"/>
      <c r="H23" s="26"/>
      <c r="I23" s="10"/>
      <c r="J23" s="10">
        <f t="shared" si="6"/>
        <v>1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56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</row>
    <row r="24" spans="1:150" ht="30" customHeight="1" thickBot="1">
      <c r="B24" s="24" t="s">
        <v>30</v>
      </c>
      <c r="C24" s="25" t="s">
        <v>14</v>
      </c>
      <c r="D24" s="27">
        <v>0</v>
      </c>
      <c r="E24" s="26">
        <v>44156</v>
      </c>
      <c r="F24" s="26">
        <v>44156</v>
      </c>
      <c r="G24" s="26"/>
      <c r="H24" s="26"/>
      <c r="I24" s="10"/>
      <c r="J24" s="10">
        <f t="shared" si="6"/>
        <v>1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56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</row>
    <row r="25" spans="1:150" ht="30" customHeight="1" thickBot="1">
      <c r="B25" s="24" t="s">
        <v>31</v>
      </c>
      <c r="C25" s="25" t="s">
        <v>14</v>
      </c>
      <c r="D25" s="27">
        <v>0</v>
      </c>
      <c r="E25" s="26">
        <v>44157</v>
      </c>
      <c r="F25" s="26">
        <v>44157</v>
      </c>
      <c r="G25" s="26"/>
      <c r="H25" s="26"/>
      <c r="I25" s="10"/>
      <c r="J25" s="10">
        <f t="shared" si="6"/>
        <v>1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56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</row>
    <row r="26" spans="1:150" ht="30" customHeight="1" thickBot="1">
      <c r="B26" s="24" t="s">
        <v>32</v>
      </c>
      <c r="C26" s="25" t="s">
        <v>14</v>
      </c>
      <c r="D26" s="27">
        <v>0</v>
      </c>
      <c r="E26" s="26">
        <v>44158</v>
      </c>
      <c r="F26" s="26">
        <v>44159</v>
      </c>
      <c r="G26" s="26"/>
      <c r="H26" s="26"/>
      <c r="I26" s="10"/>
      <c r="J26" s="10">
        <f t="shared" si="6"/>
        <v>2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56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</row>
    <row r="27" spans="1:150" ht="30" customHeight="1" thickBot="1">
      <c r="B27" s="24" t="s">
        <v>33</v>
      </c>
      <c r="C27" s="25" t="s">
        <v>14</v>
      </c>
      <c r="D27" s="27">
        <v>0</v>
      </c>
      <c r="E27" s="26">
        <v>44160</v>
      </c>
      <c r="F27" s="26">
        <v>44161</v>
      </c>
      <c r="G27" s="26"/>
      <c r="H27" s="26"/>
      <c r="I27" s="10"/>
      <c r="J27" s="10">
        <f t="shared" si="6"/>
        <v>2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56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</row>
    <row r="28" spans="1:150" ht="30" customHeight="1" thickBot="1">
      <c r="B28" s="24" t="s">
        <v>34</v>
      </c>
      <c r="C28" s="25" t="s">
        <v>14</v>
      </c>
      <c r="D28" s="27">
        <v>0</v>
      </c>
      <c r="E28" s="26">
        <v>44162</v>
      </c>
      <c r="F28" s="26">
        <v>44162</v>
      </c>
      <c r="G28" s="26"/>
      <c r="H28" s="26"/>
      <c r="I28" s="10"/>
      <c r="J28" s="10">
        <f t="shared" si="6"/>
        <v>1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56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</row>
    <row r="29" spans="1:150" ht="30" customHeight="1" thickBot="1">
      <c r="B29" s="24" t="s">
        <v>35</v>
      </c>
      <c r="C29" s="49" t="s">
        <v>39</v>
      </c>
      <c r="D29" s="27">
        <v>0</v>
      </c>
      <c r="E29" s="26">
        <v>44163</v>
      </c>
      <c r="F29" s="26">
        <v>44166</v>
      </c>
      <c r="G29" s="26"/>
      <c r="H29" s="26"/>
      <c r="I29" s="10"/>
      <c r="J29" s="10">
        <f t="shared" si="6"/>
        <v>4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56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</row>
    <row r="30" spans="1:150" s="57" customFormat="1" ht="30" customHeight="1" thickBot="1">
      <c r="A30" s="54"/>
      <c r="B30" s="50" t="s">
        <v>40</v>
      </c>
      <c r="C30" s="51"/>
      <c r="D30" s="53">
        <v>0</v>
      </c>
      <c r="E30" s="60">
        <v>44167</v>
      </c>
      <c r="F30" s="60">
        <v>44167</v>
      </c>
      <c r="G30" s="52"/>
      <c r="H30" s="52"/>
      <c r="I30" s="55"/>
      <c r="J30" s="55">
        <f t="shared" si="6"/>
        <v>1</v>
      </c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M30" s="59"/>
      <c r="CN30" s="59"/>
      <c r="CO30" s="59"/>
      <c r="CP30" s="59"/>
      <c r="CQ30" s="59"/>
      <c r="CR30" s="59"/>
      <c r="CS30" s="59"/>
      <c r="CT30" s="59"/>
      <c r="CU30" s="59"/>
      <c r="CV30" s="59"/>
      <c r="CW30" s="59"/>
      <c r="CX30" s="59"/>
      <c r="CY30" s="59"/>
      <c r="CZ30" s="59"/>
      <c r="DA30" s="59"/>
      <c r="DB30" s="59"/>
      <c r="DC30" s="59"/>
      <c r="DD30" s="59"/>
      <c r="DE30" s="59"/>
      <c r="DF30" s="59"/>
      <c r="DG30" s="59"/>
      <c r="DH30" s="59"/>
      <c r="DI30" s="59"/>
      <c r="DJ30" s="59"/>
      <c r="DK30" s="59"/>
      <c r="DL30" s="59"/>
      <c r="DM30" s="59"/>
      <c r="DN30" s="59"/>
      <c r="DO30" s="59"/>
      <c r="DP30" s="59"/>
      <c r="DQ30" s="59"/>
      <c r="DR30" s="59"/>
      <c r="DS30" s="59"/>
      <c r="DT30" s="59"/>
      <c r="DU30" s="59"/>
      <c r="DV30" s="59"/>
      <c r="DW30" s="59"/>
      <c r="DX30" s="59"/>
      <c r="DY30" s="59"/>
      <c r="DZ30" s="59"/>
      <c r="EA30" s="59"/>
      <c r="EB30" s="59"/>
      <c r="EC30" s="59"/>
      <c r="ED30" s="59"/>
      <c r="EE30" s="59"/>
      <c r="EF30" s="59"/>
      <c r="EG30" s="59"/>
      <c r="EH30" s="59"/>
      <c r="EI30" s="59"/>
      <c r="EJ30" s="59"/>
      <c r="EK30" s="59"/>
      <c r="EL30" s="59"/>
      <c r="EM30" s="59"/>
      <c r="EN30" s="59"/>
      <c r="EO30" s="59"/>
      <c r="EP30" s="59"/>
      <c r="EQ30" s="59"/>
      <c r="ER30" s="59"/>
      <c r="ES30" s="59"/>
      <c r="ET30" s="59"/>
    </row>
  </sheetData>
  <mergeCells count="13">
    <mergeCell ref="BA5:BG5"/>
    <mergeCell ref="BH5:BN5"/>
    <mergeCell ref="K5:Q5"/>
    <mergeCell ref="R5:X5"/>
    <mergeCell ref="Y5:AE5"/>
    <mergeCell ref="AF5:AL5"/>
    <mergeCell ref="B6:I6"/>
    <mergeCell ref="AM5:AS5"/>
    <mergeCell ref="AT5:AZ5"/>
    <mergeCell ref="E4:H4"/>
    <mergeCell ref="B1:D1"/>
    <mergeCell ref="C4:D4"/>
    <mergeCell ref="C5:D5"/>
  </mergeCells>
  <conditionalFormatting sqref="D8:D30">
    <cfRule type="dataBar" priority="16">
      <dataBar>
        <cfvo type="num" val="0"/>
        <cfvo type="num" val="1"/>
        <color rgb="FF00B050"/>
      </dataBar>
    </cfRule>
  </conditionalFormatting>
  <conditionalFormatting sqref="K6:BN30">
    <cfRule type="expression" dxfId="6" priority="35">
      <formula>AND(TODAY()&gt;=K$6,TODAY()&lt;L$6)</formula>
    </cfRule>
  </conditionalFormatting>
  <conditionalFormatting sqref="K8:BN30">
    <cfRule type="expression" dxfId="5" priority="29">
      <formula>AND(task_start&lt;=K$6,ROUNDDOWN((task_end-task_start+1)*task_progress,0)+task_start-1&gt;=K$6)</formula>
    </cfRule>
    <cfRule type="expression" dxfId="4" priority="30" stopIfTrue="1">
      <formula>AND(task_end&gt;=K$6,task_start&lt;L$6)</formula>
    </cfRule>
  </conditionalFormatting>
  <conditionalFormatting sqref="G10">
    <cfRule type="cellIs" dxfId="3" priority="2" operator="greaterThan">
      <formula>$E$10</formula>
    </cfRule>
  </conditionalFormatting>
  <dataValidations count="3">
    <dataValidation type="whole" operator="greaterThanOrEqual" allowBlank="1" showInputMessage="1" promptTitle="Display Week" prompt="Changing this number will scroll the Gantt Chart view." sqref="E5">
      <formula1>1</formula1>
    </dataValidation>
    <dataValidation type="list" allowBlank="1" showInputMessage="1" showErrorMessage="1" sqref="C11">
      <formula1>$C$11:$C$12</formula1>
    </dataValidation>
    <dataValidation type="list" allowBlank="1" showInputMessage="1" showErrorMessage="1" sqref="C12:C28">
      <formula1>$C$10:$C$11</formula1>
    </dataValidation>
  </dataValidations>
  <printOptions horizontalCentered="1"/>
  <pageMargins left="0.35" right="0.35" top="0.35" bottom="0.5" header="0.3" footer="0.3"/>
  <pageSetup scale="57" fitToHeight="0" orientation="landscape" r:id="rId1"/>
  <headerFooter differentFirst="1" scaleWithDoc="0">
    <oddFooter>Page &amp;P of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389232-4C98-4A03-AD0E-39F63BAD1F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D7:D33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ProjectSchedule</vt:lpstr>
      <vt:lpstr>Display_Week</vt:lpstr>
      <vt:lpstr>ProjectSchedule!Print_Titles</vt:lpstr>
      <vt:lpstr>Project_Start</vt:lpstr>
      <vt:lpstr>ProjectSchedule!task_end</vt:lpstr>
      <vt:lpstr>ProjectSchedule!task_progress</vt:lpstr>
      <vt:lpstr>ProjectSchedule!task_start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2019-03-19T17:17:03Z</dcterms:created>
  <dcterms:modified xsi:type="dcterms:W3CDTF">2020-11-18T10:23:59Z</dcterms:modified>
</cp:coreProperties>
</file>