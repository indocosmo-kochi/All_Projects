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1" sheetId="1" r:id="rId4"/>
    <sheet state="visible" name="Dec 2020" sheetId="2" r:id="rId5"/>
  </sheets>
  <definedNames/>
  <calcPr/>
</workbook>
</file>

<file path=xl/sharedStrings.xml><?xml version="1.0" encoding="utf-8"?>
<sst xmlns="http://schemas.openxmlformats.org/spreadsheetml/2006/main" count="152" uniqueCount="78">
  <si>
    <t>Date</t>
  </si>
  <si>
    <t>Resource</t>
  </si>
  <si>
    <t>Tasks</t>
  </si>
  <si>
    <t>Hours</t>
  </si>
  <si>
    <t>Udhayan</t>
  </si>
  <si>
    <t>Completed  UpdateUser Module-3.5 hrs
Completed  DeleteUser Module - 2 hrs
Discussion with Savan and Team- 0.5 hr
Email verification for the user- (in progress) -1.5 hrs</t>
  </si>
  <si>
    <t>Deepak</t>
  </si>
  <si>
    <t>1. Weekly meeting call with Savan , Sony ,Udhayan , Santhosh = 20min
2. Project background discussion with Santhosh ,Sony =10 min
3. Server deployment and checking of the latest push =30 min</t>
  </si>
  <si>
    <t>Sony</t>
  </si>
  <si>
    <t>1. Weekly meeting call with Savan , Sony ,Udhayan , Santhosh = 20min</t>
  </si>
  <si>
    <t>Sumer</t>
  </si>
  <si>
    <t>Santhosh</t>
  </si>
  <si>
    <t>Discussion with Savan and Team- 2 hrs
Creating MOM - 0.5 hr
Analysing the Changes in the existing user flow -1.5 hrs</t>
  </si>
  <si>
    <t>1. Code review and project discussion with Savan = 2Hrs</t>
  </si>
  <si>
    <t xml:space="preserve"> project discussion with Savan</t>
  </si>
  <si>
    <t>As per new table design,
registration Module modification (completed) -4hrs
login module modification (completed)-2hrs
update user module(in progress)-2 hrs</t>
  </si>
  <si>
    <t>1. Call with savan san for Front end design and GDPR issue :15min
2. GDPR Rule exploration =45mins</t>
  </si>
  <si>
    <t>Update user module(in progress)-2 hrs</t>
  </si>
  <si>
    <t>1. Started to prepare Unit testing methodes in RMS application</t>
  </si>
  <si>
    <t>Add Phone number API-  2hrs
Add Address API-  3hrs
Add Email API- 2.5hrs</t>
  </si>
  <si>
    <t>1. Discussion with savan about the form validations and front end design = 30min
2. RMS front end design implimentating into wireframe , exploring wireframe tools
3. Test cases preparation using karama</t>
  </si>
  <si>
    <t>Completed the follwing test case:
Registration with Email-2 hrs
Registration with Phone -2hrs
Login-1.5hrs
Add User Email-1.5hrs</t>
  </si>
  <si>
    <t>1. Test cases preparation using karma</t>
  </si>
  <si>
    <t>Completed the follwing test case:
Made Correction in existing test case -2.5 hrs
Add user Phone - 1.5 hrs
Add user Address -2 hrs
Update User (Inprogress)-1 hr</t>
  </si>
  <si>
    <t>Completed the follwing test case:
 Update User -3 hrs
 Code modification based on test cases-3 hrs
 Analysis the Node logging for tracking the issues -2 hrs</t>
  </si>
  <si>
    <t>Absent</t>
  </si>
  <si>
    <t>1. Exploring testing unit testing</t>
  </si>
  <si>
    <t xml:space="preserve"> Code modification based on test cases- 4 hrs
 Analysis the Node logging for tracking the issues -3.5 hrs</t>
  </si>
  <si>
    <t>Total</t>
  </si>
  <si>
    <t>Total work hours by Udhayan</t>
  </si>
  <si>
    <t>Hrs</t>
  </si>
  <si>
    <t>Total work hours by Deepak</t>
  </si>
  <si>
    <t>Total work hours by Sony</t>
  </si>
  <si>
    <t>Total work hours by Sumer</t>
  </si>
  <si>
    <t>Total work hours by Santhosh</t>
  </si>
  <si>
    <t xml:space="preserve">develop and insert some additional table </t>
  </si>
  <si>
    <t>Discussion with Sony sir | Udayan</t>
  </si>
  <si>
    <t>Discussion with Deepak | Udayan</t>
  </si>
  <si>
    <t>Continue the development</t>
  </si>
  <si>
    <t>Discussion with Sumayar Gupta San, Had a weekly status call with Savan and Team and Started creating the the  Requirement specification document</t>
  </si>
  <si>
    <t>Discussion with Sumayar Gupta San, and finished  creating the the  Requirement specification document</t>
  </si>
  <si>
    <t>MongoDb with node coneection</t>
  </si>
  <si>
    <t>Done User module with Email verification and had dicussion with Savaan and Team</t>
  </si>
  <si>
    <t>Create the mock user story for registration and login in user module</t>
  </si>
  <si>
    <t>Create Social Login Request and response Document and sent it to Savan ,Refresh the node skills</t>
  </si>
  <si>
    <t>Magento API documentation</t>
  </si>
  <si>
    <t>Whatsapp call</t>
  </si>
  <si>
    <t>Discussion with Sumayar Gupta San, and creating the MOM and also had discussion with Savan discussed the new table design</t>
  </si>
  <si>
    <t>whatsapp call</t>
  </si>
  <si>
    <t>Discussion with Savan | Udayan for Db design of user module | Magento APIs documentation</t>
  </si>
  <si>
    <t>Creating minutes ogf meeting doc and creating fucntionality document</t>
  </si>
  <si>
    <t>Flowchart | Discussion notes | Fuctions documentation</t>
  </si>
  <si>
    <t xml:space="preserve">Creating minutes ogf meeting doc and creating fucntionality document and had discussion with savan regarding table design </t>
  </si>
  <si>
    <t>Preparing for deployment server | Registration module design started</t>
  </si>
  <si>
    <t>Today Activities:
1.Done some patch works for previous version of RMS-6.5 hrs
2.Had a discussion with Savan regarding table design-1.5 hrs</t>
  </si>
  <si>
    <t>Discussed with savan and confirmed the use MEAN stack. Redesigned Profile page | Added lazy module</t>
  </si>
  <si>
    <t>Restart the user module:
    validate the registration feilds -2 hrs
    get the registration details and send to services-1 hr 
    service will process data and transfer to server side through http client -1 hr
    Set the  diffeent layout for header for different component-2hrs
    Get the details from client and process data-1.5 hrs</t>
  </si>
  <si>
    <t xml:space="preserve">Profile Design redeveloped | Registration design redeveloped </t>
  </si>
  <si>
    <t>Restart the user module:
    Done the user registration module server side -6 hrs
    Had a discussion with Savan and Creare Minutes of Meeting Document for the same 1 hr</t>
  </si>
  <si>
    <t>Profile Design redeveloped | Registration design redeveloped | Disucssion with savan</t>
  </si>
  <si>
    <t>Today Activities:
1.Done some Frent end code modification for registration-1.5
2.Modify the Registration module code as per savan Requirement-5</t>
  </si>
  <si>
    <t>On Leave</t>
  </si>
  <si>
    <t>API creation on going for user module | discussion with savan | Discussion with Sumer</t>
  </si>
  <si>
    <t>Avthentication Development- 6.5 hr
Meeting With New Project Manager-1.5 hr</t>
  </si>
  <si>
    <t>Usermodule API flow chart completed</t>
  </si>
  <si>
    <t>Login Developemnt</t>
  </si>
  <si>
    <t>Regisration testing and rectify the result</t>
  </si>
  <si>
    <t>Crude functions for user module | Login API error resolving | Sequalize plugin exploration</t>
  </si>
  <si>
    <t>Regisration testing and rectify the result completed</t>
  </si>
  <si>
    <t>Completed Registration API | Sequalize seeding | Session handling | Token generation</t>
  </si>
  <si>
    <t xml:space="preserve">Regisration test-2hrs
Login Test -1 hr
server deployment - 1hr
error fixing -3.5hrs
</t>
  </si>
  <si>
    <t>getAllUserFunction-7.5</t>
  </si>
  <si>
    <t>getAllUserFunction-(completed)-2.5hrs,
updateUsers(in-progress)-5hrs.</t>
  </si>
  <si>
    <t>Total Hours</t>
  </si>
  <si>
    <t>Total hours by Udhayan</t>
  </si>
  <si>
    <t>Total hours by Deepak</t>
  </si>
  <si>
    <t>Total hours by Sony</t>
  </si>
  <si>
    <t>Total hours by Sumer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</si>
</sst>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9.0"/>
      <color rgb="FF000000"/>
      <name val="Arial"/>
    </font>
    <font/>
    <font>
      <color rgb="FF000000"/>
      <name val="Arial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164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3" numFmtId="164" xfId="0" applyAlignment="1" applyBorder="1" applyFont="1" applyNumberFormat="1">
      <alignment horizontal="center" shrinkToFit="0" vertical="center" wrapText="1"/>
    </xf>
    <xf borderId="0" fillId="3" fontId="5" numFmtId="0" xfId="0" applyAlignment="1" applyFill="1" applyFont="1">
      <alignment horizontal="left" readingOrder="0" vertical="center"/>
    </xf>
    <xf borderId="0" fillId="0" fontId="6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76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44197.0</v>
      </c>
      <c r="B4" s="6" t="s">
        <v>4</v>
      </c>
      <c r="C4" s="6" t="s">
        <v>5</v>
      </c>
      <c r="D4" s="6">
        <v>8.25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B5" s="6" t="s">
        <v>6</v>
      </c>
      <c r="C5" s="6" t="s">
        <v>7</v>
      </c>
      <c r="D5" s="6">
        <v>1.0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B6" s="6" t="s">
        <v>8</v>
      </c>
      <c r="C6" s="6" t="s">
        <v>9</v>
      </c>
      <c r="D6" s="6">
        <v>0.2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B7" s="6" t="s">
        <v>10</v>
      </c>
      <c r="C7" s="6" t="s">
        <v>9</v>
      </c>
      <c r="D7" s="6">
        <v>0.2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B8" s="6" t="s">
        <v>11</v>
      </c>
      <c r="C8" s="6" t="s">
        <v>9</v>
      </c>
      <c r="D8" s="6">
        <v>0.2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7">
        <v>44198.0</v>
      </c>
      <c r="B9" s="6" t="s">
        <v>4</v>
      </c>
      <c r="C9" s="6" t="s">
        <v>12</v>
      </c>
      <c r="D9" s="6">
        <v>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"/>
      <c r="B10" s="6" t="s">
        <v>6</v>
      </c>
      <c r="C10" s="6" t="s">
        <v>13</v>
      </c>
      <c r="D10" s="6">
        <v>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"/>
      <c r="B11" s="6" t="s">
        <v>8</v>
      </c>
      <c r="C11" s="6" t="s">
        <v>14</v>
      </c>
      <c r="D11" s="6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/>
      <c r="B12" s="6" t="s">
        <v>10</v>
      </c>
      <c r="C12" s="6" t="s">
        <v>14</v>
      </c>
      <c r="D12" s="6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/>
      <c r="B13" s="6" t="s">
        <v>11</v>
      </c>
      <c r="C13" s="6" t="s">
        <v>14</v>
      </c>
      <c r="D13" s="6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">
        <v>44200.0</v>
      </c>
      <c r="B14" s="6" t="s">
        <v>4</v>
      </c>
      <c r="C14" s="6" t="s">
        <v>15</v>
      </c>
      <c r="D14" s="6">
        <v>8.0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/>
      <c r="B15" s="6" t="s">
        <v>6</v>
      </c>
      <c r="C15" s="6" t="s">
        <v>16</v>
      </c>
      <c r="D15" s="6">
        <v>1.0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">
        <v>44201.0</v>
      </c>
      <c r="B16" s="6" t="s">
        <v>4</v>
      </c>
      <c r="C16" s="6" t="s">
        <v>17</v>
      </c>
      <c r="D16" s="6">
        <v>8.0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"/>
      <c r="B17" s="6" t="s">
        <v>6</v>
      </c>
      <c r="C17" s="6" t="s">
        <v>18</v>
      </c>
      <c r="D17" s="6">
        <v>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">
        <v>44202.0</v>
      </c>
      <c r="B18" s="6" t="s">
        <v>4</v>
      </c>
      <c r="C18" s="6" t="s">
        <v>19</v>
      </c>
      <c r="D18" s="6">
        <v>8.0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/>
      <c r="B19" s="6" t="s">
        <v>6</v>
      </c>
      <c r="C19" s="6" t="s">
        <v>20</v>
      </c>
      <c r="D19" s="6">
        <v>3.0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">
        <v>44203.0</v>
      </c>
      <c r="B20" s="6" t="s">
        <v>4</v>
      </c>
      <c r="C20" s="6" t="s">
        <v>21</v>
      </c>
      <c r="D20" s="6">
        <v>7.0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"/>
      <c r="B21" s="6" t="s">
        <v>6</v>
      </c>
      <c r="C21" s="6" t="s">
        <v>22</v>
      </c>
      <c r="D21" s="6">
        <v>4.0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">
        <v>44204.0</v>
      </c>
      <c r="B22" s="6" t="s">
        <v>4</v>
      </c>
      <c r="C22" s="6" t="s">
        <v>23</v>
      </c>
      <c r="D22" s="6">
        <v>8.0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44205.0</v>
      </c>
      <c r="B23" s="6" t="s">
        <v>4</v>
      </c>
      <c r="C23" s="6" t="s">
        <v>24</v>
      </c>
      <c r="D23" s="6">
        <v>8.0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">
        <v>44207.0</v>
      </c>
      <c r="B24" s="6" t="s">
        <v>4</v>
      </c>
      <c r="C24" s="11" t="s">
        <v>25</v>
      </c>
      <c r="D24" s="6">
        <v>0.0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/>
      <c r="B25" s="6" t="s">
        <v>6</v>
      </c>
      <c r="C25" s="11" t="s">
        <v>26</v>
      </c>
      <c r="D25" s="6">
        <v>1.0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">
        <v>44208.0</v>
      </c>
      <c r="B26" s="6" t="s">
        <v>4</v>
      </c>
      <c r="C26" s="6" t="s">
        <v>27</v>
      </c>
      <c r="D26" s="6">
        <v>7.5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"/>
      <c r="B27" s="6" t="s">
        <v>6</v>
      </c>
      <c r="C27" s="6" t="s">
        <v>26</v>
      </c>
      <c r="D27" s="6">
        <v>1.0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2"/>
      <c r="C29" s="13" t="s">
        <v>28</v>
      </c>
      <c r="D29" s="14">
        <f>sum(D4:D27)</f>
        <v>91.35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2"/>
      <c r="C35" s="13" t="s">
        <v>29</v>
      </c>
      <c r="D35" s="14">
        <f>sum(D9,D4,D14,D16,D18,D20,D22,D23,D24,D26)</f>
        <v>70.75</v>
      </c>
      <c r="E35" s="15" t="s">
        <v>30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"/>
      <c r="C36" s="13" t="s">
        <v>31</v>
      </c>
      <c r="D36" s="14">
        <f>sum(D27,D25,D21,D19,D17,D15,D10,D5)</f>
        <v>14</v>
      </c>
      <c r="E36" s="15" t="s">
        <v>30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/>
      <c r="B37" s="2"/>
      <c r="C37" s="13" t="s">
        <v>32</v>
      </c>
      <c r="D37" s="14">
        <f t="shared" ref="D37:D38" si="1">sum(D6,D11)</f>
        <v>2.2</v>
      </c>
      <c r="E37" s="15" t="s">
        <v>30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2"/>
      <c r="C38" s="13" t="s">
        <v>33</v>
      </c>
      <c r="D38" s="14">
        <f t="shared" si="1"/>
        <v>2.2</v>
      </c>
      <c r="E38" s="15" t="s">
        <v>30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/>
      <c r="B39" s="2"/>
      <c r="C39" s="13" t="s">
        <v>34</v>
      </c>
      <c r="D39" s="14">
        <f>sum(D13,D8)</f>
        <v>2.2</v>
      </c>
      <c r="E39" s="15" t="s">
        <v>30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</sheetData>
  <mergeCells count="8">
    <mergeCell ref="A4:A8"/>
    <mergeCell ref="A9:A13"/>
    <mergeCell ref="A14:A15"/>
    <mergeCell ref="A16:A17"/>
    <mergeCell ref="A18:A19"/>
    <mergeCell ref="A20:A21"/>
    <mergeCell ref="A24:A25"/>
    <mergeCell ref="A26:A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76.88"/>
  </cols>
  <sheetData>
    <row r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18" t="s">
        <v>0</v>
      </c>
      <c r="B3" s="19" t="s">
        <v>1</v>
      </c>
      <c r="C3" s="19" t="s">
        <v>2</v>
      </c>
      <c r="D3" s="19" t="s">
        <v>3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21">
        <v>44166.0</v>
      </c>
      <c r="B5" s="22" t="s">
        <v>4</v>
      </c>
      <c r="C5" s="22" t="s">
        <v>35</v>
      </c>
      <c r="D5" s="22">
        <v>7.5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B6" s="22" t="s">
        <v>6</v>
      </c>
      <c r="C6" s="22" t="s">
        <v>36</v>
      </c>
      <c r="D6" s="22">
        <v>0.5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B7" s="22" t="s">
        <v>8</v>
      </c>
      <c r="C7" s="22" t="s">
        <v>37</v>
      </c>
      <c r="D7" s="22">
        <v>0.5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21">
        <v>44167.0</v>
      </c>
      <c r="B8" s="22" t="s">
        <v>4</v>
      </c>
      <c r="C8" s="23" t="s">
        <v>38</v>
      </c>
      <c r="D8" s="23">
        <v>2.0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21">
        <v>44168.0</v>
      </c>
      <c r="B9" s="22" t="s">
        <v>4</v>
      </c>
      <c r="C9" s="23" t="s">
        <v>39</v>
      </c>
      <c r="D9" s="23">
        <v>7.5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21">
        <v>44169.0</v>
      </c>
      <c r="B10" s="22" t="s">
        <v>4</v>
      </c>
      <c r="C10" s="23" t="s">
        <v>40</v>
      </c>
      <c r="D10" s="23">
        <v>8.5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21">
        <v>44172.0</v>
      </c>
      <c r="B11" s="22" t="s">
        <v>4</v>
      </c>
      <c r="C11" s="23" t="s">
        <v>41</v>
      </c>
      <c r="D11" s="23">
        <v>8.0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21">
        <v>44173.0</v>
      </c>
      <c r="B12" s="22" t="s">
        <v>4</v>
      </c>
      <c r="C12" s="23" t="s">
        <v>42</v>
      </c>
      <c r="D12" s="23">
        <v>8.0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21">
        <v>44174.0</v>
      </c>
      <c r="B13" s="22" t="s">
        <v>4</v>
      </c>
      <c r="C13" s="23" t="s">
        <v>43</v>
      </c>
      <c r="D13" s="23">
        <v>5.0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21">
        <v>44175.0</v>
      </c>
      <c r="B14" s="22" t="s">
        <v>4</v>
      </c>
      <c r="C14" s="23" t="s">
        <v>44</v>
      </c>
      <c r="D14" s="23">
        <v>7.5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B15" s="22" t="s">
        <v>6</v>
      </c>
      <c r="C15" s="24" t="s">
        <v>45</v>
      </c>
      <c r="D15" s="24">
        <v>3.0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B16" s="22" t="s">
        <v>10</v>
      </c>
      <c r="C16" s="24" t="s">
        <v>46</v>
      </c>
      <c r="D16" s="24">
        <v>0.2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21">
        <v>44176.0</v>
      </c>
      <c r="B17" s="22" t="s">
        <v>4</v>
      </c>
      <c r="C17" s="23" t="s">
        <v>47</v>
      </c>
      <c r="D17" s="23">
        <v>8.0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B18" s="22" t="s">
        <v>10</v>
      </c>
      <c r="C18" s="24" t="s">
        <v>48</v>
      </c>
      <c r="D18" s="24">
        <v>0.2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B19" s="22" t="s">
        <v>6</v>
      </c>
      <c r="C19" s="24" t="s">
        <v>49</v>
      </c>
      <c r="D19" s="24">
        <v>4.0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21">
        <v>44177.0</v>
      </c>
      <c r="B20" s="22" t="s">
        <v>4</v>
      </c>
      <c r="C20" s="23" t="s">
        <v>50</v>
      </c>
      <c r="D20" s="23">
        <v>8.0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B21" s="22" t="s">
        <v>6</v>
      </c>
      <c r="C21" s="24" t="s">
        <v>51</v>
      </c>
      <c r="D21" s="24">
        <v>4.0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21">
        <v>44179.0</v>
      </c>
      <c r="B22" s="22" t="s">
        <v>4</v>
      </c>
      <c r="C22" s="23" t="s">
        <v>52</v>
      </c>
      <c r="D22" s="23">
        <v>7.0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B23" s="22" t="s">
        <v>6</v>
      </c>
      <c r="C23" s="24" t="s">
        <v>53</v>
      </c>
      <c r="D23" s="24">
        <v>4.0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B24" s="22" t="s">
        <v>10</v>
      </c>
      <c r="C24" s="24" t="s">
        <v>48</v>
      </c>
      <c r="D24" s="24">
        <v>0.4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21">
        <v>44180.0</v>
      </c>
      <c r="B25" s="22" t="s">
        <v>4</v>
      </c>
      <c r="C25" s="23" t="s">
        <v>54</v>
      </c>
      <c r="D25" s="23">
        <v>8.0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B26" s="22" t="s">
        <v>6</v>
      </c>
      <c r="C26" s="24" t="s">
        <v>55</v>
      </c>
      <c r="D26" s="24">
        <v>4.0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21">
        <v>44181.0</v>
      </c>
      <c r="B27" s="22" t="s">
        <v>4</v>
      </c>
      <c r="C27" s="23" t="s">
        <v>56</v>
      </c>
      <c r="D27" s="23">
        <v>7.5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B28" s="22" t="s">
        <v>6</v>
      </c>
      <c r="C28" s="24" t="s">
        <v>57</v>
      </c>
      <c r="D28" s="24">
        <v>4.0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21">
        <v>44182.0</v>
      </c>
      <c r="B29" s="22" t="s">
        <v>4</v>
      </c>
      <c r="C29" s="23" t="s">
        <v>58</v>
      </c>
      <c r="D29" s="23">
        <v>7.0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B30" s="22" t="s">
        <v>6</v>
      </c>
      <c r="C30" s="24" t="s">
        <v>59</v>
      </c>
      <c r="D30" s="24">
        <v>4.0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21">
        <v>44183.0</v>
      </c>
      <c r="B31" s="22" t="s">
        <v>4</v>
      </c>
      <c r="C31" s="23" t="s">
        <v>60</v>
      </c>
      <c r="D31" s="23">
        <v>6.5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21">
        <v>44186.0</v>
      </c>
      <c r="B32" s="22" t="s">
        <v>4</v>
      </c>
      <c r="C32" s="23" t="s">
        <v>61</v>
      </c>
      <c r="D32" s="23">
        <v>0.0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B33" s="22" t="s">
        <v>6</v>
      </c>
      <c r="C33" s="24" t="s">
        <v>62</v>
      </c>
      <c r="D33" s="24">
        <v>3.0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21">
        <v>44187.0</v>
      </c>
      <c r="B34" s="22" t="s">
        <v>4</v>
      </c>
      <c r="C34" s="23" t="s">
        <v>63</v>
      </c>
      <c r="D34" s="23">
        <v>8.0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21"/>
      <c r="B35" s="22" t="s">
        <v>6</v>
      </c>
      <c r="C35" s="24" t="s">
        <v>64</v>
      </c>
      <c r="D35" s="24">
        <v>1.0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21">
        <v>44188.0</v>
      </c>
      <c r="B36" s="22" t="s">
        <v>4</v>
      </c>
      <c r="C36" s="23" t="s">
        <v>65</v>
      </c>
      <c r="D36" s="23">
        <v>8.0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21">
        <v>44189.0</v>
      </c>
      <c r="B37" s="22" t="s">
        <v>4</v>
      </c>
      <c r="C37" s="23" t="s">
        <v>66</v>
      </c>
      <c r="D37" s="23">
        <v>6.0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B38" s="22" t="s">
        <v>6</v>
      </c>
      <c r="C38" s="24" t="s">
        <v>67</v>
      </c>
      <c r="D38" s="24">
        <v>8.0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21">
        <v>44191.0</v>
      </c>
      <c r="B39" s="22" t="s">
        <v>4</v>
      </c>
      <c r="C39" s="23" t="s">
        <v>68</v>
      </c>
      <c r="D39" s="23">
        <v>8.0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B40" s="22" t="s">
        <v>6</v>
      </c>
      <c r="C40" s="24" t="s">
        <v>69</v>
      </c>
      <c r="D40" s="24">
        <v>8.0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21">
        <v>44193.0</v>
      </c>
      <c r="B41" s="22" t="s">
        <v>4</v>
      </c>
      <c r="C41" s="23" t="s">
        <v>61</v>
      </c>
      <c r="D41" s="23">
        <v>0.0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21">
        <v>44194.0</v>
      </c>
      <c r="B42" s="22" t="s">
        <v>4</v>
      </c>
      <c r="C42" s="23" t="s">
        <v>70</v>
      </c>
      <c r="D42" s="23">
        <v>7.5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21">
        <v>44195.0</v>
      </c>
      <c r="B43" s="22" t="s">
        <v>4</v>
      </c>
      <c r="C43" s="23" t="s">
        <v>71</v>
      </c>
      <c r="D43" s="23">
        <v>7.5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21">
        <v>44196.0</v>
      </c>
      <c r="B44" s="22" t="s">
        <v>4</v>
      </c>
      <c r="C44" s="23" t="s">
        <v>72</v>
      </c>
      <c r="D44" s="23">
        <v>7.5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21"/>
      <c r="B45" s="22"/>
      <c r="C45" s="24"/>
      <c r="D45" s="24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25"/>
      <c r="B46" s="17"/>
      <c r="C46" s="26" t="s">
        <v>73</v>
      </c>
      <c r="D46" s="17">
        <f>sum(D5:D44)</f>
        <v>207.3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25"/>
      <c r="B47" s="17"/>
      <c r="C47" s="26" t="s">
        <v>74</v>
      </c>
      <c r="D47" s="17">
        <f>sum(D44,D43,D42,D41,D39,D37,D36,D34,D32,D31,D29,D27,D25,D22,D20,D17,D14,D13,D12,D11,D10,D9,D5)</f>
        <v>156.5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25"/>
      <c r="B48" s="17"/>
      <c r="C48" s="26" t="s">
        <v>75</v>
      </c>
      <c r="D48" s="17">
        <f>sum(D40,D38,D33,D30,D28,D26,D23,D21,D19,D15,D6)</f>
        <v>46.5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25"/>
      <c r="B49" s="17"/>
      <c r="C49" s="26" t="s">
        <v>76</v>
      </c>
      <c r="D49" s="27">
        <v>2.0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25"/>
      <c r="B50" s="17"/>
      <c r="C50" s="26" t="s">
        <v>77</v>
      </c>
      <c r="D50" s="27">
        <v>1.5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25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25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25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25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25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25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2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25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25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25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25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25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2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25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25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25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2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2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2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25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2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2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2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2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2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2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25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25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25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25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25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2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25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25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2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25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2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25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25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25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25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25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25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25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25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25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25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2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25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25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2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2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2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2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2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2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2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2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2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2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2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2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2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2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2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2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2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2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2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2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2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2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2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2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2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2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2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2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2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2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2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2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2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2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2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2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2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2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2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2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2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2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2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2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2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2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2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2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2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2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2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2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2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2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2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2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2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2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2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2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2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2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2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2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2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2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2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2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2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2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2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2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2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2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2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2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2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2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2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2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2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2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2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2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2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2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2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2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2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2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2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2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2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2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2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2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2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2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2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2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2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2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2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2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2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2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2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2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2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2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2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2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2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2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2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2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2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2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2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2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2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2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2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2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2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2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2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2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2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2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2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2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2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2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2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2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2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2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2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2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2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2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2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2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2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2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2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2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2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2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2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2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2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2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2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2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2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2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2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2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2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2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2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2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2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2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2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2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2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2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2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2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2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2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2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2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2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2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2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2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2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2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2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2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2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2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2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2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2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2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2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2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2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2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2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2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25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25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25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25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25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25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25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25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25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25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25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25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25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25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25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25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25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25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25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25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25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25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25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25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25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2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25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25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25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25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25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25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25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25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25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25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25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25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25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25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25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25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25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25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25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25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25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25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25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25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25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25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25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25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25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25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25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25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25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25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25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25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25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25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25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25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25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25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25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25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25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25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25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25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25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25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25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2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25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25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25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25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25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25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25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25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25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25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25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25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25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25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25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25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25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25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25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25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25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25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25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25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25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25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25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25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25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25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25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25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25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25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25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25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25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25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25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25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25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25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25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25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25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25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25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25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25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25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25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2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25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25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25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25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25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25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25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25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25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25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25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25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25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25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25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25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25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25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25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25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25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25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25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25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25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25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25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25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25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25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25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25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25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25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25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25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25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25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25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25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25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25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25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25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25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25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25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25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25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25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25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2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25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25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25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25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25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25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25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25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25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25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25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25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25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25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25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25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25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25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25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25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25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25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25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25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25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25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25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25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25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25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25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25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25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25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25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25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25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25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25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25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25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25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25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25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25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25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25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25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25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25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25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2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25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25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25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25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25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25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25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25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25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25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25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25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25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25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25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25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25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25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25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25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25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25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25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25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25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25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25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25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25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25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25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25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25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25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25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25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25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25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25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25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25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25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25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25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25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25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25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25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25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25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25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2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25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25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25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25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25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25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25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25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25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25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25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25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25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25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25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25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25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25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25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25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25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25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25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25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25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25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25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25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25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25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25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25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25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25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25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25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25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25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25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25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25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25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25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25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25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25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25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25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25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25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25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25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25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25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25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25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25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25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25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25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25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25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25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25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25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25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25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25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25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25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25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25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25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25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25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25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25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25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25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25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25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25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25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25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25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25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25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25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25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25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25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25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25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25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25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25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25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25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25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25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25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25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25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25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25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25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25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25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25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25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25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25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25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25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25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25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25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25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25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25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25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25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25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25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25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25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25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25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25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25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25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25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25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25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25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25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25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25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25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25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25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25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25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25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25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25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25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25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25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25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25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25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25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25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25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25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25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25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25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25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25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25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25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25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25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25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25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25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25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25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25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25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25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25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25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25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25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25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25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25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25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25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25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25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25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25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25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25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25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25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25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25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25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25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25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25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25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25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25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25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25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25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25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25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25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25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25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25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25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25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25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25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25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25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25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25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25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25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25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25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25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25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25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25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25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25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25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25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25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25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25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25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25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25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25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25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25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25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25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25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25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25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25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25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25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25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25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25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25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25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25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25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25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25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25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25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25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25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25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25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25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25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25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25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25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25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25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25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25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25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25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25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25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25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25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25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25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25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25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25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25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25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25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25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25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25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25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25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25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25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25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25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25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25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25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25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25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25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25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25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25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25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25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25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25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25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25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25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25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25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25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25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25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25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25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25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25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25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25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25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25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25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25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25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25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25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25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25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25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25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25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25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25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25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25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25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25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25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25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25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25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25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25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25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25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25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25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25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25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25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25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25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25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25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25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25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25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25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25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25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25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25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25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25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25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25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25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25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25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25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25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25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25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25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25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25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25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25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25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25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25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25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25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25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25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25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25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25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25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25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25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25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25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25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25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25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25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25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25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25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25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25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25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25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25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</sheetData>
  <mergeCells count="11">
    <mergeCell ref="A29:A30"/>
    <mergeCell ref="A32:A33"/>
    <mergeCell ref="A37:A38"/>
    <mergeCell ref="A39:A40"/>
    <mergeCell ref="A5:A7"/>
    <mergeCell ref="A14:A16"/>
    <mergeCell ref="A17:A19"/>
    <mergeCell ref="A20:A21"/>
    <mergeCell ref="A22:A24"/>
    <mergeCell ref="A25:A26"/>
    <mergeCell ref="A27:A28"/>
  </mergeCells>
  <drawing r:id="rId1"/>
</worksheet>
</file>