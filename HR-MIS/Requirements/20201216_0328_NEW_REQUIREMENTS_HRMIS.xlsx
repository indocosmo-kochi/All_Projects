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05" windowWidth="14295" windowHeight="4635"/>
  </bookViews>
  <sheets>
    <sheet name="new_Requirements" sheetId="1" r:id="rId1"/>
    <sheet name="employee_list" sheetId="2" r:id="rId2"/>
    <sheet name="Calender " sheetId="3" r:id="rId3"/>
    <sheet name="sample_Attendence" sheetId="6" r:id="rId4"/>
    <sheet name="leave_application" sheetId="5" r:id="rId5"/>
    <sheet name="resignation" sheetId="4" r:id="rId6"/>
    <sheet name="hr_dashboard" sheetId="7" r:id="rId7"/>
  </sheets>
  <calcPr calcId="124519"/>
</workbook>
</file>

<file path=xl/calcChain.xml><?xml version="1.0" encoding="utf-8"?>
<calcChain xmlns="http://schemas.openxmlformats.org/spreadsheetml/2006/main">
  <c r="AV40" i="6"/>
  <c r="AT40"/>
  <c r="AW40" s="1"/>
  <c r="AQ40"/>
  <c r="AP40"/>
  <c r="AN40"/>
  <c r="AM40"/>
  <c r="AK40"/>
  <c r="AR40" s="1"/>
  <c r="AS40" s="1"/>
  <c r="AJ40"/>
  <c r="AX40" s="1"/>
  <c r="AV39"/>
  <c r="AT39"/>
  <c r="AQ39"/>
  <c r="AP39"/>
  <c r="AN39"/>
  <c r="AM39"/>
  <c r="AK39"/>
  <c r="AJ39"/>
  <c r="AV38"/>
  <c r="AT38"/>
  <c r="AW38" s="1"/>
  <c r="AQ38"/>
  <c r="AP38"/>
  <c r="AN38"/>
  <c r="AM38"/>
  <c r="AK38"/>
  <c r="AJ38"/>
  <c r="AV37"/>
  <c r="AT37"/>
  <c r="AW37" s="1"/>
  <c r="AQ37"/>
  <c r="AP37"/>
  <c r="AN37"/>
  <c r="AM37"/>
  <c r="AK37"/>
  <c r="AJ37"/>
  <c r="AX37" s="1"/>
  <c r="AV36"/>
  <c r="AT36"/>
  <c r="AW36" s="1"/>
  <c r="AQ36"/>
  <c r="AP36"/>
  <c r="AR36" s="1"/>
  <c r="AS36" s="1"/>
  <c r="AN36"/>
  <c r="AM36"/>
  <c r="AK36"/>
  <c r="AJ36"/>
  <c r="AX36" s="1"/>
  <c r="AV35"/>
  <c r="AT35"/>
  <c r="AW35" s="1"/>
  <c r="AQ35"/>
  <c r="AP35"/>
  <c r="AN35"/>
  <c r="AM35"/>
  <c r="AK35"/>
  <c r="AJ35"/>
  <c r="AV34"/>
  <c r="AT34"/>
  <c r="AW34" s="1"/>
  <c r="AQ34"/>
  <c r="AP34"/>
  <c r="AN34"/>
  <c r="AM34"/>
  <c r="AK34"/>
  <c r="AJ34"/>
  <c r="AV33"/>
  <c r="AT33"/>
  <c r="AW33" s="1"/>
  <c r="AQ33"/>
  <c r="AP33"/>
  <c r="AN33"/>
  <c r="AM33"/>
  <c r="AK33"/>
  <c r="AR33" s="1"/>
  <c r="AJ33"/>
  <c r="AV32"/>
  <c r="AT32"/>
  <c r="AW32" s="1"/>
  <c r="AQ32"/>
  <c r="AP32"/>
  <c r="AN32"/>
  <c r="AM32"/>
  <c r="AK32"/>
  <c r="AJ32"/>
  <c r="AV31"/>
  <c r="AT31"/>
  <c r="AW31" s="1"/>
  <c r="AQ31"/>
  <c r="AP31"/>
  <c r="AN31"/>
  <c r="AM31"/>
  <c r="AK31"/>
  <c r="AR31" s="1"/>
  <c r="AS31" s="1"/>
  <c r="AJ31"/>
  <c r="AV30"/>
  <c r="AT30"/>
  <c r="AQ30"/>
  <c r="AP30"/>
  <c r="AN30"/>
  <c r="AM30"/>
  <c r="AK30"/>
  <c r="AJ30"/>
  <c r="AV29"/>
  <c r="AT29"/>
  <c r="AQ29"/>
  <c r="AP29"/>
  <c r="AN29"/>
  <c r="AM29"/>
  <c r="AK29"/>
  <c r="AR29" s="1"/>
  <c r="AS29" s="1"/>
  <c r="AJ29"/>
  <c r="AV28"/>
  <c r="AT28"/>
  <c r="AW28" s="1"/>
  <c r="AQ28"/>
  <c r="AP28"/>
  <c r="AN28"/>
  <c r="AM28"/>
  <c r="AK28"/>
  <c r="AJ28"/>
  <c r="AV27"/>
  <c r="AT27"/>
  <c r="AW27" s="1"/>
  <c r="AQ27"/>
  <c r="AP27"/>
  <c r="AN27"/>
  <c r="AM27"/>
  <c r="AK27"/>
  <c r="AR27" s="1"/>
  <c r="AS27" s="1"/>
  <c r="AJ27"/>
  <c r="AV26"/>
  <c r="AT26"/>
  <c r="AW26" s="1"/>
  <c r="AQ26"/>
  <c r="AP26"/>
  <c r="AN26"/>
  <c r="AM26"/>
  <c r="AK26"/>
  <c r="AJ26"/>
  <c r="AV25"/>
  <c r="AT25"/>
  <c r="AW25" s="1"/>
  <c r="AR25"/>
  <c r="AQ25"/>
  <c r="AP25"/>
  <c r="AN25"/>
  <c r="AM25"/>
  <c r="AK25"/>
  <c r="AJ25"/>
  <c r="AV24"/>
  <c r="AT24"/>
  <c r="AW24" s="1"/>
  <c r="AQ24"/>
  <c r="AP24"/>
  <c r="AN24"/>
  <c r="AM24"/>
  <c r="AK24"/>
  <c r="AJ24"/>
  <c r="AV23"/>
  <c r="AT23"/>
  <c r="AW23" s="1"/>
  <c r="AQ23"/>
  <c r="AP23"/>
  <c r="AN23"/>
  <c r="AM23"/>
  <c r="AK23"/>
  <c r="AR23" s="1"/>
  <c r="AJ23"/>
  <c r="AV22"/>
  <c r="AT22"/>
  <c r="AQ22"/>
  <c r="AP22"/>
  <c r="AN22"/>
  <c r="AM22"/>
  <c r="AK22"/>
  <c r="AJ22"/>
  <c r="AV21"/>
  <c r="AT21"/>
  <c r="AQ21"/>
  <c r="AP21"/>
  <c r="AN21"/>
  <c r="AM21"/>
  <c r="AK21"/>
  <c r="AR21" s="1"/>
  <c r="AJ21"/>
  <c r="AV20"/>
  <c r="AT20"/>
  <c r="AW20" s="1"/>
  <c r="AQ20"/>
  <c r="AP20"/>
  <c r="AN20"/>
  <c r="AM20"/>
  <c r="AK20"/>
  <c r="AJ20"/>
  <c r="AV19"/>
  <c r="AT19"/>
  <c r="AW19" s="1"/>
  <c r="AQ19"/>
  <c r="AP19"/>
  <c r="AN19"/>
  <c r="AM19"/>
  <c r="AK19"/>
  <c r="AJ19"/>
  <c r="AV18"/>
  <c r="AT18"/>
  <c r="AW18" s="1"/>
  <c r="AQ18"/>
  <c r="AP18"/>
  <c r="AN18"/>
  <c r="AM18"/>
  <c r="AK18"/>
  <c r="AR18" s="1"/>
  <c r="AJ18"/>
  <c r="AV17"/>
  <c r="AT17"/>
  <c r="AW17" s="1"/>
  <c r="AQ17"/>
  <c r="AP17"/>
  <c r="AN17"/>
  <c r="AM17"/>
  <c r="AK17"/>
  <c r="AJ17"/>
  <c r="AV16"/>
  <c r="AT16"/>
  <c r="AW16" s="1"/>
  <c r="AQ16"/>
  <c r="AP16"/>
  <c r="AN16"/>
  <c r="AM16"/>
  <c r="AK16"/>
  <c r="AR16" s="1"/>
  <c r="AJ16"/>
  <c r="AV15"/>
  <c r="AT15"/>
  <c r="AQ15"/>
  <c r="AP15"/>
  <c r="AN15"/>
  <c r="AM15"/>
  <c r="AK15"/>
  <c r="AJ15"/>
  <c r="AV14"/>
  <c r="AT14"/>
  <c r="AQ14"/>
  <c r="AP14"/>
  <c r="AN14"/>
  <c r="AM14"/>
  <c r="AK14"/>
  <c r="AR14" s="1"/>
  <c r="AS14" s="1"/>
  <c r="AJ14"/>
  <c r="AV13"/>
  <c r="AT13"/>
  <c r="AQ13"/>
  <c r="AP13"/>
  <c r="AN13"/>
  <c r="AM13"/>
  <c r="AK13"/>
  <c r="AJ13"/>
  <c r="AU13" s="1"/>
  <c r="AV12"/>
  <c r="AT12"/>
  <c r="AQ12"/>
  <c r="AP12"/>
  <c r="AN12"/>
  <c r="AM12"/>
  <c r="AK12"/>
  <c r="AR12" s="1"/>
  <c r="AS12" s="1"/>
  <c r="AJ12"/>
  <c r="AV11"/>
  <c r="AT11"/>
  <c r="AQ11"/>
  <c r="AP11"/>
  <c r="AN11"/>
  <c r="AM11"/>
  <c r="AK11"/>
  <c r="AJ11"/>
  <c r="AV10"/>
  <c r="AT10"/>
  <c r="AQ10"/>
  <c r="AP10"/>
  <c r="AN10"/>
  <c r="AM10"/>
  <c r="AK10"/>
  <c r="AR10" s="1"/>
  <c r="AS10" s="1"/>
  <c r="AJ10"/>
  <c r="AV9"/>
  <c r="AT9"/>
  <c r="AQ9"/>
  <c r="AP9"/>
  <c r="AN9"/>
  <c r="AM9"/>
  <c r="AK9"/>
  <c r="AJ9"/>
  <c r="AU9" s="1"/>
  <c r="AV8"/>
  <c r="AT8"/>
  <c r="AR8"/>
  <c r="AQ8"/>
  <c r="AP8"/>
  <c r="AN8"/>
  <c r="AM8"/>
  <c r="AK8"/>
  <c r="AJ8"/>
  <c r="AV7"/>
  <c r="AT7"/>
  <c r="AW7" s="1"/>
  <c r="AQ7"/>
  <c r="AP7"/>
  <c r="AR7" s="1"/>
  <c r="AN7"/>
  <c r="AM7"/>
  <c r="AK7"/>
  <c r="AJ7"/>
  <c r="AU7" s="1"/>
  <c r="AV6"/>
  <c r="AT6"/>
  <c r="AW6" s="1"/>
  <c r="AQ6"/>
  <c r="AP6"/>
  <c r="AN6"/>
  <c r="AM6"/>
  <c r="AK6"/>
  <c r="AJ6"/>
  <c r="AX6" s="1"/>
  <c r="E5"/>
  <c r="E4" s="1"/>
  <c r="E2"/>
  <c r="T2" s="1"/>
  <c r="AW1" s="1"/>
  <c r="F5" l="1"/>
  <c r="G5" s="1"/>
  <c r="AW8"/>
  <c r="AW9"/>
  <c r="AW10"/>
  <c r="AW11"/>
  <c r="AW14"/>
  <c r="AW15"/>
  <c r="AS18"/>
  <c r="AS21"/>
  <c r="AS23"/>
  <c r="AX28"/>
  <c r="AR28"/>
  <c r="AS28" s="1"/>
  <c r="AX29"/>
  <c r="AX19"/>
  <c r="AX20"/>
  <c r="AR20"/>
  <c r="AS20" s="1"/>
  <c r="AX21"/>
  <c r="AR6"/>
  <c r="AS6" s="1"/>
  <c r="AX11"/>
  <c r="AR11"/>
  <c r="AS11" s="1"/>
  <c r="AX12"/>
  <c r="AX14"/>
  <c r="AR15"/>
  <c r="AR35"/>
  <c r="AS35" s="1"/>
  <c r="AR37"/>
  <c r="AS37" s="1"/>
  <c r="AR38"/>
  <c r="AS38" s="1"/>
  <c r="AR39"/>
  <c r="AS39" s="1"/>
  <c r="AR13"/>
  <c r="AS13" s="1"/>
  <c r="AX22"/>
  <c r="AR22"/>
  <c r="AS22" s="1"/>
  <c r="AX23"/>
  <c r="AX30"/>
  <c r="AR30"/>
  <c r="AS30" s="1"/>
  <c r="AX31"/>
  <c r="AX38"/>
  <c r="AX39"/>
  <c r="AW39"/>
  <c r="AS8"/>
  <c r="AS16"/>
  <c r="AR19"/>
  <c r="AS19" s="1"/>
  <c r="AS25"/>
  <c r="AS33"/>
  <c r="AR9"/>
  <c r="AS9" s="1"/>
  <c r="AX10"/>
  <c r="AW12"/>
  <c r="AW13"/>
  <c r="AX17"/>
  <c r="AR17"/>
  <c r="AS17" s="1"/>
  <c r="AX18"/>
  <c r="AW21"/>
  <c r="AW22"/>
  <c r="AX26"/>
  <c r="AR26"/>
  <c r="AS26" s="1"/>
  <c r="AX27"/>
  <c r="AW29"/>
  <c r="AW30"/>
  <c r="AX34"/>
  <c r="AR34"/>
  <c r="AS34" s="1"/>
  <c r="AX35"/>
  <c r="AS7"/>
  <c r="AX8"/>
  <c r="AX15"/>
  <c r="AS15"/>
  <c r="AX16"/>
  <c r="AX24"/>
  <c r="AR24"/>
  <c r="AS24" s="1"/>
  <c r="AX25"/>
  <c r="AX32"/>
  <c r="AR32"/>
  <c r="AS32" s="1"/>
  <c r="AX33"/>
  <c r="AY6"/>
  <c r="AY14"/>
  <c r="AY22"/>
  <c r="AY23"/>
  <c r="AY30"/>
  <c r="AY31"/>
  <c r="AY38"/>
  <c r="AY39"/>
  <c r="H5"/>
  <c r="G4"/>
  <c r="AY11"/>
  <c r="AY12"/>
  <c r="AY19"/>
  <c r="AY20"/>
  <c r="AY21"/>
  <c r="AY28"/>
  <c r="AY29"/>
  <c r="AY36"/>
  <c r="AY37"/>
  <c r="AY10"/>
  <c r="AY17"/>
  <c r="AY18"/>
  <c r="AY26"/>
  <c r="AY27"/>
  <c r="AY34"/>
  <c r="AY35"/>
  <c r="AY8"/>
  <c r="AY15"/>
  <c r="AY16"/>
  <c r="AY24"/>
  <c r="AY25"/>
  <c r="AY32"/>
  <c r="AY33"/>
  <c r="AY40"/>
  <c r="AX7"/>
  <c r="AY7" s="1"/>
  <c r="AX9"/>
  <c r="AY9" s="1"/>
  <c r="AX13"/>
  <c r="AY13" s="1"/>
  <c r="AU6"/>
  <c r="AU8"/>
  <c r="AU10"/>
  <c r="AU12"/>
  <c r="AU14"/>
  <c r="AU16"/>
  <c r="AU18"/>
  <c r="AU20"/>
  <c r="AU22"/>
  <c r="AU24"/>
  <c r="AU26"/>
  <c r="AU28"/>
  <c r="AU30"/>
  <c r="AU32"/>
  <c r="AU34"/>
  <c r="AU36"/>
  <c r="AU38"/>
  <c r="AU40"/>
  <c r="F4"/>
  <c r="AU11"/>
  <c r="AU15"/>
  <c r="AU17"/>
  <c r="AU19"/>
  <c r="AU21"/>
  <c r="AU23"/>
  <c r="AU25"/>
  <c r="AU27"/>
  <c r="AU29"/>
  <c r="AU31"/>
  <c r="AU33"/>
  <c r="AU35"/>
  <c r="AU37"/>
  <c r="AU39"/>
  <c r="I5" l="1"/>
  <c r="H4"/>
  <c r="J5" l="1"/>
  <c r="I4"/>
  <c r="K5" l="1"/>
  <c r="J4"/>
  <c r="L5" l="1"/>
  <c r="K4"/>
  <c r="M5" l="1"/>
  <c r="L4"/>
  <c r="N5" l="1"/>
  <c r="M4"/>
  <c r="O5" l="1"/>
  <c r="N4"/>
  <c r="P5" l="1"/>
  <c r="O4"/>
  <c r="Q5" l="1"/>
  <c r="P4"/>
  <c r="R5" l="1"/>
  <c r="Q4"/>
  <c r="S5" l="1"/>
  <c r="R4"/>
  <c r="T5" l="1"/>
  <c r="S4"/>
  <c r="U5" l="1"/>
  <c r="T4"/>
  <c r="V5" l="1"/>
  <c r="U4"/>
  <c r="W5" l="1"/>
  <c r="V4"/>
  <c r="X5" l="1"/>
  <c r="W4"/>
  <c r="Y5" l="1"/>
  <c r="X4"/>
  <c r="Y4" l="1"/>
  <c r="Z5"/>
  <c r="AA5" l="1"/>
  <c r="Z4"/>
  <c r="AB5" l="1"/>
  <c r="AA4"/>
  <c r="AC5" l="1"/>
  <c r="AB4"/>
  <c r="AD5" l="1"/>
  <c r="AC4"/>
  <c r="AE5" l="1"/>
  <c r="AD4"/>
  <c r="AF5" l="1"/>
  <c r="AE4"/>
  <c r="AG5" l="1"/>
  <c r="AF4"/>
  <c r="AH5" l="1"/>
  <c r="AG4"/>
  <c r="AI5" l="1"/>
  <c r="AI4" s="1"/>
  <c r="AH4"/>
</calcChain>
</file>

<file path=xl/sharedStrings.xml><?xml version="1.0" encoding="utf-8"?>
<sst xmlns="http://schemas.openxmlformats.org/spreadsheetml/2006/main" count="742" uniqueCount="138">
  <si>
    <t xml:space="preserve">HRMIS </t>
  </si>
  <si>
    <t xml:space="preserve">New Requirements </t>
  </si>
  <si>
    <t>Name</t>
  </si>
  <si>
    <t>Date</t>
  </si>
  <si>
    <t>Ayana P Dharman</t>
  </si>
  <si>
    <t>Sl. No.</t>
  </si>
  <si>
    <t xml:space="preserve">Requirements </t>
  </si>
  <si>
    <t>Change Calender ( Add the login details marked as Present or Absent when employee login the system.</t>
  </si>
  <si>
    <t xml:space="preserve">Add top panel for user details ( Include change password and sign out ) </t>
  </si>
  <si>
    <t xml:space="preserve">Common Requirements </t>
  </si>
  <si>
    <r>
      <rPr>
        <b/>
        <sz val="11"/>
        <color theme="1"/>
        <rFont val="Times New Roman"/>
        <family val="1"/>
      </rPr>
      <t>Admin Module</t>
    </r>
    <r>
      <rPr>
        <sz val="11"/>
        <color theme="1"/>
        <rFont val="Times New Roman"/>
        <family val="1"/>
      </rPr>
      <t xml:space="preserve"> </t>
    </r>
  </si>
  <si>
    <t>Remove file upload section from employee edit and add to the employee edit section in employee module.</t>
  </si>
  <si>
    <t xml:space="preserve">Change employee list as detailed list as the format given by HR </t>
  </si>
  <si>
    <t>emploee_list</t>
  </si>
  <si>
    <t xml:space="preserve">Attachments </t>
  </si>
  <si>
    <t xml:space="preserve">calender </t>
  </si>
  <si>
    <t>new_requirements</t>
  </si>
  <si>
    <t>Notify every employee when admin add a new employee details in the system.</t>
  </si>
  <si>
    <t xml:space="preserve">Add employee list print option in employee section </t>
  </si>
  <si>
    <t>x</t>
  </si>
  <si>
    <t>Employee Name</t>
  </si>
  <si>
    <t xml:space="preserve">Consolidated Attendance </t>
  </si>
  <si>
    <t>November</t>
  </si>
  <si>
    <t>Present</t>
  </si>
  <si>
    <t>Absent</t>
  </si>
  <si>
    <t>Non Business Days/sat/sun/ HOLIDAYS</t>
  </si>
  <si>
    <t>Not in Service NIS</t>
  </si>
  <si>
    <t>COMP OFF</t>
  </si>
  <si>
    <t xml:space="preserve">CL OB </t>
  </si>
  <si>
    <t>CL Utilized</t>
  </si>
  <si>
    <t>LOP</t>
  </si>
  <si>
    <t>CL CB</t>
  </si>
  <si>
    <t>Comp off</t>
  </si>
  <si>
    <t>CL OB for next month</t>
  </si>
  <si>
    <t>Total Days</t>
  </si>
  <si>
    <t>Validation</t>
  </si>
  <si>
    <t>PL</t>
  </si>
  <si>
    <t>LOP+NIS</t>
  </si>
  <si>
    <t>Days needs to be considered for salary</t>
  </si>
  <si>
    <t>Employee 1</t>
  </si>
  <si>
    <t>P</t>
  </si>
  <si>
    <t>AL</t>
  </si>
  <si>
    <t>H</t>
  </si>
  <si>
    <t>Employee 2</t>
  </si>
  <si>
    <t>W</t>
  </si>
  <si>
    <t>Employee 3</t>
  </si>
  <si>
    <t>CL</t>
  </si>
  <si>
    <t>WHP</t>
  </si>
  <si>
    <t>Employee 4</t>
  </si>
  <si>
    <t>Employee 5</t>
  </si>
  <si>
    <t>Employee 6</t>
  </si>
  <si>
    <t>Employee 7</t>
  </si>
  <si>
    <t>Employee 8</t>
  </si>
  <si>
    <t>Employee 9</t>
  </si>
  <si>
    <t>CO</t>
  </si>
  <si>
    <t>Employee 10</t>
  </si>
  <si>
    <t>Employee 11</t>
  </si>
  <si>
    <t>Employee 12</t>
  </si>
  <si>
    <t>Employee 13</t>
  </si>
  <si>
    <t>Employee 14</t>
  </si>
  <si>
    <t>-</t>
  </si>
  <si>
    <t>Employee 15</t>
  </si>
  <si>
    <t>Employee 16</t>
  </si>
  <si>
    <t>Employee 17</t>
  </si>
  <si>
    <t>Employee 18</t>
  </si>
  <si>
    <t>Employee 19</t>
  </si>
  <si>
    <t>Employee 20</t>
  </si>
  <si>
    <t>Employee 21</t>
  </si>
  <si>
    <t>WHL</t>
  </si>
  <si>
    <t>Employee 22</t>
  </si>
  <si>
    <t>Employee 23</t>
  </si>
  <si>
    <t>Employee 24</t>
  </si>
  <si>
    <t>Employee 25</t>
  </si>
  <si>
    <t>Employee 26</t>
  </si>
  <si>
    <t>Employee 27</t>
  </si>
  <si>
    <t>Employee 28</t>
  </si>
  <si>
    <t>Employee 29</t>
  </si>
  <si>
    <t>Employee 30</t>
  </si>
  <si>
    <t>Employee 31</t>
  </si>
  <si>
    <t>Employee 32</t>
  </si>
  <si>
    <t>Employee 33</t>
  </si>
  <si>
    <t>Employee 34</t>
  </si>
  <si>
    <t>Employee 35</t>
  </si>
  <si>
    <t xml:space="preserve">P </t>
  </si>
  <si>
    <t xml:space="preserve"> Present at Office</t>
  </si>
  <si>
    <t>Approved Full day Casual Leave</t>
  </si>
  <si>
    <t>HP</t>
  </si>
  <si>
    <t>Approved Half Day Casual Leave</t>
  </si>
  <si>
    <t>Approved Full Day Leave, but cant be counted CL as CL credit exhausted</t>
  </si>
  <si>
    <t>AHL</t>
  </si>
  <si>
    <t>Approved Half Day Leave, but cant be counted HP as CL credit exhausted</t>
  </si>
  <si>
    <t>Paid Leave, decided on Management's Discretion</t>
  </si>
  <si>
    <t>OH</t>
  </si>
  <si>
    <t>Optonal Holiday</t>
  </si>
  <si>
    <t xml:space="preserve">H </t>
  </si>
  <si>
    <t xml:space="preserve">Approved Holiday / Strike                                                                                                                 </t>
  </si>
  <si>
    <t>Full day Compensatory off Should be given since employee worked on Holiday</t>
  </si>
  <si>
    <t>HCO</t>
  </si>
  <si>
    <t>Half day Compensatory off Should be given since employee worked on Holiday</t>
  </si>
  <si>
    <t xml:space="preserve">Full day work from home. </t>
  </si>
  <si>
    <t>Half day work from home. Second half Casual Leave</t>
  </si>
  <si>
    <t>Half day work from home. Second half LOP</t>
  </si>
  <si>
    <t>Not in service</t>
  </si>
  <si>
    <t>RH</t>
  </si>
  <si>
    <t>Restricted Holiday</t>
  </si>
  <si>
    <t>UL</t>
  </si>
  <si>
    <t xml:space="preserve">Unapproved Full Day Leave </t>
  </si>
  <si>
    <t>UHL</t>
  </si>
  <si>
    <t xml:space="preserve">Unapproved Half Day Leave </t>
  </si>
  <si>
    <t xml:space="preserve">Rename delete as hide button in list view in employee list and add new section to see the details of hiden employees from the database and add the print option for every employee details. </t>
  </si>
  <si>
    <t xml:space="preserve">Change employee edit section as tab view </t>
  </si>
  <si>
    <t>Lookup table as tab view (master tables )</t>
  </si>
  <si>
    <t xml:space="preserve">Add download option to take the complete list of leaves in every months in excel sheets </t>
  </si>
  <si>
    <t>sample_attendence</t>
  </si>
  <si>
    <t xml:space="preserve">add download option to take the complete list of work upload list in every months </t>
  </si>
  <si>
    <t xml:space="preserve">Employee Module </t>
  </si>
  <si>
    <t xml:space="preserve">change personal information sidebar menu as tab view </t>
  </si>
  <si>
    <t xml:space="preserve">change leave application form as the model </t>
  </si>
  <si>
    <t>leave_application</t>
  </si>
  <si>
    <t xml:space="preserve">Add Resignation form in employee module to apply exit </t>
  </si>
  <si>
    <t>resignation</t>
  </si>
  <si>
    <t xml:space="preserve">Add print option in leave history module </t>
  </si>
  <si>
    <t xml:space="preserve">Delete announcements list from dashboard </t>
  </si>
  <si>
    <t xml:space="preserve">Add file upload for medical certificate upload in leave history view section </t>
  </si>
  <si>
    <t xml:space="preserve">HR Module </t>
  </si>
  <si>
    <t>Notification dropdown in top panel -
•Anniversary wishes , Birthday wishes, New employee announcement should automatically come. (Fetch details from employee information).
• leave approved notifications in employee notification dropdown
• Applied leaves for approval ( Approver's notification dropdown.)</t>
  </si>
  <si>
    <t>● Option to upload company announcements/ circular/ policy updates / Greeting wishes ( admin should be able to select the group of individuals. 
● Should be able to hide or delete such wishes/ news/greetings.</t>
  </si>
  <si>
    <t xml:space="preserve">list of employees who not web punched in today </t>
  </si>
  <si>
    <t>list of approved leaves of that week (Tab View)</t>
  </si>
  <si>
    <t xml:space="preserve">list of employees whose probation confirmation is due </t>
  </si>
  <si>
    <t xml:space="preserve">list of employee yearly appraisal is due </t>
  </si>
  <si>
    <t xml:space="preserve">latest news/ circular / greetings </t>
  </si>
  <si>
    <t xml:space="preserve">Dashboard </t>
  </si>
  <si>
    <t xml:space="preserve">Add crud for technologies used in our company </t>
  </si>
  <si>
    <t xml:space="preserve">change edit employee details section , change technology selection in project section as multiple selection dropdown </t>
  </si>
  <si>
    <t xml:space="preserve">change project list dropdown in project add section as project list based on location </t>
  </si>
  <si>
    <t>16-12-2020</t>
  </si>
  <si>
    <t>hr_dashboard (sample)</t>
  </si>
</sst>
</file>

<file path=xl/styles.xml><?xml version="1.0" encoding="utf-8"?>
<styleSheet xmlns="http://schemas.openxmlformats.org/spreadsheetml/2006/main">
  <numFmts count="2">
    <numFmt numFmtId="164" formatCode="d\-mmm"/>
    <numFmt numFmtId="165" formatCode="d"/>
  </numFmts>
  <fonts count="29">
    <font>
      <sz val="11"/>
      <color theme="1"/>
      <name val="Calibri"/>
      <family val="2"/>
      <scheme val="minor"/>
    </font>
    <font>
      <sz val="11"/>
      <color theme="1"/>
      <name val="Times New Roman"/>
      <family val="1"/>
    </font>
    <font>
      <sz val="16"/>
      <color theme="1"/>
      <name val="Times New Roman"/>
      <family val="1"/>
    </font>
    <font>
      <b/>
      <sz val="28"/>
      <color theme="1"/>
      <name val="Times New Roman"/>
      <family val="1"/>
    </font>
    <font>
      <b/>
      <sz val="18"/>
      <color theme="1"/>
      <name val="Times New Roman"/>
      <family val="1"/>
    </font>
    <font>
      <b/>
      <sz val="11"/>
      <color theme="1"/>
      <name val="Times New Roman"/>
      <family val="1"/>
    </font>
    <font>
      <u/>
      <sz val="11"/>
      <color theme="10"/>
      <name val="Calibri"/>
      <family val="2"/>
    </font>
    <font>
      <b/>
      <sz val="10"/>
      <color rgb="FF000000"/>
      <name val="Times New Roman"/>
      <family val="1"/>
    </font>
    <font>
      <b/>
      <sz val="9"/>
      <color rgb="FF666666"/>
      <name val="Calibri"/>
      <family val="2"/>
    </font>
    <font>
      <sz val="10"/>
      <name val="Arial"/>
      <family val="2"/>
    </font>
    <font>
      <b/>
      <sz val="12"/>
      <color rgb="FF000000"/>
      <name val="Times New Roman"/>
      <family val="1"/>
    </font>
    <font>
      <b/>
      <sz val="11"/>
      <color rgb="FF000000"/>
      <name val="Times New Roman"/>
      <family val="1"/>
    </font>
    <font>
      <b/>
      <sz val="36"/>
      <name val="Arial"/>
      <family val="2"/>
    </font>
    <font>
      <b/>
      <sz val="22"/>
      <name val="Arial"/>
      <family val="2"/>
    </font>
    <font>
      <b/>
      <sz val="8"/>
      <color rgb="FF000000"/>
      <name val="Times New Roman"/>
      <family val="1"/>
    </font>
    <font>
      <sz val="9"/>
      <name val="Times New Roman"/>
      <family val="1"/>
    </font>
    <font>
      <b/>
      <sz val="8"/>
      <color rgb="FFFFFFFF"/>
      <name val="Times New Roman"/>
      <family val="1"/>
    </font>
    <font>
      <sz val="9"/>
      <color rgb="FF000000"/>
      <name val="Times New Roman"/>
      <family val="1"/>
    </font>
    <font>
      <sz val="8"/>
      <color rgb="FF000000"/>
      <name val="Times New Roman"/>
      <family val="1"/>
    </font>
    <font>
      <b/>
      <sz val="9"/>
      <color rgb="FF000000"/>
      <name val="Calibri"/>
      <family val="2"/>
    </font>
    <font>
      <sz val="8"/>
      <color rgb="FF000000"/>
      <name val="Arial"/>
      <family val="2"/>
    </font>
    <font>
      <b/>
      <sz val="8"/>
      <color rgb="FF38761D"/>
      <name val="Times New Roman"/>
      <family val="1"/>
    </font>
    <font>
      <b/>
      <sz val="8"/>
      <color rgb="FF6AA84F"/>
      <name val="Times New Roman"/>
      <family val="1"/>
    </font>
    <font>
      <b/>
      <sz val="8"/>
      <color rgb="FF0000FF"/>
      <name val="Arial"/>
      <family val="2"/>
    </font>
    <font>
      <b/>
      <sz val="8"/>
      <color rgb="FFFF0000"/>
      <name val="Times New Roman"/>
      <family val="1"/>
    </font>
    <font>
      <b/>
      <sz val="7"/>
      <color rgb="FF000000"/>
      <name val="Arial"/>
      <family val="2"/>
    </font>
    <font>
      <b/>
      <sz val="9"/>
      <color rgb="FF000000"/>
      <name val="Times New Roman"/>
      <family val="1"/>
    </font>
    <font>
      <b/>
      <sz val="7"/>
      <color rgb="FFFFFFFF"/>
      <name val="Arial"/>
      <family val="2"/>
    </font>
    <font>
      <b/>
      <sz val="9"/>
      <name val="Times New Roman"/>
      <family val="1"/>
    </font>
  </fonts>
  <fills count="24">
    <fill>
      <patternFill patternType="none"/>
    </fill>
    <fill>
      <patternFill patternType="gray125"/>
    </fill>
    <fill>
      <patternFill patternType="solid">
        <fgColor theme="3" tint="0.59999389629810485"/>
        <bgColor indexed="64"/>
      </patternFill>
    </fill>
    <fill>
      <patternFill patternType="solid">
        <fgColor theme="9" tint="0.39997558519241921"/>
        <bgColor indexed="64"/>
      </patternFill>
    </fill>
    <fill>
      <patternFill patternType="solid">
        <fgColor rgb="FFC9DAF8"/>
        <bgColor rgb="FFC9DAF8"/>
      </patternFill>
    </fill>
    <fill>
      <patternFill patternType="solid">
        <fgColor rgb="FFFFFFFF"/>
        <bgColor rgb="FFFFFFFF"/>
      </patternFill>
    </fill>
    <fill>
      <patternFill patternType="solid">
        <fgColor rgb="FFFF9900"/>
        <bgColor rgb="FFFF9900"/>
      </patternFill>
    </fill>
    <fill>
      <patternFill patternType="solid">
        <fgColor rgb="FFD5A6BD"/>
        <bgColor rgb="FFD5A6BD"/>
      </patternFill>
    </fill>
    <fill>
      <patternFill patternType="solid">
        <fgColor rgb="FFF9CB9C"/>
        <bgColor rgb="FFF9CB9C"/>
      </patternFill>
    </fill>
    <fill>
      <patternFill patternType="solid">
        <fgColor rgb="FFB6D7A8"/>
        <bgColor rgb="FFB6D7A8"/>
      </patternFill>
    </fill>
    <fill>
      <patternFill patternType="solid">
        <fgColor rgb="FFE06666"/>
        <bgColor rgb="FFE06666"/>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4A86E8"/>
        <bgColor rgb="FF4A86E8"/>
      </patternFill>
    </fill>
    <fill>
      <patternFill patternType="solid">
        <fgColor rgb="FFE69138"/>
        <bgColor rgb="FFE69138"/>
      </patternFill>
    </fill>
    <fill>
      <patternFill patternType="solid">
        <fgColor rgb="FF00FFFF"/>
        <bgColor rgb="FF00FFFF"/>
      </patternFill>
    </fill>
    <fill>
      <patternFill patternType="solid">
        <fgColor rgb="FFF1C232"/>
        <bgColor rgb="FFF1C232"/>
      </patternFill>
    </fill>
    <fill>
      <patternFill patternType="solid">
        <fgColor rgb="FFFFD966"/>
        <bgColor rgb="FFFFD966"/>
      </patternFill>
    </fill>
    <fill>
      <patternFill patternType="solid">
        <fgColor rgb="FFFFE599"/>
        <bgColor rgb="FFFFE599"/>
      </patternFill>
    </fill>
    <fill>
      <patternFill patternType="solid">
        <fgColor rgb="FFFF00FF"/>
        <bgColor rgb="FFFF00FF"/>
      </patternFill>
    </fill>
    <fill>
      <patternFill patternType="solid">
        <fgColor rgb="FF9900FF"/>
        <bgColor rgb="FF9900FF"/>
      </patternFill>
    </fill>
    <fill>
      <patternFill patternType="solid">
        <fgColor rgb="FF93C47D"/>
        <bgColor rgb="FF93C47D"/>
      </patternFill>
    </fill>
    <fill>
      <patternFill patternType="solid">
        <fgColor theme="5"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6" fillId="0" borderId="0" applyNumberFormat="0" applyFill="0" applyBorder="0" applyAlignment="0" applyProtection="0">
      <alignment vertical="top"/>
      <protection locked="0"/>
    </xf>
  </cellStyleXfs>
  <cellXfs count="100">
    <xf numFmtId="0" fontId="0" fillId="0" borderId="0" xfId="0"/>
    <xf numFmtId="0" fontId="1" fillId="0" borderId="0" xfId="0" applyFont="1"/>
    <xf numFmtId="0" fontId="1" fillId="0" borderId="0" xfId="0" applyFont="1" applyAlignment="1">
      <alignment horizontal="left"/>
    </xf>
    <xf numFmtId="0" fontId="1" fillId="0" borderId="0" xfId="0" applyFont="1" applyBorder="1" applyAlignment="1"/>
    <xf numFmtId="0" fontId="1" fillId="0" borderId="0" xfId="0" applyFont="1" applyFill="1" applyBorder="1" applyAlignment="1"/>
    <xf numFmtId="0" fontId="4" fillId="0" borderId="0" xfId="0" applyFont="1" applyBorder="1" applyAlignment="1"/>
    <xf numFmtId="0" fontId="2" fillId="0" borderId="0" xfId="0" applyFont="1" applyBorder="1" applyAlignment="1"/>
    <xf numFmtId="0" fontId="1" fillId="0" borderId="0" xfId="0" applyFont="1" applyAlignment="1">
      <alignment wrapText="1"/>
    </xf>
    <xf numFmtId="0" fontId="3" fillId="0" borderId="2" xfId="0" applyFont="1" applyBorder="1" applyAlignment="1">
      <alignment horizontal="center"/>
    </xf>
    <xf numFmtId="0" fontId="1" fillId="0" borderId="0" xfId="0" applyFont="1" applyAlignment="1">
      <alignment horizontal="center"/>
    </xf>
    <xf numFmtId="0" fontId="1" fillId="3" borderId="0" xfId="0" applyFont="1" applyFill="1"/>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2" borderId="1" xfId="0" applyFont="1" applyFill="1" applyBorder="1" applyAlignment="1">
      <alignment vertical="center" wrapText="1"/>
    </xf>
    <xf numFmtId="0" fontId="5" fillId="3" borderId="0" xfId="0" applyFont="1" applyFill="1" applyBorder="1" applyAlignment="1">
      <alignment vertical="center" wrapText="1"/>
    </xf>
    <xf numFmtId="0" fontId="1" fillId="0" borderId="0" xfId="0" applyFont="1" applyBorder="1" applyAlignment="1">
      <alignment vertical="center" wrapText="1"/>
    </xf>
    <xf numFmtId="0" fontId="1" fillId="0" borderId="0" xfId="0" applyFont="1" applyAlignment="1">
      <alignment vertical="center" wrapText="1"/>
    </xf>
    <xf numFmtId="0" fontId="1" fillId="3" borderId="0" xfId="0" applyFont="1" applyFill="1" applyAlignment="1">
      <alignment vertical="center" wrapText="1"/>
    </xf>
    <xf numFmtId="0" fontId="1" fillId="0" borderId="0" xfId="0" applyFont="1" applyAlignment="1">
      <alignment vertical="center"/>
    </xf>
    <xf numFmtId="0" fontId="1" fillId="0" borderId="0" xfId="0" applyFont="1" applyAlignment="1">
      <alignment horizontal="left" vertical="center"/>
    </xf>
    <xf numFmtId="0" fontId="1" fillId="2" borderId="1" xfId="0" applyFont="1" applyFill="1" applyBorder="1" applyAlignment="1">
      <alignment horizontal="left" vertical="center"/>
    </xf>
    <xf numFmtId="0" fontId="1" fillId="3" borderId="0" xfId="0" applyFont="1" applyFill="1" applyBorder="1" applyAlignment="1">
      <alignment horizontal="left" vertical="center"/>
    </xf>
    <xf numFmtId="0" fontId="1" fillId="0" borderId="0" xfId="0" applyFont="1" applyBorder="1" applyAlignment="1">
      <alignment horizontal="right" vertical="center"/>
    </xf>
    <xf numFmtId="0" fontId="1" fillId="3" borderId="0" xfId="0" applyFont="1" applyFill="1" applyAlignment="1">
      <alignment vertical="center"/>
    </xf>
    <xf numFmtId="0" fontId="6" fillId="0" borderId="0" xfId="1" applyAlignment="1" applyProtection="1"/>
    <xf numFmtId="0" fontId="1" fillId="2" borderId="1" xfId="0" applyFont="1" applyFill="1" applyBorder="1" applyAlignment="1"/>
    <xf numFmtId="0" fontId="1" fillId="3" borderId="0" xfId="0" applyFont="1" applyFill="1" applyBorder="1" applyAlignment="1"/>
    <xf numFmtId="0" fontId="6" fillId="0" borderId="0" xfId="1" applyBorder="1" applyAlignment="1" applyProtection="1"/>
    <xf numFmtId="0" fontId="7" fillId="4" borderId="3" xfId="0" applyFont="1" applyFill="1" applyBorder="1" applyAlignment="1">
      <alignment horizontal="center" vertical="center" wrapText="1"/>
    </xf>
    <xf numFmtId="0" fontId="8" fillId="5" borderId="4" xfId="0" applyFont="1" applyFill="1" applyBorder="1" applyAlignment="1">
      <alignment horizontal="center" vertical="center"/>
    </xf>
    <xf numFmtId="0" fontId="9" fillId="0" borderId="5" xfId="0" applyFont="1" applyBorder="1"/>
    <xf numFmtId="0" fontId="10" fillId="6" borderId="6" xfId="0" applyFont="1" applyFill="1" applyBorder="1" applyAlignment="1">
      <alignment horizontal="center" vertical="center"/>
    </xf>
    <xf numFmtId="0" fontId="9" fillId="0" borderId="7" xfId="0" applyFont="1" applyBorder="1"/>
    <xf numFmtId="0" fontId="11" fillId="7" borderId="0" xfId="0" applyFont="1" applyFill="1" applyBorder="1" applyAlignment="1">
      <alignment horizontal="center" vertical="center" wrapText="1"/>
    </xf>
    <xf numFmtId="0" fontId="9" fillId="0" borderId="0" xfId="0" applyFont="1" applyBorder="1"/>
    <xf numFmtId="0" fontId="12" fillId="0" borderId="0" xfId="0" applyFont="1"/>
    <xf numFmtId="0" fontId="13" fillId="0" borderId="0" xfId="0" applyFont="1"/>
    <xf numFmtId="0" fontId="9" fillId="0" borderId="8" xfId="0" applyFont="1" applyBorder="1"/>
    <xf numFmtId="0" fontId="9" fillId="0" borderId="9" xfId="0" applyFont="1" applyBorder="1"/>
    <xf numFmtId="0" fontId="9" fillId="0" borderId="10" xfId="0" applyFont="1" applyBorder="1"/>
    <xf numFmtId="164" fontId="7" fillId="8" borderId="4" xfId="0" applyNumberFormat="1" applyFont="1" applyFill="1" applyBorder="1" applyAlignment="1">
      <alignment horizontal="center" vertical="center"/>
    </xf>
    <xf numFmtId="0" fontId="9" fillId="0" borderId="11" xfId="0" applyFont="1" applyBorder="1"/>
    <xf numFmtId="164" fontId="7" fillId="8" borderId="0" xfId="0" applyNumberFormat="1" applyFont="1" applyFill="1" applyBorder="1" applyAlignment="1">
      <alignment horizontal="center" vertical="center"/>
    </xf>
    <xf numFmtId="0" fontId="11" fillId="7" borderId="12" xfId="0" applyFont="1" applyFill="1" applyBorder="1" applyAlignment="1">
      <alignment horizontal="center" vertical="center" wrapText="1"/>
    </xf>
    <xf numFmtId="0" fontId="9" fillId="0" borderId="13" xfId="0" applyFont="1" applyBorder="1"/>
    <xf numFmtId="0" fontId="9" fillId="0" borderId="14" xfId="0" applyFont="1" applyBorder="1"/>
    <xf numFmtId="0" fontId="0" fillId="0" borderId="0" xfId="0" applyFont="1" applyAlignment="1"/>
    <xf numFmtId="0" fontId="9" fillId="0" borderId="6" xfId="0" applyFont="1" applyBorder="1"/>
    <xf numFmtId="0" fontId="0" fillId="0" borderId="0" xfId="0" applyFont="1" applyAlignment="1"/>
    <xf numFmtId="0" fontId="14" fillId="9" borderId="8" xfId="0"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1" borderId="8" xfId="0" applyFont="1" applyFill="1" applyBorder="1" applyAlignment="1">
      <alignment horizontal="center" vertical="center" wrapText="1"/>
    </xf>
    <xf numFmtId="0" fontId="14" fillId="11" borderId="3" xfId="0" applyFont="1" applyFill="1" applyBorder="1" applyAlignment="1">
      <alignment horizontal="center" vertical="center" wrapText="1"/>
    </xf>
    <xf numFmtId="0" fontId="14" fillId="12" borderId="8" xfId="0" applyFont="1" applyFill="1" applyBorder="1" applyAlignment="1">
      <alignment horizontal="center" vertical="center" wrapText="1"/>
    </xf>
    <xf numFmtId="0" fontId="14" fillId="12" borderId="8" xfId="0" applyFont="1" applyFill="1" applyBorder="1" applyAlignment="1">
      <alignment horizontal="center" vertical="center" wrapText="1"/>
    </xf>
    <xf numFmtId="0" fontId="14" fillId="13" borderId="8" xfId="0" applyFont="1" applyFill="1" applyBorder="1" applyAlignment="1">
      <alignment horizontal="center" vertical="center" wrapText="1"/>
    </xf>
    <xf numFmtId="0" fontId="14" fillId="13" borderId="8" xfId="0" applyFont="1" applyFill="1" applyBorder="1" applyAlignment="1">
      <alignment horizontal="center" vertical="center" wrapText="1"/>
    </xf>
    <xf numFmtId="0" fontId="14" fillId="14" borderId="8" xfId="0" applyFont="1" applyFill="1" applyBorder="1" applyAlignment="1">
      <alignment horizontal="center" vertical="center" wrapText="1"/>
    </xf>
    <xf numFmtId="0" fontId="14" fillId="14" borderId="8" xfId="0" applyFont="1" applyFill="1" applyBorder="1" applyAlignment="1">
      <alignment horizontal="center" vertical="center" wrapText="1"/>
    </xf>
    <xf numFmtId="0" fontId="15" fillId="5" borderId="15" xfId="0" applyFont="1" applyFill="1" applyBorder="1" applyAlignment="1">
      <alignment wrapText="1"/>
    </xf>
    <xf numFmtId="0" fontId="15" fillId="5" borderId="15" xfId="0" applyFont="1" applyFill="1" applyBorder="1" applyAlignment="1">
      <alignment horizontal="center"/>
    </xf>
    <xf numFmtId="0" fontId="15" fillId="5" borderId="15" xfId="0" applyFont="1" applyFill="1" applyBorder="1" applyAlignment="1">
      <alignment horizontal="center" wrapText="1"/>
    </xf>
    <xf numFmtId="0" fontId="9" fillId="0" borderId="16" xfId="0" applyFont="1" applyBorder="1"/>
    <xf numFmtId="0" fontId="9" fillId="0" borderId="17" xfId="0" applyFont="1" applyBorder="1"/>
    <xf numFmtId="165" fontId="17" fillId="15" borderId="6" xfId="0" applyNumberFormat="1" applyFont="1" applyFill="1" applyBorder="1" applyAlignment="1">
      <alignment horizontal="center"/>
    </xf>
    <xf numFmtId="165" fontId="15" fillId="15" borderId="0" xfId="0" applyNumberFormat="1" applyFont="1" applyFill="1" applyBorder="1" applyAlignment="1">
      <alignment horizontal="center" wrapText="1"/>
    </xf>
    <xf numFmtId="165" fontId="15" fillId="15" borderId="0" xfId="0" applyNumberFormat="1" applyFont="1" applyFill="1" applyBorder="1" applyAlignment="1">
      <alignment wrapText="1"/>
    </xf>
    <xf numFmtId="0" fontId="18" fillId="5" borderId="15" xfId="0" applyFont="1" applyFill="1" applyBorder="1" applyAlignment="1">
      <alignment horizontal="left" vertical="center"/>
    </xf>
    <xf numFmtId="0" fontId="19" fillId="5" borderId="12" xfId="0" applyFont="1" applyFill="1" applyBorder="1" applyAlignment="1">
      <alignment horizontal="left" vertical="center"/>
    </xf>
    <xf numFmtId="0" fontId="20" fillId="16" borderId="16" xfId="0" applyFont="1" applyFill="1" applyBorder="1" applyAlignment="1">
      <alignment horizontal="center" vertical="center" wrapText="1"/>
    </xf>
    <xf numFmtId="0" fontId="20" fillId="5" borderId="16" xfId="0" applyFont="1" applyFill="1" applyBorder="1" applyAlignment="1">
      <alignment horizontal="center" vertical="center" wrapText="1"/>
    </xf>
    <xf numFmtId="0" fontId="18" fillId="17" borderId="15" xfId="0" applyFont="1" applyFill="1" applyBorder="1" applyAlignment="1">
      <alignment horizontal="center" vertical="center"/>
    </xf>
    <xf numFmtId="0" fontId="14" fillId="17" borderId="14" xfId="0" applyFont="1" applyFill="1" applyBorder="1" applyAlignment="1">
      <alignment horizontal="center" vertical="center"/>
    </xf>
    <xf numFmtId="0" fontId="18" fillId="16" borderId="14" xfId="0" applyFont="1" applyFill="1" applyBorder="1" applyAlignment="1">
      <alignment horizontal="center" vertical="center"/>
    </xf>
    <xf numFmtId="0" fontId="21" fillId="17" borderId="14" xfId="0" applyFont="1" applyFill="1" applyBorder="1" applyAlignment="1">
      <alignment horizontal="center" vertical="center"/>
    </xf>
    <xf numFmtId="0" fontId="22" fillId="18" borderId="17" xfId="0" applyFont="1" applyFill="1" applyBorder="1" applyAlignment="1">
      <alignment horizontal="center" vertical="center"/>
    </xf>
    <xf numFmtId="0" fontId="16" fillId="17" borderId="14" xfId="0" applyFont="1" applyFill="1" applyBorder="1" applyAlignment="1">
      <alignment horizontal="center" vertical="center"/>
    </xf>
    <xf numFmtId="0" fontId="22" fillId="17" borderId="14" xfId="0" applyFont="1" applyFill="1" applyBorder="1" applyAlignment="1">
      <alignment horizontal="center" vertical="center"/>
    </xf>
    <xf numFmtId="49" fontId="23" fillId="0" borderId="0" xfId="0" applyNumberFormat="1" applyFont="1" applyAlignment="1">
      <alignment horizontal="center" vertical="center" wrapText="1"/>
    </xf>
    <xf numFmtId="0" fontId="24" fillId="17" borderId="17" xfId="0" applyFont="1" applyFill="1" applyBorder="1" applyAlignment="1">
      <alignment horizontal="center" vertical="center"/>
    </xf>
    <xf numFmtId="0" fontId="20" fillId="19" borderId="16" xfId="0" applyFont="1" applyFill="1" applyBorder="1" applyAlignment="1">
      <alignment horizontal="center" vertical="center" wrapText="1"/>
    </xf>
    <xf numFmtId="0" fontId="16" fillId="20" borderId="14" xfId="0" applyFont="1" applyFill="1" applyBorder="1" applyAlignment="1">
      <alignment horizontal="center" vertical="center"/>
    </xf>
    <xf numFmtId="0" fontId="16" fillId="20" borderId="15" xfId="0" applyFont="1" applyFill="1" applyBorder="1" applyAlignment="1">
      <alignment horizontal="center" vertical="center"/>
    </xf>
    <xf numFmtId="0" fontId="25" fillId="5" borderId="15" xfId="0" applyFont="1" applyFill="1" applyBorder="1" applyAlignment="1">
      <alignment horizontal="left" vertical="center"/>
    </xf>
    <xf numFmtId="0" fontId="26" fillId="0" borderId="12" xfId="0" applyFont="1" applyBorder="1" applyAlignment="1">
      <alignment horizontal="left" vertical="center"/>
    </xf>
    <xf numFmtId="0" fontId="25" fillId="20" borderId="15" xfId="0" applyFont="1" applyFill="1" applyBorder="1" applyAlignment="1">
      <alignment horizontal="left" vertical="center"/>
    </xf>
    <xf numFmtId="0" fontId="25" fillId="13" borderId="15" xfId="0" applyFont="1" applyFill="1" applyBorder="1" applyAlignment="1">
      <alignment horizontal="left" vertical="center"/>
    </xf>
    <xf numFmtId="0" fontId="25" fillId="21" borderId="15" xfId="0" applyFont="1" applyFill="1" applyBorder="1" applyAlignment="1">
      <alignment horizontal="left" vertical="center"/>
    </xf>
    <xf numFmtId="0" fontId="25" fillId="22" borderId="15" xfId="0" applyFont="1" applyFill="1" applyBorder="1" applyAlignment="1">
      <alignment horizontal="left" vertical="center"/>
    </xf>
    <xf numFmtId="0" fontId="27" fillId="20" borderId="15" xfId="0" applyFont="1" applyFill="1" applyBorder="1" applyAlignment="1">
      <alignment horizontal="left" vertical="center"/>
    </xf>
    <xf numFmtId="0" fontId="25" fillId="5" borderId="15" xfId="0" applyFont="1" applyFill="1" applyBorder="1" applyAlignment="1">
      <alignment horizontal="left" vertical="center" wrapText="1"/>
    </xf>
    <xf numFmtId="0" fontId="28" fillId="0" borderId="12" xfId="0" applyFont="1" applyBorder="1" applyAlignment="1">
      <alignment horizontal="left" vertical="center"/>
    </xf>
    <xf numFmtId="0" fontId="25" fillId="19" borderId="15" xfId="0" applyFont="1" applyFill="1" applyBorder="1" applyAlignment="1">
      <alignment horizontal="left" vertical="center" wrapText="1"/>
    </xf>
    <xf numFmtId="0" fontId="26" fillId="0" borderId="15" xfId="0" applyFont="1" applyBorder="1" applyAlignment="1">
      <alignment horizontal="left" vertical="center"/>
    </xf>
    <xf numFmtId="0" fontId="5" fillId="3" borderId="0" xfId="0" applyFont="1" applyFill="1" applyAlignment="1">
      <alignment vertical="center" wrapText="1"/>
    </xf>
    <xf numFmtId="0" fontId="3" fillId="0" borderId="0" xfId="0" applyFont="1" applyBorder="1" applyAlignment="1">
      <alignment horizontal="center"/>
    </xf>
    <xf numFmtId="0" fontId="4" fillId="0" borderId="0" xfId="0" applyFont="1" applyBorder="1" applyAlignment="1">
      <alignment horizontal="center"/>
    </xf>
    <xf numFmtId="0" fontId="1" fillId="23" borderId="0" xfId="0" applyFont="1" applyFill="1" applyAlignment="1">
      <alignment vertical="center"/>
    </xf>
    <xf numFmtId="0" fontId="6" fillId="23" borderId="0" xfId="1" applyFill="1" applyAlignment="1" applyProtection="1"/>
    <xf numFmtId="0" fontId="5" fillId="23" borderId="0" xfId="0" applyFont="1" applyFill="1" applyAlignment="1">
      <alignment vertical="center" wrapText="1"/>
    </xf>
  </cellXfs>
  <cellStyles count="2">
    <cellStyle name="Hyperlink" xfId="1" builtinId="8"/>
    <cellStyle name="Normal" xfId="0" builtinId="0"/>
  </cellStyles>
  <dxfs count="44">
    <dxf>
      <font>
        <b/>
        <color rgb="FF00FF00"/>
      </font>
      <fill>
        <patternFill patternType="solid">
          <fgColor rgb="FFFFD966"/>
          <bgColor rgb="FFFFD966"/>
        </patternFill>
      </fill>
    </dxf>
    <dxf>
      <font>
        <b/>
        <color rgb="FFCC0000"/>
      </font>
      <fill>
        <patternFill patternType="solid">
          <fgColor rgb="FFFFD966"/>
          <bgColor rgb="FFFFD966"/>
        </patternFill>
      </fill>
    </dxf>
    <dxf>
      <font>
        <b/>
        <color rgb="FFFF0000"/>
      </font>
      <fill>
        <patternFill patternType="solid">
          <fgColor rgb="FF741B47"/>
          <bgColor rgb="FF741B47"/>
        </patternFill>
      </fill>
    </dxf>
    <dxf>
      <font>
        <b/>
        <color rgb="FFFF0000"/>
      </font>
      <fill>
        <patternFill patternType="solid">
          <fgColor rgb="FF4C1130"/>
          <bgColor rgb="FF4C1130"/>
        </patternFill>
      </fill>
    </dxf>
    <dxf>
      <font>
        <b/>
        <color rgb="FFFFFFFF"/>
      </font>
      <fill>
        <patternFill patternType="solid">
          <fgColor rgb="FF93C47D"/>
          <bgColor rgb="FF93C47D"/>
        </patternFill>
      </fill>
    </dxf>
    <dxf>
      <font>
        <b/>
        <color rgb="FFFFFFFF"/>
      </font>
      <fill>
        <patternFill patternType="solid">
          <fgColor rgb="FF1155CC"/>
          <bgColor rgb="FF1155CC"/>
        </patternFill>
      </fill>
    </dxf>
    <dxf>
      <font>
        <b/>
        <color rgb="FFFFFFFF"/>
      </font>
      <fill>
        <patternFill patternType="solid">
          <fgColor rgb="FF0000FF"/>
          <bgColor rgb="FF0000FF"/>
        </patternFill>
      </fill>
    </dxf>
    <dxf>
      <font>
        <b/>
        <color rgb="FFFFFFFF"/>
      </font>
      <fill>
        <patternFill patternType="solid">
          <fgColor rgb="FFF1C232"/>
          <bgColor rgb="FFF1C232"/>
        </patternFill>
      </fill>
    </dxf>
    <dxf>
      <font>
        <b/>
        <color rgb="FF000000"/>
      </font>
      <fill>
        <patternFill patternType="solid">
          <fgColor rgb="FF6AA84F"/>
          <bgColor rgb="FF6AA84F"/>
        </patternFill>
      </fill>
    </dxf>
    <dxf>
      <font>
        <b/>
        <color rgb="FFFFFFFF"/>
      </font>
      <fill>
        <patternFill patternType="solid">
          <fgColor rgb="FF274E13"/>
          <bgColor rgb="FF274E13"/>
        </patternFill>
      </fill>
    </dxf>
    <dxf>
      <font>
        <b/>
        <color rgb="FFFFFFFF"/>
      </font>
      <fill>
        <patternFill patternType="solid">
          <fgColor rgb="FFFF0000"/>
          <bgColor rgb="FFFF0000"/>
        </patternFill>
      </fill>
    </dxf>
    <dxf>
      <font>
        <color rgb="FFFFFFFF"/>
      </font>
      <fill>
        <patternFill patternType="solid">
          <fgColor rgb="FFFF0000"/>
          <bgColor rgb="FFFF0000"/>
        </patternFill>
      </fill>
    </dxf>
    <dxf>
      <fill>
        <patternFill patternType="solid">
          <fgColor rgb="FFFF00FF"/>
          <bgColor rgb="FFFF00FF"/>
        </patternFill>
      </fill>
    </dxf>
    <dxf>
      <font>
        <b/>
        <color rgb="FFFFFFFF"/>
      </font>
      <fill>
        <patternFill patternType="solid">
          <fgColor rgb="FF1155CC"/>
          <bgColor rgb="FF1155CC"/>
        </patternFill>
      </fill>
    </dxf>
    <dxf>
      <font>
        <b/>
      </font>
      <fill>
        <patternFill patternType="solid">
          <fgColor rgb="FFFF00FF"/>
          <bgColor rgb="FFFF00FF"/>
        </patternFill>
      </fill>
    </dxf>
    <dxf>
      <font>
        <b/>
      </font>
      <fill>
        <patternFill patternType="solid">
          <fgColor rgb="FFC27BA0"/>
          <bgColor rgb="FFC27BA0"/>
        </patternFill>
      </fill>
    </dxf>
    <dxf>
      <font>
        <color rgb="FFFFFFFF"/>
      </font>
      <fill>
        <patternFill patternType="solid">
          <fgColor rgb="FFFF0000"/>
          <bgColor rgb="FFFF0000"/>
        </patternFill>
      </fill>
    </dxf>
    <dxf>
      <font>
        <b/>
      </font>
      <fill>
        <patternFill patternType="solid">
          <fgColor rgb="FF00FF00"/>
          <bgColor rgb="FF00FF00"/>
        </patternFill>
      </fill>
    </dxf>
    <dxf>
      <font>
        <b/>
        <color rgb="FFF1C232"/>
      </font>
      <fill>
        <patternFill patternType="solid">
          <fgColor rgb="FFCC4125"/>
          <bgColor rgb="FFCC4125"/>
        </patternFill>
      </fill>
    </dxf>
    <dxf>
      <font>
        <b/>
        <color rgb="FFFFFFFF"/>
      </font>
      <fill>
        <patternFill patternType="solid">
          <fgColor rgb="FF674EA7"/>
          <bgColor rgb="FF674EA7"/>
        </patternFill>
      </fill>
    </dxf>
    <dxf>
      <font>
        <b/>
        <color rgb="FFF1C232"/>
      </font>
      <fill>
        <patternFill patternType="solid">
          <fgColor rgb="FF3C78D8"/>
          <bgColor rgb="FF3C78D8"/>
        </patternFill>
      </fill>
    </dxf>
    <dxf>
      <fill>
        <patternFill patternType="solid">
          <fgColor rgb="FFFF00FF"/>
          <bgColor rgb="FFFF00FF"/>
        </patternFill>
      </fill>
    </dxf>
    <dxf>
      <font>
        <b/>
        <color rgb="FF00FF00"/>
      </font>
      <fill>
        <patternFill patternType="solid">
          <fgColor rgb="FFFFD966"/>
          <bgColor rgb="FFFFD966"/>
        </patternFill>
      </fill>
    </dxf>
    <dxf>
      <font>
        <b/>
        <color rgb="FFCC0000"/>
      </font>
      <fill>
        <patternFill patternType="solid">
          <fgColor rgb="FFFFD966"/>
          <bgColor rgb="FFFFD966"/>
        </patternFill>
      </fill>
    </dxf>
    <dxf>
      <font>
        <b/>
        <color rgb="FFFF0000"/>
      </font>
      <fill>
        <patternFill patternType="solid">
          <fgColor rgb="FF741B47"/>
          <bgColor rgb="FF741B47"/>
        </patternFill>
      </fill>
    </dxf>
    <dxf>
      <font>
        <b/>
        <color rgb="FFFF0000"/>
      </font>
      <fill>
        <patternFill patternType="solid">
          <fgColor rgb="FF4C1130"/>
          <bgColor rgb="FF4C1130"/>
        </patternFill>
      </fill>
    </dxf>
    <dxf>
      <font>
        <b/>
        <color rgb="FFFFFFFF"/>
      </font>
      <fill>
        <patternFill patternType="solid">
          <fgColor rgb="FF93C47D"/>
          <bgColor rgb="FF93C47D"/>
        </patternFill>
      </fill>
    </dxf>
    <dxf>
      <font>
        <b/>
        <color rgb="FFFFFFFF"/>
      </font>
      <fill>
        <patternFill patternType="solid">
          <fgColor rgb="FF1155CC"/>
          <bgColor rgb="FF1155CC"/>
        </patternFill>
      </fill>
    </dxf>
    <dxf>
      <font>
        <b/>
        <color rgb="FFFFFFFF"/>
      </font>
      <fill>
        <patternFill patternType="solid">
          <fgColor rgb="FF0000FF"/>
          <bgColor rgb="FF0000FF"/>
        </patternFill>
      </fill>
    </dxf>
    <dxf>
      <font>
        <b/>
        <color rgb="FFFFFFFF"/>
      </font>
      <fill>
        <patternFill patternType="solid">
          <fgColor rgb="FFF1C232"/>
          <bgColor rgb="FFF1C232"/>
        </patternFill>
      </fill>
    </dxf>
    <dxf>
      <font>
        <b/>
        <color rgb="FF000000"/>
      </font>
      <fill>
        <patternFill patternType="solid">
          <fgColor rgb="FF6AA84F"/>
          <bgColor rgb="FF6AA84F"/>
        </patternFill>
      </fill>
    </dxf>
    <dxf>
      <font>
        <b/>
        <color rgb="FFFFFFFF"/>
      </font>
      <fill>
        <patternFill patternType="solid">
          <fgColor rgb="FF274E13"/>
          <bgColor rgb="FF274E13"/>
        </patternFill>
      </fill>
    </dxf>
    <dxf>
      <font>
        <b/>
        <color rgb="FFFFFFFF"/>
      </font>
      <fill>
        <patternFill patternType="solid">
          <fgColor rgb="FFFF0000"/>
          <bgColor rgb="FFFF0000"/>
        </patternFill>
      </fill>
    </dxf>
    <dxf>
      <font>
        <b/>
        <color rgb="FFFFFFFF"/>
      </font>
      <fill>
        <patternFill patternType="solid">
          <fgColor rgb="FFFF0000"/>
          <bgColor rgb="FFFF0000"/>
        </patternFill>
      </fill>
    </dxf>
    <dxf>
      <font>
        <color rgb="FFFFFFFF"/>
      </font>
      <fill>
        <patternFill patternType="solid">
          <fgColor rgb="FFFF0000"/>
          <bgColor rgb="FFFF0000"/>
        </patternFill>
      </fill>
    </dxf>
    <dxf>
      <fill>
        <patternFill patternType="solid">
          <fgColor rgb="FFFF00FF"/>
          <bgColor rgb="FFFF00FF"/>
        </patternFill>
      </fill>
    </dxf>
    <dxf>
      <font>
        <b/>
        <color rgb="FFFFFFFF"/>
      </font>
      <fill>
        <patternFill patternType="solid">
          <fgColor rgb="FF1155CC"/>
          <bgColor rgb="FF1155CC"/>
        </patternFill>
      </fill>
    </dxf>
    <dxf>
      <font>
        <b/>
      </font>
      <fill>
        <patternFill patternType="solid">
          <fgColor rgb="FFFF00FF"/>
          <bgColor rgb="FFFF00FF"/>
        </patternFill>
      </fill>
    </dxf>
    <dxf>
      <font>
        <b/>
      </font>
      <fill>
        <patternFill patternType="solid">
          <fgColor rgb="FFC27BA0"/>
          <bgColor rgb="FFC27BA0"/>
        </patternFill>
      </fill>
    </dxf>
    <dxf>
      <font>
        <b/>
        <color rgb="FFFF0000"/>
      </font>
      <fill>
        <patternFill patternType="solid">
          <fgColor rgb="FFB7E1CD"/>
          <bgColor rgb="FFB7E1CD"/>
        </patternFill>
      </fill>
    </dxf>
    <dxf>
      <font>
        <color rgb="FFFF0000"/>
      </font>
      <fill>
        <patternFill patternType="solid">
          <fgColor rgb="FFF1C232"/>
          <bgColor rgb="FFF1C232"/>
        </patternFill>
      </fill>
    </dxf>
    <dxf>
      <font>
        <color rgb="FFFF0000"/>
      </font>
      <fill>
        <patternFill patternType="solid">
          <fgColor rgb="FFF1C232"/>
          <bgColor rgb="FFF1C232"/>
        </patternFill>
      </fill>
    </dxf>
    <dxf>
      <font>
        <b/>
        <color rgb="FFFFFFFF"/>
      </font>
      <fill>
        <patternFill patternType="solid">
          <fgColor rgb="FFFF0000"/>
          <bgColor rgb="FFFF0000"/>
        </patternFill>
      </fill>
    </dxf>
    <dxf>
      <font>
        <b/>
        <color rgb="FFFFFFFF"/>
      </font>
      <fill>
        <patternFill patternType="solid">
          <fgColor rgb="FFFF00FF"/>
          <bgColor rgb="FFFF00FF"/>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238125</xdr:colOff>
      <xdr:row>3</xdr:row>
      <xdr:rowOff>152400</xdr:rowOff>
    </xdr:from>
    <xdr:to>
      <xdr:col>20</xdr:col>
      <xdr:colOff>104775</xdr:colOff>
      <xdr:row>19</xdr:row>
      <xdr:rowOff>67089</xdr:rowOff>
    </xdr:to>
    <xdr:pic>
      <xdr:nvPicPr>
        <xdr:cNvPr id="2" name="Picture 1" descr="employee_List_Updation.png"/>
        <xdr:cNvPicPr>
          <a:picLocks noChangeAspect="1"/>
        </xdr:cNvPicPr>
      </xdr:nvPicPr>
      <xdr:blipFill>
        <a:blip xmlns:r="http://schemas.openxmlformats.org/officeDocument/2006/relationships" r:embed="rId1"/>
        <a:stretch>
          <a:fillRect/>
        </a:stretch>
      </xdr:blipFill>
      <xdr:spPr>
        <a:xfrm>
          <a:off x="847725" y="723900"/>
          <a:ext cx="11449050" cy="29626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14</xdr:col>
      <xdr:colOff>76200</xdr:colOff>
      <xdr:row>20</xdr:row>
      <xdr:rowOff>142875</xdr:rowOff>
    </xdr:to>
    <xdr:pic>
      <xdr:nvPicPr>
        <xdr:cNvPr id="2" name="Picture 1" descr="calender.png"/>
        <xdr:cNvPicPr>
          <a:picLocks noChangeAspect="1"/>
        </xdr:cNvPicPr>
      </xdr:nvPicPr>
      <xdr:blipFill>
        <a:blip xmlns:r="http://schemas.openxmlformats.org/officeDocument/2006/relationships" r:embed="rId1"/>
        <a:stretch>
          <a:fillRect/>
        </a:stretch>
      </xdr:blipFill>
      <xdr:spPr>
        <a:xfrm>
          <a:off x="1828800" y="381000"/>
          <a:ext cx="6781800" cy="35718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123825</xdr:colOff>
      <xdr:row>0</xdr:row>
      <xdr:rowOff>142876</xdr:rowOff>
    </xdr:from>
    <xdr:to>
      <xdr:col>15</xdr:col>
      <xdr:colOff>466194</xdr:colOff>
      <xdr:row>25</xdr:row>
      <xdr:rowOff>133350</xdr:rowOff>
    </xdr:to>
    <xdr:pic>
      <xdr:nvPicPr>
        <xdr:cNvPr id="2" name="Picture 1" descr="leave_application.png"/>
        <xdr:cNvPicPr>
          <a:picLocks noChangeAspect="1"/>
        </xdr:cNvPicPr>
      </xdr:nvPicPr>
      <xdr:blipFill>
        <a:blip xmlns:r="http://schemas.openxmlformats.org/officeDocument/2006/relationships" r:embed="rId1"/>
        <a:stretch>
          <a:fillRect/>
        </a:stretch>
      </xdr:blipFill>
      <xdr:spPr>
        <a:xfrm>
          <a:off x="2457450" y="142876"/>
          <a:ext cx="7657569" cy="47529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285750</xdr:colOff>
      <xdr:row>2</xdr:row>
      <xdr:rowOff>0</xdr:rowOff>
    </xdr:from>
    <xdr:to>
      <xdr:col>11</xdr:col>
      <xdr:colOff>66675</xdr:colOff>
      <xdr:row>31</xdr:row>
      <xdr:rowOff>9525</xdr:rowOff>
    </xdr:to>
    <xdr:pic>
      <xdr:nvPicPr>
        <xdr:cNvPr id="6146" name="Picture 2"/>
        <xdr:cNvPicPr>
          <a:picLocks noChangeAspect="1" noChangeArrowheads="1"/>
        </xdr:cNvPicPr>
      </xdr:nvPicPr>
      <xdr:blipFill>
        <a:blip xmlns:r="http://schemas.openxmlformats.org/officeDocument/2006/relationships" r:embed="rId1"/>
        <a:srcRect/>
        <a:stretch>
          <a:fillRect/>
        </a:stretch>
      </xdr:blipFill>
      <xdr:spPr bwMode="auto">
        <a:xfrm>
          <a:off x="3457575" y="381000"/>
          <a:ext cx="4048125" cy="553402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447675</xdr:colOff>
      <xdr:row>1</xdr:row>
      <xdr:rowOff>133350</xdr:rowOff>
    </xdr:from>
    <xdr:to>
      <xdr:col>15</xdr:col>
      <xdr:colOff>114300</xdr:colOff>
      <xdr:row>24</xdr:row>
      <xdr:rowOff>104775</xdr:rowOff>
    </xdr:to>
    <xdr:pic>
      <xdr:nvPicPr>
        <xdr:cNvPr id="7170" name="Picture 2"/>
        <xdr:cNvPicPr>
          <a:picLocks noChangeAspect="1" noChangeArrowheads="1"/>
        </xdr:cNvPicPr>
      </xdr:nvPicPr>
      <xdr:blipFill>
        <a:blip xmlns:r="http://schemas.openxmlformats.org/officeDocument/2006/relationships" r:embed="rId1"/>
        <a:srcRect/>
        <a:stretch>
          <a:fillRect/>
        </a:stretch>
      </xdr:blipFill>
      <xdr:spPr bwMode="auto">
        <a:xfrm>
          <a:off x="2362200" y="323850"/>
          <a:ext cx="7591425" cy="43529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sheetPr>
    <tabColor theme="3" tint="0.39997558519241921"/>
  </sheetPr>
  <dimension ref="A1:T57"/>
  <sheetViews>
    <sheetView tabSelected="1" workbookViewId="0">
      <pane ySplit="10" topLeftCell="A11" activePane="bottomLeft" state="frozen"/>
      <selection pane="bottomLeft" activeCell="B59" sqref="B59"/>
    </sheetView>
  </sheetViews>
  <sheetFormatPr defaultRowHeight="15"/>
  <cols>
    <col min="1" max="1" width="9.140625" style="18"/>
    <col min="2" max="2" width="91.28515625" style="16" customWidth="1"/>
    <col min="3" max="3" width="27.42578125" style="1" customWidth="1"/>
    <col min="4" max="16384" width="9.140625" style="1"/>
  </cols>
  <sheetData>
    <row r="1" spans="1:20" ht="15" customHeight="1">
      <c r="A1" s="8" t="s">
        <v>0</v>
      </c>
      <c r="B1" s="95"/>
      <c r="C1" s="95"/>
      <c r="D1" s="6"/>
      <c r="E1" s="6"/>
      <c r="F1" s="6"/>
      <c r="G1" s="6"/>
      <c r="H1" s="6"/>
      <c r="I1" s="6"/>
      <c r="J1" s="6"/>
      <c r="K1" s="6"/>
      <c r="L1" s="6"/>
      <c r="M1" s="6"/>
      <c r="N1" s="6"/>
      <c r="O1" s="6"/>
      <c r="P1" s="6"/>
      <c r="Q1" s="6"/>
      <c r="R1" s="6"/>
      <c r="S1" s="6"/>
      <c r="T1" s="6"/>
    </row>
    <row r="2" spans="1:20" ht="15" customHeight="1">
      <c r="A2" s="8"/>
      <c r="B2" s="95"/>
      <c r="C2" s="95"/>
      <c r="D2" s="6"/>
      <c r="E2" s="6"/>
      <c r="F2" s="6"/>
      <c r="G2" s="6"/>
      <c r="H2" s="6"/>
      <c r="I2" s="6"/>
      <c r="J2" s="6"/>
      <c r="K2" s="6"/>
      <c r="L2" s="6"/>
      <c r="M2" s="6"/>
      <c r="N2" s="6"/>
      <c r="O2" s="6"/>
      <c r="P2" s="6"/>
      <c r="Q2" s="6"/>
      <c r="R2" s="6"/>
      <c r="S2" s="6"/>
      <c r="T2" s="6"/>
    </row>
    <row r="3" spans="1:20" ht="15" customHeight="1">
      <c r="A3" s="8"/>
      <c r="B3" s="95"/>
      <c r="C3" s="95"/>
      <c r="D3" s="6"/>
      <c r="E3" s="6"/>
      <c r="F3" s="6"/>
      <c r="G3" s="6"/>
      <c r="H3" s="6"/>
      <c r="I3" s="6"/>
      <c r="J3" s="6"/>
      <c r="K3" s="6"/>
      <c r="L3" s="6"/>
      <c r="M3" s="6"/>
      <c r="N3" s="6"/>
      <c r="O3" s="6"/>
      <c r="P3" s="6"/>
      <c r="Q3" s="6"/>
      <c r="R3" s="6"/>
      <c r="S3" s="6"/>
      <c r="T3" s="6"/>
    </row>
    <row r="4" spans="1:20" ht="15" customHeight="1">
      <c r="A4" s="96" t="s">
        <v>1</v>
      </c>
      <c r="B4" s="96"/>
      <c r="C4" s="96"/>
      <c r="D4" s="5"/>
      <c r="E4" s="5"/>
      <c r="F4" s="5"/>
      <c r="G4" s="5"/>
      <c r="H4" s="5"/>
    </row>
    <row r="5" spans="1:20" ht="15" customHeight="1">
      <c r="A5" s="96"/>
      <c r="B5" s="96"/>
      <c r="C5" s="96"/>
      <c r="D5" s="5"/>
      <c r="E5" s="5"/>
      <c r="F5" s="5"/>
      <c r="G5" s="5"/>
      <c r="H5" s="5"/>
    </row>
    <row r="6" spans="1:20">
      <c r="A6" s="9"/>
      <c r="B6" s="9"/>
    </row>
    <row r="7" spans="1:20">
      <c r="A7" s="18" t="s">
        <v>2</v>
      </c>
      <c r="B7" s="11" t="s">
        <v>4</v>
      </c>
      <c r="C7" s="2"/>
      <c r="D7" s="2"/>
      <c r="E7" s="2"/>
    </row>
    <row r="8" spans="1:20">
      <c r="A8" s="18" t="s">
        <v>3</v>
      </c>
      <c r="B8" s="11" t="s">
        <v>136</v>
      </c>
      <c r="C8" s="2"/>
      <c r="D8" s="2"/>
      <c r="E8" s="2"/>
    </row>
    <row r="9" spans="1:20">
      <c r="A9" s="19"/>
      <c r="B9" s="12"/>
      <c r="C9" s="2"/>
      <c r="D9" s="2"/>
      <c r="E9" s="2"/>
      <c r="F9" s="2"/>
    </row>
    <row r="10" spans="1:20">
      <c r="A10" s="20" t="s">
        <v>5</v>
      </c>
      <c r="B10" s="13" t="s">
        <v>6</v>
      </c>
      <c r="C10" s="25" t="s">
        <v>14</v>
      </c>
      <c r="D10" s="4"/>
      <c r="E10" s="4"/>
      <c r="F10" s="4"/>
      <c r="G10" s="4"/>
      <c r="H10" s="4"/>
      <c r="I10" s="4"/>
      <c r="J10" s="4"/>
      <c r="K10" s="4"/>
    </row>
    <row r="11" spans="1:20">
      <c r="A11" s="21"/>
      <c r="B11" s="14" t="s">
        <v>9</v>
      </c>
      <c r="C11" s="26"/>
      <c r="D11" s="4"/>
      <c r="E11" s="4"/>
      <c r="F11" s="4"/>
      <c r="G11" s="4"/>
      <c r="H11" s="4"/>
      <c r="I11" s="4"/>
      <c r="J11" s="4"/>
      <c r="K11" s="4"/>
    </row>
    <row r="12" spans="1:20">
      <c r="A12" s="22">
        <v>1</v>
      </c>
      <c r="B12" s="15" t="s">
        <v>7</v>
      </c>
      <c r="C12" s="27" t="s">
        <v>15</v>
      </c>
      <c r="D12" s="3"/>
      <c r="E12" s="3"/>
      <c r="F12" s="3"/>
      <c r="G12" s="3"/>
      <c r="H12" s="3"/>
      <c r="I12" s="3"/>
      <c r="J12" s="3"/>
      <c r="K12" s="3"/>
    </row>
    <row r="13" spans="1:20">
      <c r="A13" s="18">
        <v>2</v>
      </c>
      <c r="B13" s="15" t="s">
        <v>8</v>
      </c>
      <c r="C13" s="3"/>
      <c r="D13" s="3"/>
      <c r="E13" s="3"/>
      <c r="F13" s="3"/>
      <c r="G13" s="3"/>
      <c r="H13" s="3"/>
      <c r="I13" s="3"/>
      <c r="J13" s="3"/>
      <c r="K13" s="3"/>
    </row>
    <row r="14" spans="1:20" ht="75">
      <c r="A14" s="18">
        <v>3</v>
      </c>
      <c r="B14" s="16" t="s">
        <v>125</v>
      </c>
    </row>
    <row r="15" spans="1:20">
      <c r="A15" s="18">
        <v>4</v>
      </c>
      <c r="B15" s="16" t="s">
        <v>122</v>
      </c>
    </row>
    <row r="17" spans="1:3">
      <c r="A17" s="23"/>
      <c r="B17" s="17" t="s">
        <v>10</v>
      </c>
      <c r="C17" s="10"/>
    </row>
    <row r="18" spans="1:3" ht="30">
      <c r="A18" s="18">
        <v>1</v>
      </c>
      <c r="B18" s="16" t="s">
        <v>11</v>
      </c>
    </row>
    <row r="19" spans="1:3">
      <c r="A19" s="18">
        <v>2</v>
      </c>
      <c r="B19" s="16" t="s">
        <v>17</v>
      </c>
    </row>
    <row r="20" spans="1:3">
      <c r="A20" s="18">
        <v>3</v>
      </c>
      <c r="B20" s="16" t="s">
        <v>12</v>
      </c>
      <c r="C20" s="24" t="s">
        <v>13</v>
      </c>
    </row>
    <row r="21" spans="1:3">
      <c r="A21" s="18">
        <v>4</v>
      </c>
      <c r="B21" s="18" t="s">
        <v>18</v>
      </c>
    </row>
    <row r="22" spans="1:3" ht="30">
      <c r="A22" s="18">
        <v>5</v>
      </c>
      <c r="B22" s="16" t="s">
        <v>109</v>
      </c>
    </row>
    <row r="23" spans="1:3">
      <c r="A23" s="18">
        <v>6</v>
      </c>
      <c r="B23" s="16" t="s">
        <v>110</v>
      </c>
    </row>
    <row r="24" spans="1:3">
      <c r="A24" s="18">
        <v>7</v>
      </c>
      <c r="B24" s="16" t="s">
        <v>111</v>
      </c>
    </row>
    <row r="25" spans="1:3">
      <c r="A25" s="18">
        <v>8</v>
      </c>
      <c r="B25" s="16" t="s">
        <v>112</v>
      </c>
      <c r="C25" s="24" t="s">
        <v>113</v>
      </c>
    </row>
    <row r="26" spans="1:3">
      <c r="A26" s="18">
        <v>9</v>
      </c>
      <c r="B26" s="16" t="s">
        <v>114</v>
      </c>
    </row>
    <row r="27" spans="1:3" ht="45">
      <c r="A27" s="18">
        <v>10</v>
      </c>
      <c r="B27" s="7" t="s">
        <v>126</v>
      </c>
    </row>
    <row r="28" spans="1:3">
      <c r="A28" s="18">
        <v>11</v>
      </c>
      <c r="B28" s="7" t="s">
        <v>133</v>
      </c>
    </row>
    <row r="29" spans="1:3" ht="30">
      <c r="A29" s="18">
        <v>12</v>
      </c>
      <c r="B29" s="7" t="s">
        <v>134</v>
      </c>
    </row>
    <row r="30" spans="1:3">
      <c r="A30" s="18">
        <v>13</v>
      </c>
      <c r="B30" s="7" t="s">
        <v>135</v>
      </c>
    </row>
    <row r="31" spans="1:3">
      <c r="B31" s="7"/>
    </row>
    <row r="32" spans="1:3">
      <c r="A32" s="23"/>
      <c r="B32" s="94" t="s">
        <v>115</v>
      </c>
      <c r="C32" s="10"/>
    </row>
    <row r="34" spans="1:3">
      <c r="A34" s="18">
        <v>1</v>
      </c>
      <c r="B34" s="16" t="s">
        <v>116</v>
      </c>
    </row>
    <row r="35" spans="1:3">
      <c r="A35" s="18">
        <v>2</v>
      </c>
      <c r="B35" s="16" t="s">
        <v>117</v>
      </c>
      <c r="C35" s="24" t="s">
        <v>118</v>
      </c>
    </row>
    <row r="36" spans="1:3">
      <c r="A36" s="18">
        <v>3</v>
      </c>
      <c r="B36" s="16" t="s">
        <v>119</v>
      </c>
      <c r="C36" s="24" t="s">
        <v>120</v>
      </c>
    </row>
    <row r="37" spans="1:3">
      <c r="A37" s="18">
        <v>4</v>
      </c>
      <c r="B37" s="16" t="s">
        <v>121</v>
      </c>
    </row>
    <row r="38" spans="1:3">
      <c r="A38" s="18">
        <v>5</v>
      </c>
      <c r="B38" s="16" t="s">
        <v>123</v>
      </c>
    </row>
    <row r="39" spans="1:3">
      <c r="A39" s="18">
        <v>6</v>
      </c>
      <c r="B39" s="16" t="s">
        <v>17</v>
      </c>
    </row>
    <row r="41" spans="1:3">
      <c r="A41" s="23"/>
      <c r="B41" s="94" t="s">
        <v>124</v>
      </c>
      <c r="C41" s="10"/>
    </row>
    <row r="43" spans="1:3">
      <c r="A43" s="18">
        <v>1</v>
      </c>
      <c r="B43" s="16" t="s">
        <v>17</v>
      </c>
    </row>
    <row r="44" spans="1:3">
      <c r="A44" s="18">
        <v>2</v>
      </c>
      <c r="B44" s="16" t="s">
        <v>12</v>
      </c>
      <c r="C44" s="24" t="s">
        <v>13</v>
      </c>
    </row>
    <row r="45" spans="1:3">
      <c r="A45" s="18">
        <v>3</v>
      </c>
      <c r="B45" s="18" t="s">
        <v>18</v>
      </c>
    </row>
    <row r="46" spans="1:3" ht="30">
      <c r="A46" s="18">
        <v>4</v>
      </c>
      <c r="B46" s="16" t="s">
        <v>109</v>
      </c>
    </row>
    <row r="47" spans="1:3">
      <c r="A47" s="18">
        <v>5</v>
      </c>
      <c r="B47" s="16" t="s">
        <v>110</v>
      </c>
    </row>
    <row r="48" spans="1:3">
      <c r="A48" s="18">
        <v>6</v>
      </c>
      <c r="B48" s="16" t="s">
        <v>112</v>
      </c>
      <c r="C48" s="24" t="s">
        <v>113</v>
      </c>
    </row>
    <row r="49" spans="1:3">
      <c r="A49" s="18">
        <v>7</v>
      </c>
      <c r="B49" s="16" t="s">
        <v>114</v>
      </c>
    </row>
    <row r="50" spans="1:3">
      <c r="A50" s="18">
        <v>8</v>
      </c>
      <c r="B50" s="16" t="s">
        <v>117</v>
      </c>
      <c r="C50" s="24" t="s">
        <v>118</v>
      </c>
    </row>
    <row r="51" spans="1:3">
      <c r="A51" s="18">
        <v>9</v>
      </c>
      <c r="B51" s="16" t="s">
        <v>119</v>
      </c>
      <c r="C51" s="24" t="s">
        <v>120</v>
      </c>
    </row>
    <row r="52" spans="1:3">
      <c r="A52" s="97"/>
      <c r="B52" s="99" t="s">
        <v>132</v>
      </c>
      <c r="C52" s="98"/>
    </row>
    <row r="53" spans="1:3">
      <c r="A53" s="18">
        <v>10</v>
      </c>
      <c r="B53" s="16" t="s">
        <v>127</v>
      </c>
      <c r="C53" s="24" t="s">
        <v>137</v>
      </c>
    </row>
    <row r="54" spans="1:3">
      <c r="A54" s="18">
        <v>11</v>
      </c>
      <c r="B54" s="16" t="s">
        <v>128</v>
      </c>
      <c r="C54" s="24" t="s">
        <v>137</v>
      </c>
    </row>
    <row r="55" spans="1:3">
      <c r="A55" s="18">
        <v>12</v>
      </c>
      <c r="B55" s="16" t="s">
        <v>129</v>
      </c>
      <c r="C55" s="24" t="s">
        <v>137</v>
      </c>
    </row>
    <row r="56" spans="1:3">
      <c r="A56" s="18">
        <v>13</v>
      </c>
      <c r="B56" s="16" t="s">
        <v>130</v>
      </c>
      <c r="C56" s="24" t="s">
        <v>137</v>
      </c>
    </row>
    <row r="57" spans="1:3">
      <c r="A57" s="18">
        <v>14</v>
      </c>
      <c r="B57" s="16" t="s">
        <v>131</v>
      </c>
      <c r="C57" s="24" t="s">
        <v>137</v>
      </c>
    </row>
  </sheetData>
  <mergeCells count="3">
    <mergeCell ref="A6:B6"/>
    <mergeCell ref="A1:C3"/>
    <mergeCell ref="A4:C5"/>
  </mergeCells>
  <hyperlinks>
    <hyperlink ref="C20" location="employee_list!A1" display="emploee_list"/>
    <hyperlink ref="C12" location="'Calender '!A1" display="calender "/>
    <hyperlink ref="C25" location="sample_Attendence!A1" display="sample_attendence"/>
    <hyperlink ref="C35" location="leave_application!A1" display="leave_application"/>
    <hyperlink ref="C36" location="resignation!A1" display="resignation"/>
    <hyperlink ref="C44" location="employee_list!A1" display="emploee_list"/>
    <hyperlink ref="C48" location="sample_Attendence!A1" display="sample_attendence"/>
    <hyperlink ref="C50" location="leave_application!A1" display="leave_application"/>
    <hyperlink ref="C51" location="resignation!A1" display="resignation"/>
    <hyperlink ref="C53" location="hr_dashboard!A1" display="hr_dashboard"/>
    <hyperlink ref="C54" location="hr_dashboard!A1" display="hr_dashboard"/>
    <hyperlink ref="C55" location="hr_dashboard!A1" display="hr_dashboard"/>
    <hyperlink ref="C56" location="hr_dashboard!A1" display="hr_dashboard"/>
    <hyperlink ref="C57" location="hr_dashboard!A1" display="hr_dashboard"/>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3"/>
  <sheetViews>
    <sheetView showGridLines="0" workbookViewId="0"/>
  </sheetViews>
  <sheetFormatPr defaultRowHeight="15"/>
  <cols>
    <col min="1" max="1" width="18.85546875" customWidth="1"/>
  </cols>
  <sheetData>
    <row r="3" spans="1:1">
      <c r="A3" s="24" t="s">
        <v>16</v>
      </c>
    </row>
  </sheetData>
  <hyperlinks>
    <hyperlink ref="A3" location="new_Requirements!A1" display="new_requirements"/>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2"/>
  <sheetViews>
    <sheetView showGridLines="0" workbookViewId="0">
      <selection activeCell="A2" sqref="A2"/>
    </sheetView>
  </sheetViews>
  <sheetFormatPr defaultRowHeight="15"/>
  <cols>
    <col min="1" max="1" width="19.42578125" customWidth="1"/>
  </cols>
  <sheetData>
    <row r="2" spans="1:1">
      <c r="A2" s="24" t="s">
        <v>16</v>
      </c>
    </row>
  </sheetData>
  <hyperlinks>
    <hyperlink ref="A2" location="new_Requirements!A1" display="new_requirements"/>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AY60"/>
  <sheetViews>
    <sheetView workbookViewId="0"/>
  </sheetViews>
  <sheetFormatPr defaultRowHeight="15"/>
  <cols>
    <col min="1" max="1" width="20.140625" customWidth="1"/>
  </cols>
  <sheetData>
    <row r="1" spans="1:51" ht="45">
      <c r="A1" s="24" t="s">
        <v>16</v>
      </c>
      <c r="B1" s="28" t="s">
        <v>19</v>
      </c>
      <c r="C1" s="29" t="s">
        <v>20</v>
      </c>
      <c r="D1" s="30"/>
      <c r="E1" s="31" t="s">
        <v>21</v>
      </c>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3" t="s">
        <v>22</v>
      </c>
      <c r="AK1" s="34"/>
      <c r="AL1" s="34"/>
      <c r="AM1" s="34"/>
      <c r="AN1" s="34"/>
      <c r="AO1" s="34"/>
      <c r="AP1" s="34"/>
      <c r="AQ1" s="34"/>
      <c r="AR1" s="34"/>
      <c r="AS1" s="34"/>
      <c r="AT1" s="34"/>
      <c r="AU1" s="35"/>
      <c r="AV1" s="35"/>
      <c r="AW1" s="36">
        <f>DAY(T2)</f>
        <v>30</v>
      </c>
      <c r="AX1" s="35"/>
      <c r="AY1" s="35"/>
    </row>
    <row r="2" spans="1:51">
      <c r="B2" s="37"/>
      <c r="C2" s="38"/>
      <c r="D2" s="39"/>
      <c r="E2" s="40">
        <f>DATEVALUE(AJ1&amp;" 1, "&amp;AJ2)</f>
        <v>44136</v>
      </c>
      <c r="F2" s="41"/>
      <c r="G2" s="41"/>
      <c r="H2" s="41"/>
      <c r="I2" s="41"/>
      <c r="J2" s="41"/>
      <c r="K2" s="41"/>
      <c r="L2" s="41"/>
      <c r="M2" s="41"/>
      <c r="N2" s="41"/>
      <c r="O2" s="41"/>
      <c r="P2" s="41"/>
      <c r="Q2" s="41"/>
      <c r="R2" s="41"/>
      <c r="S2" s="41"/>
      <c r="T2" s="42">
        <f>EOMONTH(E2,0)</f>
        <v>44165</v>
      </c>
      <c r="U2" s="34"/>
      <c r="V2" s="34"/>
      <c r="W2" s="34"/>
      <c r="X2" s="34"/>
      <c r="Y2" s="34"/>
      <c r="Z2" s="34"/>
      <c r="AA2" s="34"/>
      <c r="AB2" s="34"/>
      <c r="AC2" s="34"/>
      <c r="AD2" s="34"/>
      <c r="AE2" s="34"/>
      <c r="AF2" s="34"/>
      <c r="AG2" s="34"/>
      <c r="AH2" s="34"/>
      <c r="AI2" s="34"/>
      <c r="AJ2" s="43">
        <v>2020</v>
      </c>
      <c r="AK2" s="44"/>
      <c r="AL2" s="44"/>
      <c r="AM2" s="44"/>
      <c r="AN2" s="44"/>
      <c r="AO2" s="44"/>
      <c r="AP2" s="44"/>
      <c r="AQ2" s="44"/>
      <c r="AR2" s="44"/>
      <c r="AS2" s="44"/>
      <c r="AT2" s="45"/>
      <c r="AU2" s="46"/>
      <c r="AV2" s="46"/>
      <c r="AW2" s="46"/>
      <c r="AX2" s="46"/>
      <c r="AY2" s="46"/>
    </row>
    <row r="3" spans="1:51">
      <c r="B3" s="37"/>
      <c r="C3" s="38"/>
      <c r="D3" s="39"/>
      <c r="E3" s="47"/>
      <c r="F3" s="32"/>
      <c r="G3" s="32"/>
      <c r="H3" s="32"/>
      <c r="I3" s="32"/>
      <c r="J3" s="32"/>
      <c r="K3" s="32"/>
      <c r="L3" s="32"/>
      <c r="M3" s="32"/>
      <c r="N3" s="32"/>
      <c r="O3" s="32"/>
      <c r="P3" s="32"/>
      <c r="Q3" s="32"/>
      <c r="R3" s="32"/>
      <c r="S3" s="32"/>
      <c r="T3" s="34"/>
      <c r="U3" s="48"/>
      <c r="V3" s="48"/>
      <c r="W3" s="48"/>
      <c r="X3" s="48"/>
      <c r="Y3" s="48"/>
      <c r="Z3" s="48"/>
      <c r="AA3" s="48"/>
      <c r="AB3" s="48"/>
      <c r="AC3" s="48"/>
      <c r="AD3" s="48"/>
      <c r="AE3" s="48"/>
      <c r="AF3" s="48"/>
      <c r="AG3" s="48"/>
      <c r="AH3" s="48"/>
      <c r="AI3" s="48"/>
      <c r="AJ3" s="49" t="s">
        <v>23</v>
      </c>
      <c r="AK3" s="50" t="s">
        <v>24</v>
      </c>
      <c r="AL3" s="51" t="s">
        <v>25</v>
      </c>
      <c r="AM3" s="51" t="s">
        <v>26</v>
      </c>
      <c r="AN3" s="52" t="s">
        <v>27</v>
      </c>
      <c r="AO3" s="52" t="s">
        <v>28</v>
      </c>
      <c r="AP3" s="53" t="s">
        <v>29</v>
      </c>
      <c r="AQ3" s="54"/>
      <c r="AR3" s="55" t="s">
        <v>30</v>
      </c>
      <c r="AS3" s="56"/>
      <c r="AT3" s="57" t="s">
        <v>31</v>
      </c>
      <c r="AU3" s="58"/>
      <c r="AV3" s="57" t="s">
        <v>32</v>
      </c>
      <c r="AW3" s="57" t="s">
        <v>33</v>
      </c>
      <c r="AX3" s="57" t="s">
        <v>34</v>
      </c>
      <c r="AY3" s="57" t="s">
        <v>35</v>
      </c>
    </row>
    <row r="4" spans="1:51" ht="52.5">
      <c r="B4" s="37"/>
      <c r="C4" s="38"/>
      <c r="D4" s="39"/>
      <c r="E4" s="59" t="str">
        <f t="shared" ref="E4:AI4" si="0">IF(WEEKDAY(E5)=2,"M",IF(WEEKDAY(E5)=3,"Tu",IF(WEEKDAY(E5)=4,"W",IF(WEEKDAY(E5)=5,"T",IF(WEEKDAY(E5)=6,"F",IF(WEEKDAY(E5)=7,"Sa",IF(WEEKDAY(E5)=1,"Su","")))))))</f>
        <v>Su</v>
      </c>
      <c r="F4" s="60" t="str">
        <f t="shared" si="0"/>
        <v>M</v>
      </c>
      <c r="G4" s="59" t="str">
        <f t="shared" si="0"/>
        <v>Tu</v>
      </c>
      <c r="H4" s="60" t="str">
        <f t="shared" si="0"/>
        <v>W</v>
      </c>
      <c r="I4" s="59" t="str">
        <f t="shared" si="0"/>
        <v>T</v>
      </c>
      <c r="J4" s="60" t="str">
        <f t="shared" si="0"/>
        <v>F</v>
      </c>
      <c r="K4" s="59" t="str">
        <f t="shared" si="0"/>
        <v>Sa</v>
      </c>
      <c r="L4" s="60" t="str">
        <f t="shared" si="0"/>
        <v>Su</v>
      </c>
      <c r="M4" s="59" t="str">
        <f t="shared" si="0"/>
        <v>M</v>
      </c>
      <c r="N4" s="60" t="str">
        <f t="shared" si="0"/>
        <v>Tu</v>
      </c>
      <c r="O4" s="61" t="str">
        <f t="shared" si="0"/>
        <v>W</v>
      </c>
      <c r="P4" s="60" t="str">
        <f t="shared" si="0"/>
        <v>T</v>
      </c>
      <c r="Q4" s="59" t="str">
        <f t="shared" si="0"/>
        <v>F</v>
      </c>
      <c r="R4" s="60" t="str">
        <f t="shared" si="0"/>
        <v>Sa</v>
      </c>
      <c r="S4" s="59" t="str">
        <f t="shared" si="0"/>
        <v>Su</v>
      </c>
      <c r="T4" s="60" t="str">
        <f t="shared" si="0"/>
        <v>M</v>
      </c>
      <c r="U4" s="59" t="str">
        <f t="shared" si="0"/>
        <v>Tu</v>
      </c>
      <c r="V4" s="60" t="str">
        <f t="shared" si="0"/>
        <v>W</v>
      </c>
      <c r="W4" s="59" t="str">
        <f t="shared" si="0"/>
        <v>T</v>
      </c>
      <c r="X4" s="60" t="str">
        <f t="shared" si="0"/>
        <v>F</v>
      </c>
      <c r="Y4" s="59" t="str">
        <f t="shared" si="0"/>
        <v>Sa</v>
      </c>
      <c r="Z4" s="60" t="str">
        <f t="shared" si="0"/>
        <v>Su</v>
      </c>
      <c r="AA4" s="59" t="str">
        <f t="shared" si="0"/>
        <v>M</v>
      </c>
      <c r="AB4" s="60" t="str">
        <f t="shared" si="0"/>
        <v>Tu</v>
      </c>
      <c r="AC4" s="61" t="str">
        <f t="shared" si="0"/>
        <v>W</v>
      </c>
      <c r="AD4" s="60" t="str">
        <f t="shared" si="0"/>
        <v>T</v>
      </c>
      <c r="AE4" s="59" t="str">
        <f t="shared" si="0"/>
        <v>F</v>
      </c>
      <c r="AF4" s="60" t="str">
        <f t="shared" si="0"/>
        <v>Sa</v>
      </c>
      <c r="AG4" s="60" t="str">
        <f t="shared" si="0"/>
        <v>Su</v>
      </c>
      <c r="AH4" s="60" t="str">
        <f t="shared" si="0"/>
        <v>M</v>
      </c>
      <c r="AI4" s="60" t="str">
        <f t="shared" si="0"/>
        <v>Tu</v>
      </c>
      <c r="AJ4" s="37"/>
      <c r="AK4" s="37"/>
      <c r="AL4" s="37"/>
      <c r="AM4" s="37"/>
      <c r="AN4" s="37"/>
      <c r="AO4" s="37"/>
      <c r="AP4" s="37"/>
      <c r="AQ4" s="54" t="s">
        <v>36</v>
      </c>
      <c r="AR4" s="37"/>
      <c r="AS4" s="56" t="s">
        <v>37</v>
      </c>
      <c r="AT4" s="37"/>
      <c r="AU4" s="58" t="s">
        <v>38</v>
      </c>
      <c r="AV4" s="37"/>
      <c r="AW4" s="37"/>
      <c r="AX4" s="37"/>
      <c r="AY4" s="37"/>
    </row>
    <row r="5" spans="1:51">
      <c r="B5" s="62"/>
      <c r="C5" s="47"/>
      <c r="D5" s="63"/>
      <c r="E5" s="64">
        <f>DATEVALUE(AJ1&amp;" 1, "&amp;AJ2)</f>
        <v>44136</v>
      </c>
      <c r="F5" s="65">
        <f t="shared" ref="F5:AI5" si="1">E5+1</f>
        <v>44137</v>
      </c>
      <c r="G5" s="65">
        <f t="shared" si="1"/>
        <v>44138</v>
      </c>
      <c r="H5" s="65">
        <f t="shared" si="1"/>
        <v>44139</v>
      </c>
      <c r="I5" s="65">
        <f t="shared" si="1"/>
        <v>44140</v>
      </c>
      <c r="J5" s="65">
        <f t="shared" si="1"/>
        <v>44141</v>
      </c>
      <c r="K5" s="65">
        <f t="shared" si="1"/>
        <v>44142</v>
      </c>
      <c r="L5" s="65">
        <f t="shared" si="1"/>
        <v>44143</v>
      </c>
      <c r="M5" s="65">
        <f t="shared" si="1"/>
        <v>44144</v>
      </c>
      <c r="N5" s="65">
        <f t="shared" si="1"/>
        <v>44145</v>
      </c>
      <c r="O5" s="65">
        <f t="shared" si="1"/>
        <v>44146</v>
      </c>
      <c r="P5" s="65">
        <f t="shared" si="1"/>
        <v>44147</v>
      </c>
      <c r="Q5" s="65">
        <f t="shared" si="1"/>
        <v>44148</v>
      </c>
      <c r="R5" s="65">
        <f t="shared" si="1"/>
        <v>44149</v>
      </c>
      <c r="S5" s="65">
        <f t="shared" si="1"/>
        <v>44150</v>
      </c>
      <c r="T5" s="65">
        <f t="shared" si="1"/>
        <v>44151</v>
      </c>
      <c r="U5" s="65">
        <f t="shared" si="1"/>
        <v>44152</v>
      </c>
      <c r="V5" s="65">
        <f t="shared" si="1"/>
        <v>44153</v>
      </c>
      <c r="W5" s="65">
        <f t="shared" si="1"/>
        <v>44154</v>
      </c>
      <c r="X5" s="65">
        <f t="shared" si="1"/>
        <v>44155</v>
      </c>
      <c r="Y5" s="65">
        <f t="shared" si="1"/>
        <v>44156</v>
      </c>
      <c r="Z5" s="65">
        <f t="shared" si="1"/>
        <v>44157</v>
      </c>
      <c r="AA5" s="65">
        <f t="shared" si="1"/>
        <v>44158</v>
      </c>
      <c r="AB5" s="65">
        <f t="shared" si="1"/>
        <v>44159</v>
      </c>
      <c r="AC5" s="65">
        <f t="shared" si="1"/>
        <v>44160</v>
      </c>
      <c r="AD5" s="65">
        <f t="shared" si="1"/>
        <v>44161</v>
      </c>
      <c r="AE5" s="65">
        <f t="shared" si="1"/>
        <v>44162</v>
      </c>
      <c r="AF5" s="65">
        <f t="shared" si="1"/>
        <v>44163</v>
      </c>
      <c r="AG5" s="66">
        <f t="shared" si="1"/>
        <v>44164</v>
      </c>
      <c r="AH5" s="66">
        <f t="shared" si="1"/>
        <v>44165</v>
      </c>
      <c r="AI5" s="66">
        <f t="shared" si="1"/>
        <v>44166</v>
      </c>
      <c r="AJ5" s="62"/>
      <c r="AK5" s="62"/>
      <c r="AL5" s="37"/>
      <c r="AM5" s="37"/>
      <c r="AN5" s="62"/>
      <c r="AO5" s="62"/>
      <c r="AP5" s="37"/>
      <c r="AQ5" s="54"/>
      <c r="AR5" s="37"/>
      <c r="AS5" s="56"/>
      <c r="AT5" s="37"/>
      <c r="AU5" s="58"/>
      <c r="AV5" s="37"/>
      <c r="AW5" s="37"/>
      <c r="AX5" s="37"/>
      <c r="AY5" s="37"/>
    </row>
    <row r="6" spans="1:51">
      <c r="B6" s="67">
        <v>1</v>
      </c>
      <c r="C6" s="68" t="s">
        <v>39</v>
      </c>
      <c r="D6" s="44"/>
      <c r="E6" s="69"/>
      <c r="F6" s="70" t="s">
        <v>40</v>
      </c>
      <c r="G6" s="70" t="s">
        <v>41</v>
      </c>
      <c r="H6" s="70" t="s">
        <v>41</v>
      </c>
      <c r="I6" s="70" t="s">
        <v>41</v>
      </c>
      <c r="J6" s="70" t="s">
        <v>40</v>
      </c>
      <c r="K6" s="69"/>
      <c r="L6" s="69"/>
      <c r="M6" s="70" t="s">
        <v>41</v>
      </c>
      <c r="N6" s="70" t="s">
        <v>40</v>
      </c>
      <c r="O6" s="70" t="s">
        <v>41</v>
      </c>
      <c r="P6" s="70" t="s">
        <v>41</v>
      </c>
      <c r="Q6" s="70" t="s">
        <v>41</v>
      </c>
      <c r="R6" s="70" t="s">
        <v>42</v>
      </c>
      <c r="S6" s="69"/>
      <c r="T6" s="70" t="s">
        <v>41</v>
      </c>
      <c r="U6" s="70" t="s">
        <v>41</v>
      </c>
      <c r="V6" s="70" t="s">
        <v>41</v>
      </c>
      <c r="W6" s="70" t="s">
        <v>40</v>
      </c>
      <c r="X6" s="70" t="s">
        <v>41</v>
      </c>
      <c r="Y6" s="69"/>
      <c r="Z6" s="69"/>
      <c r="AA6" s="70" t="s">
        <v>41</v>
      </c>
      <c r="AB6" s="70" t="s">
        <v>41</v>
      </c>
      <c r="AC6" s="70" t="s">
        <v>41</v>
      </c>
      <c r="AD6" s="70" t="s">
        <v>41</v>
      </c>
      <c r="AE6" s="70" t="s">
        <v>41</v>
      </c>
      <c r="AF6" s="70" t="s">
        <v>41</v>
      </c>
      <c r="AG6" s="69"/>
      <c r="AH6" s="70" t="s">
        <v>41</v>
      </c>
      <c r="AI6" s="70"/>
      <c r="AJ6" s="71">
        <f>((COUNTIF(E6:AI6,"P")+(COUNTIF(E6:AI6,"W")+((COUNTIF(E6:AI6,"WHP")/2)+((COUNTIF(E6:AI6,"HP")/2))+((COUNTIF(E6:AI6,"AHL")/2))+(COUNTIF(E6:AI6,"HPL")/2)+(COUNTIF(E6:AI6,"WHL")/2)))))</f>
        <v>4</v>
      </c>
      <c r="AK6" s="72">
        <f t="shared" ref="AK6:AK40" si="2">(COUNTIF(E6:AI6,"PL")+(COUNTIF(E6:AI6,"CL")+((((COUNTIF(E6:AI6,"HP")/2)+COUNTIF(E6:AI6,"AL"))+ (COUNTIF(E6:AI6,"AHL")/2))+ ((COUNTIF(E6:AI6,"WHP")/2)+(COUNTIF(E6:AI6,"HPL")/2)+(COUNTIF(E6:AI6,"WHL")/2)))))</f>
        <v>18</v>
      </c>
      <c r="AL6" s="73">
        <v>8</v>
      </c>
      <c r="AM6" s="74">
        <f t="shared" ref="AM6:AM40" si="3">COUNTIF(E6:AI6,"-")</f>
        <v>0</v>
      </c>
      <c r="AN6" s="74">
        <f t="shared" ref="AN6:AN40" si="4">SUM(COUNTIF(E6:AI6,"CO"),( COUNTIF(E6:AI6, "HCO")/2))</f>
        <v>0</v>
      </c>
      <c r="AO6" s="75">
        <v>0</v>
      </c>
      <c r="AP6" s="76">
        <f>IF(((SUM(COUNTIF(E6:AI6,"CL"),( COUNTIF(E6:AI6, "WHP")/2),( COUNTIF(E6:AI6, "HP")/2)))&lt;=AO6),(SUM(COUNTIF(E6:AI6,"CL"),( COUNTIF(E6:AI6, "WHP")/2),( COUNTIF(E6:AI6, "HP")/2))),AO6)</f>
        <v>0</v>
      </c>
      <c r="AQ6" s="76">
        <f t="shared" ref="AQ6:AQ40" si="5">COUNTIF(E6:AI6,"PL")+(COUNTIF(E6:AI6,"HPL")/2)</f>
        <v>0</v>
      </c>
      <c r="AR6" s="72">
        <f t="shared" ref="AR6:AR40" si="6">AK6-AP6-AQ6</f>
        <v>18</v>
      </c>
      <c r="AS6" s="72">
        <f t="shared" ref="AS6:AS40" si="7">AR6+AM6</f>
        <v>18</v>
      </c>
      <c r="AT6" s="77">
        <f>IF((SUM(COUNTIF(E6:AI6,"CL"),( COUNTIF(E6:AI6, "WHP")/2),( COUNTIF(E6:AI6,"HP")/2))&gt;=AO6),0,(AO6-(SUM(COUNTIF(E6:AI6,"CL"),( COUNTIF(E6:AI6, "WHP")/2),( COUNTIF(E6:AI6,"HP")/2)))))</f>
        <v>0</v>
      </c>
      <c r="AU6" s="78">
        <f>AJ6+AL6+AP6</f>
        <v>12</v>
      </c>
      <c r="AV6" s="78">
        <f t="shared" ref="AV6:AV40" si="8">SUM(COUNTIF(E6:AI6,"CO"),( COUNTIF(E6:AI6, "HCO")/2))</f>
        <v>0</v>
      </c>
      <c r="AW6" s="78">
        <f t="shared" ref="AW6:AW40" si="9">AT6+2+AV6</f>
        <v>2</v>
      </c>
      <c r="AX6" s="78">
        <f>AJ6+AK6+AL6+AM6</f>
        <v>30</v>
      </c>
      <c r="AY6" s="78" t="str">
        <f>IF((AX6=AW1), "Correct", "Error")</f>
        <v>Correct</v>
      </c>
    </row>
    <row r="7" spans="1:51">
      <c r="B7" s="67">
        <v>2</v>
      </c>
      <c r="C7" s="68" t="s">
        <v>43</v>
      </c>
      <c r="D7" s="44"/>
      <c r="E7" s="69"/>
      <c r="F7" s="70" t="s">
        <v>44</v>
      </c>
      <c r="G7" s="70" t="s">
        <v>44</v>
      </c>
      <c r="H7" s="70" t="s">
        <v>44</v>
      </c>
      <c r="I7" s="70" t="s">
        <v>44</v>
      </c>
      <c r="J7" s="70" t="s">
        <v>44</v>
      </c>
      <c r="K7" s="69"/>
      <c r="L7" s="69"/>
      <c r="M7" s="70" t="s">
        <v>44</v>
      </c>
      <c r="N7" s="70" t="s">
        <v>44</v>
      </c>
      <c r="O7" s="70" t="s">
        <v>44</v>
      </c>
      <c r="P7" s="70" t="s">
        <v>44</v>
      </c>
      <c r="Q7" s="70" t="s">
        <v>44</v>
      </c>
      <c r="R7" s="70" t="s">
        <v>42</v>
      </c>
      <c r="S7" s="69"/>
      <c r="T7" s="70" t="s">
        <v>44</v>
      </c>
      <c r="U7" s="70" t="s">
        <v>44</v>
      </c>
      <c r="V7" s="70" t="s">
        <v>44</v>
      </c>
      <c r="W7" s="70"/>
      <c r="X7" s="70"/>
      <c r="Y7" s="69"/>
      <c r="Z7" s="69"/>
      <c r="AA7" s="70"/>
      <c r="AB7" s="70"/>
      <c r="AC7" s="70"/>
      <c r="AD7" s="70"/>
      <c r="AE7" s="70"/>
      <c r="AF7" s="70"/>
      <c r="AG7" s="69"/>
      <c r="AH7" s="70"/>
      <c r="AI7" s="70"/>
      <c r="AJ7" s="71">
        <f t="shared" ref="AJ7:AJ40" si="10">((COUNTIF(E7:AI7,"P")+(COUNTIF(E7:AI7,"W")+((COUNTIF(E7:AI7,"WHP")/2)+((COUNTIF(E7:AI7,"HP")/2))+((COUNTIF(E7:AI7,"AHL")/2))+(COUNTIF(E7:AI7,"HPL")/2)+(COUNTIF(E7:AI7,"WHL")/2)))))</f>
        <v>13</v>
      </c>
      <c r="AK7" s="72">
        <f t="shared" si="2"/>
        <v>0</v>
      </c>
      <c r="AL7" s="73">
        <v>8</v>
      </c>
      <c r="AM7" s="74">
        <f t="shared" si="3"/>
        <v>0</v>
      </c>
      <c r="AN7" s="74">
        <f t="shared" si="4"/>
        <v>0</v>
      </c>
      <c r="AO7" s="79">
        <v>14.5</v>
      </c>
      <c r="AP7" s="76">
        <f>IF(((SUM(COUNTIF(E7:AI7,"CL"),( COUNTIF(E7:AI7, "WHP")/2),( COUNTIF(E7:AI7, "HP")/2)))&lt;=AO7),(SUM(COUNTIF(E7:AI7,"CL"),( COUNTIF(E7:AI7, "WHP")/2),( COUNTIF(E7:AI7, "HP")/2))),AO7)</f>
        <v>0</v>
      </c>
      <c r="AQ7" s="76">
        <f t="shared" si="5"/>
        <v>0</v>
      </c>
      <c r="AR7" s="72">
        <f t="shared" si="6"/>
        <v>0</v>
      </c>
      <c r="AS7" s="72">
        <f t="shared" si="7"/>
        <v>0</v>
      </c>
      <c r="AT7" s="77">
        <f>IF((SUM(COUNTIF(E7:AI7,"CL"),( COUNTIF(E7:AI7, "WHP")/2),( COUNTIF(E7:AI7,"HP")/2))&gt;=AO7),0,(AO7-(SUM(COUNTIF(E7:AI7,"CL"),( COUNTIF(E7:AI7, "WHP")/2),( COUNTIF(E7:AI7,"HP")/2)))))</f>
        <v>14.5</v>
      </c>
      <c r="AU7" s="78">
        <f>AJ7+AL7+AP7</f>
        <v>21</v>
      </c>
      <c r="AV7" s="78">
        <f t="shared" si="8"/>
        <v>0</v>
      </c>
      <c r="AW7" s="78">
        <f t="shared" si="9"/>
        <v>16.5</v>
      </c>
      <c r="AX7" s="78">
        <f>AJ7+AK7+AL7+AM7</f>
        <v>21</v>
      </c>
      <c r="AY7" s="78" t="str">
        <f>IF((AX7=AW1), "Correct", "Error")</f>
        <v>Error</v>
      </c>
    </row>
    <row r="8" spans="1:51">
      <c r="B8" s="67">
        <v>3</v>
      </c>
      <c r="C8" s="68" t="s">
        <v>45</v>
      </c>
      <c r="D8" s="44"/>
      <c r="E8" s="69"/>
      <c r="F8" s="70" t="s">
        <v>40</v>
      </c>
      <c r="G8" s="70" t="s">
        <v>40</v>
      </c>
      <c r="H8" s="70" t="s">
        <v>46</v>
      </c>
      <c r="I8" s="70" t="s">
        <v>40</v>
      </c>
      <c r="J8" s="70" t="s">
        <v>40</v>
      </c>
      <c r="K8" s="69"/>
      <c r="L8" s="69"/>
      <c r="M8" s="70" t="s">
        <v>40</v>
      </c>
      <c r="N8" s="70" t="s">
        <v>40</v>
      </c>
      <c r="O8" s="70" t="s">
        <v>47</v>
      </c>
      <c r="P8" s="70" t="s">
        <v>40</v>
      </c>
      <c r="Q8" s="70" t="s">
        <v>40</v>
      </c>
      <c r="R8" s="70" t="s">
        <v>42</v>
      </c>
      <c r="S8" s="69"/>
      <c r="T8" s="70" t="s">
        <v>40</v>
      </c>
      <c r="U8" s="70" t="s">
        <v>40</v>
      </c>
      <c r="V8" s="70" t="s">
        <v>40</v>
      </c>
      <c r="W8" s="70"/>
      <c r="X8" s="70"/>
      <c r="Y8" s="69"/>
      <c r="Z8" s="69"/>
      <c r="AA8" s="70"/>
      <c r="AB8" s="70"/>
      <c r="AC8" s="70"/>
      <c r="AD8" s="70"/>
      <c r="AE8" s="70"/>
      <c r="AF8" s="70"/>
      <c r="AG8" s="69"/>
      <c r="AH8" s="70"/>
      <c r="AI8" s="70"/>
      <c r="AJ8" s="71">
        <f t="shared" si="10"/>
        <v>11.5</v>
      </c>
      <c r="AK8" s="72">
        <f t="shared" si="2"/>
        <v>1.5</v>
      </c>
      <c r="AL8" s="73">
        <v>8</v>
      </c>
      <c r="AM8" s="74">
        <f t="shared" si="3"/>
        <v>0</v>
      </c>
      <c r="AN8" s="74">
        <f t="shared" si="4"/>
        <v>0</v>
      </c>
      <c r="AO8" s="75">
        <v>8.5</v>
      </c>
      <c r="AP8" s="76">
        <f>IF(((SUM(COUNTIF(E8:AI8,"CL"),( COUNTIF(E8:AI8, "WHP")/2),( COUNTIF(E8:AI8, "HP")/2)))&lt;=AO8),(SUM(COUNTIF(E8:AI8,"CL"),( COUNTIF(E8:AI8, "WHP")/2),( COUNTIF(E8:AI8, "HP")/2))),AO8)</f>
        <v>1.5</v>
      </c>
      <c r="AQ8" s="76">
        <f t="shared" si="5"/>
        <v>0</v>
      </c>
      <c r="AR8" s="72">
        <f t="shared" si="6"/>
        <v>0</v>
      </c>
      <c r="AS8" s="72">
        <f t="shared" si="7"/>
        <v>0</v>
      </c>
      <c r="AT8" s="77">
        <f>IF((SUM(COUNTIF(E8:AI8,"CL"),( COUNTIF(E8:AI8, "WHP")/2),( COUNTIF(E8:AI8,"HP")/2))&gt;=AO8),0,(AO8-(SUM(COUNTIF(E8:AI8,"CL"),( COUNTIF(E8:AI8, "WHP")/2),( COUNTIF(E8:AI8,"HP")/2)))))</f>
        <v>7</v>
      </c>
      <c r="AU8" s="78">
        <f>AJ8+AL8+AP8</f>
        <v>21</v>
      </c>
      <c r="AV8" s="78">
        <f t="shared" si="8"/>
        <v>0</v>
      </c>
      <c r="AW8" s="78">
        <f t="shared" si="9"/>
        <v>9</v>
      </c>
      <c r="AX8" s="78">
        <f>AJ8+AK8+AL8+AM8</f>
        <v>21</v>
      </c>
      <c r="AY8" s="78" t="str">
        <f>IF((AX8=AW1), "Correct", "Error")</f>
        <v>Error</v>
      </c>
    </row>
    <row r="9" spans="1:51">
      <c r="B9" s="67">
        <v>4</v>
      </c>
      <c r="C9" s="68" t="s">
        <v>48</v>
      </c>
      <c r="D9" s="44"/>
      <c r="E9" s="69"/>
      <c r="F9" s="70" t="s">
        <v>44</v>
      </c>
      <c r="G9" s="70" t="s">
        <v>44</v>
      </c>
      <c r="H9" s="70" t="s">
        <v>44</v>
      </c>
      <c r="I9" s="70" t="s">
        <v>44</v>
      </c>
      <c r="J9" s="70" t="s">
        <v>44</v>
      </c>
      <c r="K9" s="69"/>
      <c r="L9" s="69"/>
      <c r="M9" s="70" t="s">
        <v>44</v>
      </c>
      <c r="N9" s="70" t="s">
        <v>44</v>
      </c>
      <c r="O9" s="70" t="s">
        <v>44</v>
      </c>
      <c r="P9" s="70" t="s">
        <v>44</v>
      </c>
      <c r="Q9" s="70" t="s">
        <v>44</v>
      </c>
      <c r="R9" s="70" t="s">
        <v>42</v>
      </c>
      <c r="S9" s="69"/>
      <c r="T9" s="70" t="s">
        <v>44</v>
      </c>
      <c r="U9" s="70" t="s">
        <v>44</v>
      </c>
      <c r="V9" s="70" t="s">
        <v>44</v>
      </c>
      <c r="W9" s="70" t="s">
        <v>44</v>
      </c>
      <c r="X9" s="70" t="s">
        <v>44</v>
      </c>
      <c r="Y9" s="69"/>
      <c r="Z9" s="69"/>
      <c r="AA9" s="70" t="s">
        <v>44</v>
      </c>
      <c r="AB9" s="70" t="s">
        <v>44</v>
      </c>
      <c r="AC9" s="70" t="s">
        <v>44</v>
      </c>
      <c r="AD9" s="70" t="s">
        <v>44</v>
      </c>
      <c r="AE9" s="70" t="s">
        <v>44</v>
      </c>
      <c r="AF9" s="70" t="s">
        <v>44</v>
      </c>
      <c r="AG9" s="69"/>
      <c r="AH9" s="70" t="s">
        <v>44</v>
      </c>
      <c r="AI9" s="70"/>
      <c r="AJ9" s="71">
        <f t="shared" si="10"/>
        <v>22</v>
      </c>
      <c r="AK9" s="72">
        <f t="shared" si="2"/>
        <v>0</v>
      </c>
      <c r="AL9" s="73">
        <v>8</v>
      </c>
      <c r="AM9" s="74">
        <f t="shared" si="3"/>
        <v>0</v>
      </c>
      <c r="AN9" s="74">
        <f t="shared" si="4"/>
        <v>0</v>
      </c>
      <c r="AO9" s="79">
        <v>3</v>
      </c>
      <c r="AP9" s="76">
        <f>IF(((SUM(COUNTIF(E9:AI9,"CL"),( COUNTIF(E9:AI9, "WHP")/2),( COUNTIF(E9:AI9, "HP")/2)))&lt;=AO9),(SUM(COUNTIF(E9:AI9,"CL"),( COUNTIF(E9:AI9, "WHP")/2),( COUNTIF(E9:AI9, "HP")/2))),AO9)</f>
        <v>0</v>
      </c>
      <c r="AQ9" s="76">
        <f t="shared" si="5"/>
        <v>0</v>
      </c>
      <c r="AR9" s="72">
        <f t="shared" si="6"/>
        <v>0</v>
      </c>
      <c r="AS9" s="72">
        <f t="shared" si="7"/>
        <v>0</v>
      </c>
      <c r="AT9" s="77">
        <f>IF((SUM(COUNTIF(E9:AI9,"CL"),( COUNTIF(E9:AI9, "WHP")/2),( COUNTIF(E9:AI9,"HP")/2))&gt;=AO9),0,(AO9-(SUM(COUNTIF(E9:AI9,"CL"),( COUNTIF(E9:AI9, "WHP")/2),( COUNTIF(E9:AI9,"HP")/2)))))</f>
        <v>3</v>
      </c>
      <c r="AU9" s="78">
        <f>AJ9+AL9+AP9</f>
        <v>30</v>
      </c>
      <c r="AV9" s="78">
        <f t="shared" si="8"/>
        <v>0</v>
      </c>
      <c r="AW9" s="78">
        <f t="shared" si="9"/>
        <v>5</v>
      </c>
      <c r="AX9" s="78">
        <f>AJ9+AK9+AL9+AM9</f>
        <v>30</v>
      </c>
      <c r="AY9" s="78" t="str">
        <f>IF((AX9=AW1), "Correct", "Error")</f>
        <v>Correct</v>
      </c>
    </row>
    <row r="10" spans="1:51">
      <c r="B10" s="67">
        <v>5</v>
      </c>
      <c r="C10" s="68" t="s">
        <v>49</v>
      </c>
      <c r="D10" s="44"/>
      <c r="E10" s="69"/>
      <c r="F10" s="70" t="s">
        <v>44</v>
      </c>
      <c r="G10" s="70" t="s">
        <v>44</v>
      </c>
      <c r="H10" s="70" t="s">
        <v>46</v>
      </c>
      <c r="I10" s="70" t="s">
        <v>44</v>
      </c>
      <c r="J10" s="70" t="s">
        <v>44</v>
      </c>
      <c r="K10" s="69"/>
      <c r="L10" s="69"/>
      <c r="M10" s="70" t="s">
        <v>44</v>
      </c>
      <c r="N10" s="70" t="s">
        <v>44</v>
      </c>
      <c r="O10" s="70" t="s">
        <v>44</v>
      </c>
      <c r="P10" s="70" t="s">
        <v>44</v>
      </c>
      <c r="Q10" s="70" t="s">
        <v>44</v>
      </c>
      <c r="R10" s="70" t="s">
        <v>42</v>
      </c>
      <c r="S10" s="69"/>
      <c r="T10" s="70" t="s">
        <v>44</v>
      </c>
      <c r="U10" s="70" t="s">
        <v>44</v>
      </c>
      <c r="V10" s="70" t="s">
        <v>44</v>
      </c>
      <c r="W10" s="70" t="s">
        <v>44</v>
      </c>
      <c r="X10" s="70" t="s">
        <v>44</v>
      </c>
      <c r="Y10" s="69"/>
      <c r="Z10" s="69"/>
      <c r="AA10" s="70" t="s">
        <v>44</v>
      </c>
      <c r="AB10" s="70" t="s">
        <v>44</v>
      </c>
      <c r="AC10" s="70" t="s">
        <v>44</v>
      </c>
      <c r="AD10" s="70" t="s">
        <v>44</v>
      </c>
      <c r="AE10" s="70" t="s">
        <v>44</v>
      </c>
      <c r="AF10" s="70" t="s">
        <v>44</v>
      </c>
      <c r="AG10" s="69"/>
      <c r="AH10" s="70" t="s">
        <v>44</v>
      </c>
      <c r="AI10" s="70"/>
      <c r="AJ10" s="71">
        <f t="shared" si="10"/>
        <v>21</v>
      </c>
      <c r="AK10" s="72">
        <f t="shared" si="2"/>
        <v>1</v>
      </c>
      <c r="AL10" s="73">
        <v>8</v>
      </c>
      <c r="AM10" s="74">
        <f t="shared" si="3"/>
        <v>0</v>
      </c>
      <c r="AN10" s="74">
        <f t="shared" si="4"/>
        <v>0</v>
      </c>
      <c r="AO10" s="79">
        <v>17.5</v>
      </c>
      <c r="AP10" s="76">
        <f>IF(((SUM(COUNTIF(E10:AI10,"CL"),( COUNTIF(E10:AI10, "WHP")/2),( COUNTIF(E10:AI10, "HP")/2)))&lt;=AO10),(SUM(COUNTIF(E10:AI10,"CL"),( COUNTIF(E10:AI10, "WHP")/2),( COUNTIF(E10:AI10, "HP")/2))),AO10)</f>
        <v>1</v>
      </c>
      <c r="AQ10" s="76">
        <f t="shared" si="5"/>
        <v>0</v>
      </c>
      <c r="AR10" s="72">
        <f t="shared" si="6"/>
        <v>0</v>
      </c>
      <c r="AS10" s="72">
        <f t="shared" si="7"/>
        <v>0</v>
      </c>
      <c r="AT10" s="77">
        <f>IF((SUM(COUNTIF(E10:AI10,"CL"),( COUNTIF(E10:AI10, "WHP")/2),( COUNTIF(E10:AI10,"HP")/2))&gt;=AO10),0,(AO10-(SUM(COUNTIF(E10:AI10,"CL"),( COUNTIF(E10:AI10, "WHP")/2),( COUNTIF(E10:AI10,"HP")/2)))))</f>
        <v>16.5</v>
      </c>
      <c r="AU10" s="78">
        <f>AJ10+AL10+AP10</f>
        <v>30</v>
      </c>
      <c r="AV10" s="78">
        <f t="shared" si="8"/>
        <v>0</v>
      </c>
      <c r="AW10" s="78">
        <f t="shared" si="9"/>
        <v>18.5</v>
      </c>
      <c r="AX10" s="78">
        <f>AJ10+AK10+AL10+AM10</f>
        <v>30</v>
      </c>
      <c r="AY10" s="78" t="str">
        <f>IF((AX10=AW1), "Correct", "Error")</f>
        <v>Correct</v>
      </c>
    </row>
    <row r="11" spans="1:51">
      <c r="B11" s="67">
        <v>6</v>
      </c>
      <c r="C11" s="68" t="s">
        <v>50</v>
      </c>
      <c r="D11" s="44"/>
      <c r="E11" s="69"/>
      <c r="F11" s="70" t="s">
        <v>40</v>
      </c>
      <c r="G11" s="70" t="s">
        <v>44</v>
      </c>
      <c r="H11" s="70" t="s">
        <v>44</v>
      </c>
      <c r="I11" s="70" t="s">
        <v>44</v>
      </c>
      <c r="J11" s="70" t="s">
        <v>44</v>
      </c>
      <c r="K11" s="69"/>
      <c r="L11" s="69"/>
      <c r="M11" s="70" t="s">
        <v>44</v>
      </c>
      <c r="N11" s="70" t="s">
        <v>44</v>
      </c>
      <c r="O11" s="70" t="s">
        <v>44</v>
      </c>
      <c r="P11" s="70" t="s">
        <v>44</v>
      </c>
      <c r="Q11" s="70" t="s">
        <v>44</v>
      </c>
      <c r="R11" s="70" t="s">
        <v>42</v>
      </c>
      <c r="S11" s="69"/>
      <c r="T11" s="70" t="s">
        <v>44</v>
      </c>
      <c r="U11" s="70" t="s">
        <v>44</v>
      </c>
      <c r="V11" s="70" t="s">
        <v>44</v>
      </c>
      <c r="W11" s="70" t="s">
        <v>44</v>
      </c>
      <c r="X11" s="70" t="s">
        <v>44</v>
      </c>
      <c r="Y11" s="69"/>
      <c r="Z11" s="69"/>
      <c r="AA11" s="70" t="s">
        <v>44</v>
      </c>
      <c r="AB11" s="70" t="s">
        <v>44</v>
      </c>
      <c r="AC11" s="70" t="s">
        <v>44</v>
      </c>
      <c r="AD11" s="70" t="s">
        <v>44</v>
      </c>
      <c r="AE11" s="70" t="s">
        <v>44</v>
      </c>
      <c r="AF11" s="70" t="s">
        <v>44</v>
      </c>
      <c r="AG11" s="69"/>
      <c r="AH11" s="70" t="s">
        <v>44</v>
      </c>
      <c r="AI11" s="70"/>
      <c r="AJ11" s="71">
        <f t="shared" si="10"/>
        <v>22</v>
      </c>
      <c r="AK11" s="72">
        <f t="shared" si="2"/>
        <v>0</v>
      </c>
      <c r="AL11" s="73">
        <v>8</v>
      </c>
      <c r="AM11" s="74">
        <f t="shared" si="3"/>
        <v>0</v>
      </c>
      <c r="AN11" s="74">
        <f t="shared" si="4"/>
        <v>0</v>
      </c>
      <c r="AO11" s="79">
        <v>10</v>
      </c>
      <c r="AP11" s="76">
        <f>IF(((SUM(COUNTIF(E11:AI11,"CL"),( COUNTIF(E11:AI11, "WHP")/2),( COUNTIF(E11:AI11, "HP")/2)))&lt;=AO11),(SUM(COUNTIF(E11:AI11,"CL"),( COUNTIF(E11:AI11, "WHP")/2),( COUNTIF(E11:AI11, "HP")/2))),AO11)</f>
        <v>0</v>
      </c>
      <c r="AQ11" s="76">
        <f t="shared" si="5"/>
        <v>0</v>
      </c>
      <c r="AR11" s="72">
        <f t="shared" si="6"/>
        <v>0</v>
      </c>
      <c r="AS11" s="72">
        <f t="shared" si="7"/>
        <v>0</v>
      </c>
      <c r="AT11" s="77">
        <f>IF((SUM(COUNTIF(E11:AI11,"CL"),( COUNTIF(E11:AI11, "WHP")/2),( COUNTIF(E11:AI11,"HP")/2))&gt;=AO11),0,(AO11-(SUM(COUNTIF(E11:AI11,"CL"),( COUNTIF(E11:AI11, "WHP")/2),( COUNTIF(E11:AI11,"HP")/2)))))</f>
        <v>10</v>
      </c>
      <c r="AU11" s="78">
        <f>AJ11+AL11+AP11+AQ11</f>
        <v>30</v>
      </c>
      <c r="AV11" s="78">
        <f t="shared" si="8"/>
        <v>0</v>
      </c>
      <c r="AW11" s="78">
        <f t="shared" si="9"/>
        <v>12</v>
      </c>
      <c r="AX11" s="78">
        <f>AJ11+AK11+AL11+AM11</f>
        <v>30</v>
      </c>
      <c r="AY11" s="78" t="str">
        <f>IF((AX11=AW1), "Correct", "Error")</f>
        <v>Correct</v>
      </c>
    </row>
    <row r="12" spans="1:51">
      <c r="B12" s="67">
        <v>7</v>
      </c>
      <c r="C12" s="68" t="s">
        <v>51</v>
      </c>
      <c r="D12" s="44"/>
      <c r="E12" s="69"/>
      <c r="F12" s="70" t="s">
        <v>40</v>
      </c>
      <c r="G12" s="70" t="s">
        <v>40</v>
      </c>
      <c r="H12" s="70" t="s">
        <v>41</v>
      </c>
      <c r="I12" s="70" t="s">
        <v>46</v>
      </c>
      <c r="J12" s="70" t="s">
        <v>46</v>
      </c>
      <c r="K12" s="69"/>
      <c r="L12" s="69"/>
      <c r="M12" s="70" t="s">
        <v>40</v>
      </c>
      <c r="N12" s="70" t="s">
        <v>40</v>
      </c>
      <c r="O12" s="70" t="s">
        <v>40</v>
      </c>
      <c r="P12" s="70" t="s">
        <v>40</v>
      </c>
      <c r="Q12" s="70" t="s">
        <v>40</v>
      </c>
      <c r="R12" s="70" t="s">
        <v>42</v>
      </c>
      <c r="S12" s="69"/>
      <c r="T12" s="70" t="s">
        <v>40</v>
      </c>
      <c r="U12" s="70" t="s">
        <v>40</v>
      </c>
      <c r="V12" s="70" t="s">
        <v>40</v>
      </c>
      <c r="W12" s="70"/>
      <c r="X12" s="70"/>
      <c r="Y12" s="69"/>
      <c r="Z12" s="69"/>
      <c r="AA12" s="70"/>
      <c r="AB12" s="70"/>
      <c r="AC12" s="70"/>
      <c r="AD12" s="70"/>
      <c r="AE12" s="70"/>
      <c r="AF12" s="70"/>
      <c r="AG12" s="69"/>
      <c r="AH12" s="70"/>
      <c r="AI12" s="70"/>
      <c r="AJ12" s="71">
        <f t="shared" si="10"/>
        <v>10</v>
      </c>
      <c r="AK12" s="72">
        <f t="shared" si="2"/>
        <v>3</v>
      </c>
      <c r="AL12" s="73">
        <v>8</v>
      </c>
      <c r="AM12" s="74">
        <f t="shared" si="3"/>
        <v>0</v>
      </c>
      <c r="AN12" s="74">
        <f t="shared" si="4"/>
        <v>0</v>
      </c>
      <c r="AO12" s="79">
        <v>2</v>
      </c>
      <c r="AP12" s="76">
        <f>IF(((SUM(COUNTIF(E12:AI12,"CL"),( COUNTIF(E12:AI12, "WHP")/2),( COUNTIF(E12:AI12, "HP")/2)))&lt;=AO12),(SUM(COUNTIF(E12:AI12,"CL"),( COUNTIF(E12:AI12, "WHP")/2),( COUNTIF(E12:AI12, "HP")/2))),AO12)</f>
        <v>2</v>
      </c>
      <c r="AQ12" s="76">
        <f t="shared" si="5"/>
        <v>0</v>
      </c>
      <c r="AR12" s="72">
        <f t="shared" si="6"/>
        <v>1</v>
      </c>
      <c r="AS12" s="72">
        <f t="shared" si="7"/>
        <v>1</v>
      </c>
      <c r="AT12" s="77">
        <f>IF((SUM(COUNTIF(E12:AI12,"CL"),( COUNTIF(E12:AI12, "WHP")/2),( COUNTIF(E12:AI12,"HP")/2))&gt;=AO12),0,(AO12-(SUM(COUNTIF(E12:AI12,"CL"),( COUNTIF(E12:AI12, "WHP")/2),( COUNTIF(E12:AI12,"HP")/2)))))</f>
        <v>0</v>
      </c>
      <c r="AU12" s="78">
        <f>AJ12+AL12+AP12</f>
        <v>20</v>
      </c>
      <c r="AV12" s="78">
        <f t="shared" si="8"/>
        <v>0</v>
      </c>
      <c r="AW12" s="78">
        <f t="shared" si="9"/>
        <v>2</v>
      </c>
      <c r="AX12" s="78">
        <f>AJ12+AK12+AL12+AM12</f>
        <v>21</v>
      </c>
      <c r="AY12" s="78" t="str">
        <f>IF((AX12=AW1), "Correct", "Error")</f>
        <v>Error</v>
      </c>
    </row>
    <row r="13" spans="1:51">
      <c r="B13" s="67">
        <v>8</v>
      </c>
      <c r="C13" s="68" t="s">
        <v>52</v>
      </c>
      <c r="D13" s="44"/>
      <c r="E13" s="69"/>
      <c r="F13" s="70" t="s">
        <v>40</v>
      </c>
      <c r="G13" s="70" t="s">
        <v>40</v>
      </c>
      <c r="H13" s="70" t="s">
        <v>40</v>
      </c>
      <c r="I13" s="70" t="s">
        <v>40</v>
      </c>
      <c r="J13" s="70" t="s">
        <v>40</v>
      </c>
      <c r="K13" s="69"/>
      <c r="L13" s="69"/>
      <c r="M13" s="70" t="s">
        <v>40</v>
      </c>
      <c r="N13" s="70" t="s">
        <v>40</v>
      </c>
      <c r="O13" s="70" t="s">
        <v>40</v>
      </c>
      <c r="P13" s="70" t="s">
        <v>40</v>
      </c>
      <c r="Q13" s="70" t="s">
        <v>40</v>
      </c>
      <c r="R13" s="70" t="s">
        <v>42</v>
      </c>
      <c r="S13" s="69"/>
      <c r="T13" s="70" t="s">
        <v>40</v>
      </c>
      <c r="U13" s="70" t="s">
        <v>40</v>
      </c>
      <c r="V13" s="70" t="s">
        <v>40</v>
      </c>
      <c r="W13" s="70" t="s">
        <v>40</v>
      </c>
      <c r="X13" s="70" t="s">
        <v>46</v>
      </c>
      <c r="Y13" s="69"/>
      <c r="Z13" s="69"/>
      <c r="AA13" s="70"/>
      <c r="AB13" s="70"/>
      <c r="AC13" s="70"/>
      <c r="AD13" s="70"/>
      <c r="AE13" s="70"/>
      <c r="AF13" s="70"/>
      <c r="AG13" s="69"/>
      <c r="AH13" s="70"/>
      <c r="AI13" s="70"/>
      <c r="AJ13" s="71">
        <f t="shared" si="10"/>
        <v>14</v>
      </c>
      <c r="AK13" s="72">
        <f t="shared" si="2"/>
        <v>1</v>
      </c>
      <c r="AL13" s="73">
        <v>8</v>
      </c>
      <c r="AM13" s="74">
        <f t="shared" si="3"/>
        <v>0</v>
      </c>
      <c r="AN13" s="74">
        <f t="shared" si="4"/>
        <v>0</v>
      </c>
      <c r="AO13" s="79">
        <v>12</v>
      </c>
      <c r="AP13" s="76">
        <f>IF(((SUM(COUNTIF(E13:AI13,"CL"),( COUNTIF(E13:AI13, "WHP")/2),( COUNTIF(E13:AI13, "HP")/2)))&lt;=AO13),(SUM(COUNTIF(E13:AI13,"CL"),( COUNTIF(E13:AI13, "WHP")/2),( COUNTIF(E13:AI13, "HP")/2))),AO13)</f>
        <v>1</v>
      </c>
      <c r="AQ13" s="76">
        <f t="shared" si="5"/>
        <v>0</v>
      </c>
      <c r="AR13" s="72">
        <f t="shared" si="6"/>
        <v>0</v>
      </c>
      <c r="AS13" s="72">
        <f t="shared" si="7"/>
        <v>0</v>
      </c>
      <c r="AT13" s="77">
        <f>IF((SUM(COUNTIF(E13:AI13,"CL"),( COUNTIF(E13:AI13, "WHP")/2),( COUNTIF(E13:AI13,"HP")/2))&gt;=AO13),0,(AO13-(SUM(COUNTIF(E13:AI13,"CL"),( COUNTIF(E13:AI13, "WHP")/2),( COUNTIF(E13:AI13,"HP")/2)))))</f>
        <v>11</v>
      </c>
      <c r="AU13" s="78">
        <f>AJ13+AL13+AP13</f>
        <v>23</v>
      </c>
      <c r="AV13" s="78">
        <f t="shared" si="8"/>
        <v>0</v>
      </c>
      <c r="AW13" s="78">
        <f t="shared" si="9"/>
        <v>13</v>
      </c>
      <c r="AX13" s="78">
        <f>AJ13+AK13+AL13+AM13</f>
        <v>23</v>
      </c>
      <c r="AY13" s="78" t="str">
        <f>IF((AX13=AW1), "Correct", "Error")</f>
        <v>Error</v>
      </c>
    </row>
    <row r="14" spans="1:51">
      <c r="B14" s="67">
        <v>9</v>
      </c>
      <c r="C14" s="68" t="s">
        <v>53</v>
      </c>
      <c r="D14" s="44"/>
      <c r="E14" s="69"/>
      <c r="F14" s="70" t="s">
        <v>44</v>
      </c>
      <c r="G14" s="70" t="s">
        <v>40</v>
      </c>
      <c r="H14" s="70" t="s">
        <v>40</v>
      </c>
      <c r="I14" s="70" t="s">
        <v>40</v>
      </c>
      <c r="J14" s="70" t="s">
        <v>44</v>
      </c>
      <c r="K14" s="69"/>
      <c r="L14" s="69"/>
      <c r="M14" s="70" t="s">
        <v>44</v>
      </c>
      <c r="N14" s="70" t="s">
        <v>40</v>
      </c>
      <c r="O14" s="70" t="s">
        <v>40</v>
      </c>
      <c r="P14" s="70" t="s">
        <v>40</v>
      </c>
      <c r="Q14" s="70" t="s">
        <v>44</v>
      </c>
      <c r="R14" s="70" t="s">
        <v>54</v>
      </c>
      <c r="S14" s="69"/>
      <c r="T14" s="70" t="s">
        <v>40</v>
      </c>
      <c r="U14" s="70" t="s">
        <v>40</v>
      </c>
      <c r="V14" s="70" t="s">
        <v>46</v>
      </c>
      <c r="W14" s="70" t="s">
        <v>40</v>
      </c>
      <c r="X14" s="70" t="s">
        <v>40</v>
      </c>
      <c r="Y14" s="69"/>
      <c r="Z14" s="69"/>
      <c r="AA14" s="70"/>
      <c r="AB14" s="70"/>
      <c r="AC14" s="70"/>
      <c r="AD14" s="70"/>
      <c r="AE14" s="70"/>
      <c r="AF14" s="70"/>
      <c r="AG14" s="69"/>
      <c r="AH14" s="70"/>
      <c r="AI14" s="70"/>
      <c r="AJ14" s="71">
        <f t="shared" si="10"/>
        <v>14</v>
      </c>
      <c r="AK14" s="72">
        <f t="shared" si="2"/>
        <v>1</v>
      </c>
      <c r="AL14" s="73">
        <v>8</v>
      </c>
      <c r="AM14" s="74">
        <f t="shared" si="3"/>
        <v>0</v>
      </c>
      <c r="AN14" s="74">
        <f t="shared" si="4"/>
        <v>1</v>
      </c>
      <c r="AO14" s="79">
        <v>6.5</v>
      </c>
      <c r="AP14" s="76">
        <f>IF(((SUM(COUNTIF(E14:AI14,"CL"),( COUNTIF(E14:AI14, "WHP")/2),( COUNTIF(E14:AI14, "HP")/2)))&lt;=AO14),(SUM(COUNTIF(E14:AI14,"CL"),( COUNTIF(E14:AI14, "WHP")/2),( COUNTIF(E14:AI14, "HP")/2))),AO14)</f>
        <v>1</v>
      </c>
      <c r="AQ14" s="76">
        <f t="shared" si="5"/>
        <v>0</v>
      </c>
      <c r="AR14" s="72">
        <f t="shared" si="6"/>
        <v>0</v>
      </c>
      <c r="AS14" s="72">
        <f t="shared" si="7"/>
        <v>0</v>
      </c>
      <c r="AT14" s="77">
        <f>IF((SUM(COUNTIF(E14:AI14,"CL"),( COUNTIF(E14:AI14, "WHP")/2),( COUNTIF(E14:AI14,"HP")/2))&gt;=AO14),0,(AO14-(SUM(COUNTIF(E14:AI14,"CL"),( COUNTIF(E14:AI14, "WHP")/2),( COUNTIF(E14:AI14,"HP")/2)))))</f>
        <v>5.5</v>
      </c>
      <c r="AU14" s="78">
        <f>AJ14+AL14+AP14</f>
        <v>23</v>
      </c>
      <c r="AV14" s="78">
        <f t="shared" si="8"/>
        <v>1</v>
      </c>
      <c r="AW14" s="78">
        <f t="shared" si="9"/>
        <v>8.5</v>
      </c>
      <c r="AX14" s="78">
        <f>AJ14+AK14+AL14+AM14</f>
        <v>23</v>
      </c>
      <c r="AY14" s="78" t="str">
        <f>IF((AX14=AW1), "Correct", "Error")</f>
        <v>Error</v>
      </c>
    </row>
    <row r="15" spans="1:51">
      <c r="B15" s="67">
        <v>10</v>
      </c>
      <c r="C15" s="68" t="s">
        <v>55</v>
      </c>
      <c r="D15" s="44"/>
      <c r="E15" s="69"/>
      <c r="F15" s="70" t="s">
        <v>40</v>
      </c>
      <c r="G15" s="70" t="s">
        <v>40</v>
      </c>
      <c r="H15" s="70" t="s">
        <v>40</v>
      </c>
      <c r="I15" s="70" t="s">
        <v>40</v>
      </c>
      <c r="J15" s="70" t="s">
        <v>40</v>
      </c>
      <c r="K15" s="69"/>
      <c r="L15" s="69"/>
      <c r="M15" s="70" t="s">
        <v>47</v>
      </c>
      <c r="N15" s="70" t="s">
        <v>46</v>
      </c>
      <c r="O15" s="70" t="s">
        <v>40</v>
      </c>
      <c r="P15" s="70" t="s">
        <v>40</v>
      </c>
      <c r="Q15" s="70" t="s">
        <v>40</v>
      </c>
      <c r="R15" s="70" t="s">
        <v>42</v>
      </c>
      <c r="S15" s="69"/>
      <c r="T15" s="70" t="s">
        <v>40</v>
      </c>
      <c r="U15" s="70" t="s">
        <v>40</v>
      </c>
      <c r="V15" s="70" t="s">
        <v>40</v>
      </c>
      <c r="W15" s="70" t="s">
        <v>40</v>
      </c>
      <c r="X15" s="70" t="s">
        <v>40</v>
      </c>
      <c r="Y15" s="69"/>
      <c r="Z15" s="69"/>
      <c r="AA15" s="70"/>
      <c r="AB15" s="70"/>
      <c r="AC15" s="70"/>
      <c r="AD15" s="70"/>
      <c r="AE15" s="70"/>
      <c r="AF15" s="70"/>
      <c r="AG15" s="69"/>
      <c r="AH15" s="70"/>
      <c r="AI15" s="70"/>
      <c r="AJ15" s="71">
        <f t="shared" si="10"/>
        <v>13.5</v>
      </c>
      <c r="AK15" s="72">
        <f t="shared" si="2"/>
        <v>1.5</v>
      </c>
      <c r="AL15" s="73">
        <v>8</v>
      </c>
      <c r="AM15" s="74">
        <f t="shared" si="3"/>
        <v>0</v>
      </c>
      <c r="AN15" s="74">
        <f t="shared" si="4"/>
        <v>0</v>
      </c>
      <c r="AO15" s="79">
        <v>2</v>
      </c>
      <c r="AP15" s="76">
        <f>IF(((SUM(COUNTIF(E15:AI15,"CL"),( COUNTIF(E15:AI15, "WHP")/2),( COUNTIF(E15:AI15, "HP")/2)))&lt;=AO15),(SUM(COUNTIF(E15:AI15,"CL"),( COUNTIF(E15:AI15, "WHP")/2),( COUNTIF(E15:AI15, "HP")/2))),AO15)</f>
        <v>1.5</v>
      </c>
      <c r="AQ15" s="76">
        <f t="shared" si="5"/>
        <v>0</v>
      </c>
      <c r="AR15" s="72">
        <f t="shared" si="6"/>
        <v>0</v>
      </c>
      <c r="AS15" s="72">
        <f t="shared" si="7"/>
        <v>0</v>
      </c>
      <c r="AT15" s="77">
        <f>IF((SUM(COUNTIF(E15:AI15,"CL"),( COUNTIF(E15:AI15, "WHP")/2),( COUNTIF(E15:AI15,"HP")/2))&gt;=AO15),0,(AO15-(SUM(COUNTIF(E15:AI15,"CL"),( COUNTIF(E15:AI15, "WHP")/2),( COUNTIF(E15:AI15,"HP")/2)))))</f>
        <v>0.5</v>
      </c>
      <c r="AU15" s="78">
        <f>AJ15+AL15+AP15</f>
        <v>23</v>
      </c>
      <c r="AV15" s="78">
        <f t="shared" si="8"/>
        <v>0</v>
      </c>
      <c r="AW15" s="78">
        <f t="shared" si="9"/>
        <v>2.5</v>
      </c>
      <c r="AX15" s="78">
        <f>AJ15+AK15+AL15+AM15</f>
        <v>23</v>
      </c>
      <c r="AY15" s="78" t="str">
        <f>IF((AX15=AW1), "Correct", "Error")</f>
        <v>Error</v>
      </c>
    </row>
    <row r="16" spans="1:51">
      <c r="B16" s="67">
        <v>11</v>
      </c>
      <c r="C16" s="68" t="s">
        <v>56</v>
      </c>
      <c r="D16" s="44"/>
      <c r="E16" s="69"/>
      <c r="F16" s="70" t="s">
        <v>44</v>
      </c>
      <c r="G16" s="70" t="s">
        <v>44</v>
      </c>
      <c r="H16" s="70" t="s">
        <v>44</v>
      </c>
      <c r="I16" s="70" t="s">
        <v>44</v>
      </c>
      <c r="J16" s="70" t="s">
        <v>44</v>
      </c>
      <c r="K16" s="69"/>
      <c r="L16" s="69"/>
      <c r="M16" s="70" t="s">
        <v>44</v>
      </c>
      <c r="N16" s="70" t="s">
        <v>44</v>
      </c>
      <c r="O16" s="70" t="s">
        <v>44</v>
      </c>
      <c r="P16" s="70" t="s">
        <v>44</v>
      </c>
      <c r="Q16" s="70" t="s">
        <v>44</v>
      </c>
      <c r="R16" s="70" t="s">
        <v>42</v>
      </c>
      <c r="S16" s="69"/>
      <c r="T16" s="70" t="s">
        <v>44</v>
      </c>
      <c r="U16" s="70" t="s">
        <v>44</v>
      </c>
      <c r="V16" s="70" t="s">
        <v>44</v>
      </c>
      <c r="W16" s="70" t="s">
        <v>44</v>
      </c>
      <c r="X16" s="70"/>
      <c r="Y16" s="69"/>
      <c r="Z16" s="69"/>
      <c r="AA16" s="70"/>
      <c r="AB16" s="70"/>
      <c r="AC16" s="70"/>
      <c r="AD16" s="70"/>
      <c r="AE16" s="70"/>
      <c r="AF16" s="70"/>
      <c r="AG16" s="69"/>
      <c r="AH16" s="70"/>
      <c r="AI16" s="70"/>
      <c r="AJ16" s="71">
        <f t="shared" si="10"/>
        <v>14</v>
      </c>
      <c r="AK16" s="72">
        <f t="shared" si="2"/>
        <v>0</v>
      </c>
      <c r="AL16" s="73">
        <v>8</v>
      </c>
      <c r="AM16" s="74">
        <f t="shared" si="3"/>
        <v>0</v>
      </c>
      <c r="AN16" s="74">
        <f t="shared" si="4"/>
        <v>0</v>
      </c>
      <c r="AO16" s="79">
        <v>4</v>
      </c>
      <c r="AP16" s="76">
        <f>IF(((SUM(COUNTIF(E16:AI16,"CL"),( COUNTIF(E16:AI16, "WHP")/2),( COUNTIF(E16:AI16, "HP")/2)))&lt;=AO16),(SUM(COUNTIF(E16:AI16,"CL"),( COUNTIF(E16:AI16, "WHP")/2),( COUNTIF(E16:AI16, "HP")/2))),AO16)</f>
        <v>0</v>
      </c>
      <c r="AQ16" s="76">
        <f t="shared" si="5"/>
        <v>0</v>
      </c>
      <c r="AR16" s="72">
        <f t="shared" si="6"/>
        <v>0</v>
      </c>
      <c r="AS16" s="72">
        <f t="shared" si="7"/>
        <v>0</v>
      </c>
      <c r="AT16" s="77">
        <f>IF((SUM(COUNTIF(E16:AI16,"CL"),( COUNTIF(E16:AI16, "WHP")/2),( COUNTIF(E16:AI16,"HP")/2))&gt;=AO16),0,(AO16-(SUM(COUNTIF(E16:AI16,"CL"),( COUNTIF(E16:AI16, "WHP")/2),( COUNTIF(E16:AI16,"HP")/2)))))</f>
        <v>4</v>
      </c>
      <c r="AU16" s="78">
        <f>AJ16+AL16+AP16</f>
        <v>22</v>
      </c>
      <c r="AV16" s="78">
        <f t="shared" si="8"/>
        <v>0</v>
      </c>
      <c r="AW16" s="78">
        <f t="shared" si="9"/>
        <v>6</v>
      </c>
      <c r="AX16" s="78">
        <f>AJ16+AK16+AL16+AM16</f>
        <v>22</v>
      </c>
      <c r="AY16" s="78" t="str">
        <f>IF((AX16=AW1), "Correct", "Error")</f>
        <v>Error</v>
      </c>
    </row>
    <row r="17" spans="2:51">
      <c r="B17" s="67">
        <v>12</v>
      </c>
      <c r="C17" s="68" t="s">
        <v>57</v>
      </c>
      <c r="D17" s="44"/>
      <c r="E17" s="69"/>
      <c r="F17" s="70" t="s">
        <v>47</v>
      </c>
      <c r="G17" s="70" t="s">
        <v>44</v>
      </c>
      <c r="H17" s="70" t="s">
        <v>44</v>
      </c>
      <c r="I17" s="70" t="s">
        <v>44</v>
      </c>
      <c r="J17" s="70" t="s">
        <v>47</v>
      </c>
      <c r="K17" s="69"/>
      <c r="L17" s="69"/>
      <c r="M17" s="70" t="s">
        <v>44</v>
      </c>
      <c r="N17" s="70" t="s">
        <v>44</v>
      </c>
      <c r="O17" s="70" t="s">
        <v>44</v>
      </c>
      <c r="P17" s="70" t="s">
        <v>44</v>
      </c>
      <c r="Q17" s="70" t="s">
        <v>44</v>
      </c>
      <c r="R17" s="70" t="s">
        <v>42</v>
      </c>
      <c r="S17" s="69"/>
      <c r="T17" s="70" t="s">
        <v>44</v>
      </c>
      <c r="U17" s="70" t="s">
        <v>44</v>
      </c>
      <c r="V17" s="70" t="s">
        <v>44</v>
      </c>
      <c r="W17" s="70"/>
      <c r="X17" s="70"/>
      <c r="Y17" s="69"/>
      <c r="Z17" s="69"/>
      <c r="AA17" s="70"/>
      <c r="AB17" s="70"/>
      <c r="AC17" s="70"/>
      <c r="AD17" s="70"/>
      <c r="AE17" s="70"/>
      <c r="AF17" s="70"/>
      <c r="AG17" s="69"/>
      <c r="AH17" s="70"/>
      <c r="AI17" s="70"/>
      <c r="AJ17" s="71">
        <f t="shared" si="10"/>
        <v>12</v>
      </c>
      <c r="AK17" s="72">
        <f t="shared" si="2"/>
        <v>1</v>
      </c>
      <c r="AL17" s="73">
        <v>8</v>
      </c>
      <c r="AM17" s="74">
        <f t="shared" si="3"/>
        <v>0</v>
      </c>
      <c r="AN17" s="74">
        <f t="shared" si="4"/>
        <v>0</v>
      </c>
      <c r="AO17" s="79">
        <v>3.5</v>
      </c>
      <c r="AP17" s="76">
        <f>IF(((SUM(COUNTIF(E17:AI17,"CL"),( COUNTIF(E17:AI17, "WHP")/2),( COUNTIF(E17:AI17, "HP")/2)))&lt;=AO17),(SUM(COUNTIF(E17:AI17,"CL"),( COUNTIF(E17:AI17, "WHP")/2),( COUNTIF(E17:AI17, "HP")/2))),AO17)</f>
        <v>1</v>
      </c>
      <c r="AQ17" s="76">
        <f t="shared" si="5"/>
        <v>0</v>
      </c>
      <c r="AR17" s="72">
        <f t="shared" si="6"/>
        <v>0</v>
      </c>
      <c r="AS17" s="72">
        <f t="shared" si="7"/>
        <v>0</v>
      </c>
      <c r="AT17" s="77">
        <f>IF((SUM(COUNTIF(E17:AI17,"CL"),( COUNTIF(E17:AI17, "WHP")/2),( COUNTIF(E17:AI17,"HP")/2))&gt;=AO17),0,(AO17-(SUM(COUNTIF(E17:AI17,"CL"),( COUNTIF(E17:AI17, "WHP")/2),( COUNTIF(E17:AI17,"HP")/2)))))</f>
        <v>2.5</v>
      </c>
      <c r="AU17" s="78">
        <f>AJ17+AL17+AP17</f>
        <v>21</v>
      </c>
      <c r="AV17" s="78">
        <f t="shared" si="8"/>
        <v>0</v>
      </c>
      <c r="AW17" s="78">
        <f t="shared" si="9"/>
        <v>4.5</v>
      </c>
      <c r="AX17" s="78">
        <f>AJ17+AK17+AL17+AM17</f>
        <v>21</v>
      </c>
      <c r="AY17" s="78" t="str">
        <f>IF((AX17=AW1), "Correct", "Error")</f>
        <v>Error</v>
      </c>
    </row>
    <row r="18" spans="2:51">
      <c r="B18" s="67">
        <v>13</v>
      </c>
      <c r="C18" s="68" t="s">
        <v>58</v>
      </c>
      <c r="D18" s="44"/>
      <c r="E18" s="69"/>
      <c r="F18" s="70" t="s">
        <v>44</v>
      </c>
      <c r="G18" s="70" t="s">
        <v>44</v>
      </c>
      <c r="H18" s="70" t="s">
        <v>44</v>
      </c>
      <c r="I18" s="70" t="s">
        <v>44</v>
      </c>
      <c r="J18" s="70" t="s">
        <v>44</v>
      </c>
      <c r="K18" s="69"/>
      <c r="L18" s="69"/>
      <c r="M18" s="70" t="s">
        <v>44</v>
      </c>
      <c r="N18" s="70" t="s">
        <v>44</v>
      </c>
      <c r="O18" s="70" t="s">
        <v>44</v>
      </c>
      <c r="P18" s="70" t="s">
        <v>44</v>
      </c>
      <c r="Q18" s="70" t="s">
        <v>44</v>
      </c>
      <c r="R18" s="70" t="s">
        <v>42</v>
      </c>
      <c r="S18" s="69"/>
      <c r="T18" s="70" t="s">
        <v>44</v>
      </c>
      <c r="U18" s="70" t="s">
        <v>44</v>
      </c>
      <c r="V18" s="70" t="s">
        <v>44</v>
      </c>
      <c r="W18" s="70"/>
      <c r="X18" s="70"/>
      <c r="Y18" s="69"/>
      <c r="Z18" s="69"/>
      <c r="AA18" s="70"/>
      <c r="AB18" s="70"/>
      <c r="AC18" s="70"/>
      <c r="AD18" s="70"/>
      <c r="AE18" s="70"/>
      <c r="AF18" s="70"/>
      <c r="AG18" s="69"/>
      <c r="AH18" s="70"/>
      <c r="AI18" s="70"/>
      <c r="AJ18" s="71">
        <f t="shared" si="10"/>
        <v>13</v>
      </c>
      <c r="AK18" s="72">
        <f t="shared" si="2"/>
        <v>0</v>
      </c>
      <c r="AL18" s="73">
        <v>8</v>
      </c>
      <c r="AM18" s="74">
        <f t="shared" si="3"/>
        <v>0</v>
      </c>
      <c r="AN18" s="74">
        <f t="shared" si="4"/>
        <v>0</v>
      </c>
      <c r="AO18" s="79">
        <v>4</v>
      </c>
      <c r="AP18" s="76">
        <f>IF(((SUM(COUNTIF(E18:AI18,"CL"),( COUNTIF(E18:AI18, "WHP")/2),( COUNTIF(E18:AI18, "HP")/2)))&lt;=AO18),(SUM(COUNTIF(E18:AI18,"CL"),( COUNTIF(E18:AI18, "WHP")/2),( COUNTIF(E18:AI18, "HP")/2))),AO18)</f>
        <v>0</v>
      </c>
      <c r="AQ18" s="76">
        <f t="shared" si="5"/>
        <v>0</v>
      </c>
      <c r="AR18" s="72">
        <f t="shared" si="6"/>
        <v>0</v>
      </c>
      <c r="AS18" s="72">
        <f t="shared" si="7"/>
        <v>0</v>
      </c>
      <c r="AT18" s="77">
        <f>IF((SUM(COUNTIF(E18:AI18,"CL"),( COUNTIF(E18:AI18, "WHP")/2),( COUNTIF(E18:AI18,"HP")/2))&gt;=AO18),0,(AO18-(SUM(COUNTIF(E18:AI18,"CL"),( COUNTIF(E18:AI18, "WHP")/2),( COUNTIF(E18:AI18,"HP")/2)))))</f>
        <v>4</v>
      </c>
      <c r="AU18" s="78">
        <f>AJ18+AL18+AP18</f>
        <v>21</v>
      </c>
      <c r="AV18" s="78">
        <f t="shared" si="8"/>
        <v>0</v>
      </c>
      <c r="AW18" s="78">
        <f t="shared" si="9"/>
        <v>6</v>
      </c>
      <c r="AX18" s="78">
        <f>AJ18+AK18+AL18+AM18</f>
        <v>21</v>
      </c>
      <c r="AY18" s="78" t="str">
        <f>IF((AX18=AW1), "Correct", "Error")</f>
        <v>Error</v>
      </c>
    </row>
    <row r="19" spans="2:51">
      <c r="B19" s="67">
        <v>14</v>
      </c>
      <c r="C19" s="68" t="s">
        <v>59</v>
      </c>
      <c r="D19" s="44"/>
      <c r="E19" s="69"/>
      <c r="F19" s="70" t="s">
        <v>44</v>
      </c>
      <c r="G19" s="70" t="s">
        <v>44</v>
      </c>
      <c r="H19" s="70" t="s">
        <v>44</v>
      </c>
      <c r="I19" s="70" t="s">
        <v>44</v>
      </c>
      <c r="J19" s="70" t="s">
        <v>44</v>
      </c>
      <c r="K19" s="69"/>
      <c r="L19" s="69"/>
      <c r="M19" s="70" t="s">
        <v>41</v>
      </c>
      <c r="N19" s="70" t="s">
        <v>41</v>
      </c>
      <c r="O19" s="70" t="s">
        <v>41</v>
      </c>
      <c r="P19" s="80" t="s">
        <v>60</v>
      </c>
      <c r="Q19" s="80" t="s">
        <v>60</v>
      </c>
      <c r="R19" s="80" t="s">
        <v>60</v>
      </c>
      <c r="S19" s="80" t="s">
        <v>60</v>
      </c>
      <c r="T19" s="80" t="s">
        <v>60</v>
      </c>
      <c r="U19" s="80" t="s">
        <v>60</v>
      </c>
      <c r="V19" s="80" t="s">
        <v>60</v>
      </c>
      <c r="W19" s="80" t="s">
        <v>60</v>
      </c>
      <c r="X19" s="80" t="s">
        <v>60</v>
      </c>
      <c r="Y19" s="80" t="s">
        <v>60</v>
      </c>
      <c r="Z19" s="80" t="s">
        <v>60</v>
      </c>
      <c r="AA19" s="80" t="s">
        <v>60</v>
      </c>
      <c r="AB19" s="80" t="s">
        <v>60</v>
      </c>
      <c r="AC19" s="80" t="s">
        <v>60</v>
      </c>
      <c r="AD19" s="80" t="s">
        <v>60</v>
      </c>
      <c r="AE19" s="80" t="s">
        <v>60</v>
      </c>
      <c r="AF19" s="80" t="s">
        <v>60</v>
      </c>
      <c r="AG19" s="80" t="s">
        <v>60</v>
      </c>
      <c r="AH19" s="80" t="s">
        <v>60</v>
      </c>
      <c r="AI19" s="70"/>
      <c r="AJ19" s="71">
        <f t="shared" si="10"/>
        <v>5</v>
      </c>
      <c r="AK19" s="72">
        <f t="shared" si="2"/>
        <v>3</v>
      </c>
      <c r="AL19" s="73">
        <v>3</v>
      </c>
      <c r="AM19" s="74">
        <f t="shared" si="3"/>
        <v>19</v>
      </c>
      <c r="AN19" s="74">
        <f t="shared" si="4"/>
        <v>0</v>
      </c>
      <c r="AO19" s="79">
        <v>4</v>
      </c>
      <c r="AP19" s="76">
        <f>IF(((SUM(COUNTIF(E19:AI19,"CL"),( COUNTIF(E19:AI19, "WHP")/2),( COUNTIF(E19:AI19, "HP")/2)))&lt;=AO19),(SUM(COUNTIF(E19:AI19,"CL"),( COUNTIF(E19:AI19, "WHP")/2),( COUNTIF(E19:AI19, "HP")/2))),AO19)</f>
        <v>0</v>
      </c>
      <c r="AQ19" s="76">
        <f t="shared" si="5"/>
        <v>0</v>
      </c>
      <c r="AR19" s="72">
        <f t="shared" si="6"/>
        <v>3</v>
      </c>
      <c r="AS19" s="72">
        <f t="shared" si="7"/>
        <v>22</v>
      </c>
      <c r="AT19" s="77">
        <f>IF((SUM(COUNTIF(E19:AI19,"CL"),( COUNTIF(E19:AI19, "WHP")/2),( COUNTIF(E19:AI19,"HP")/2))&gt;=AO19),0,(AO19-(SUM(COUNTIF(E19:AI19,"CL"),( COUNTIF(E19:AI19, "WHP")/2),( COUNTIF(E19:AI19,"HP")/2)))))</f>
        <v>4</v>
      </c>
      <c r="AU19" s="78">
        <f>AJ19+AL19+AP19</f>
        <v>8</v>
      </c>
      <c r="AV19" s="78">
        <f t="shared" si="8"/>
        <v>0</v>
      </c>
      <c r="AW19" s="78">
        <f t="shared" si="9"/>
        <v>6</v>
      </c>
      <c r="AX19" s="78">
        <f>AJ19+AK19+AL19+AM19</f>
        <v>30</v>
      </c>
      <c r="AY19" s="78" t="str">
        <f>IF((AX19=AW1), "Correct", "Error")</f>
        <v>Correct</v>
      </c>
    </row>
    <row r="20" spans="2:51">
      <c r="B20" s="67">
        <v>15</v>
      </c>
      <c r="C20" s="68" t="s">
        <v>61</v>
      </c>
      <c r="D20" s="44"/>
      <c r="E20" s="69"/>
      <c r="F20" s="70" t="s">
        <v>44</v>
      </c>
      <c r="G20" s="70" t="s">
        <v>44</v>
      </c>
      <c r="H20" s="70" t="s">
        <v>44</v>
      </c>
      <c r="I20" s="70" t="s">
        <v>44</v>
      </c>
      <c r="J20" s="70" t="s">
        <v>44</v>
      </c>
      <c r="K20" s="69"/>
      <c r="L20" s="69"/>
      <c r="M20" s="70" t="s">
        <v>44</v>
      </c>
      <c r="N20" s="70" t="s">
        <v>44</v>
      </c>
      <c r="O20" s="70" t="s">
        <v>44</v>
      </c>
      <c r="P20" s="70"/>
      <c r="Q20" s="70"/>
      <c r="R20" s="70" t="s">
        <v>42</v>
      </c>
      <c r="S20" s="69"/>
      <c r="T20" s="70"/>
      <c r="U20" s="70"/>
      <c r="V20" s="70"/>
      <c r="W20" s="70"/>
      <c r="X20" s="70"/>
      <c r="Y20" s="69"/>
      <c r="Z20" s="69"/>
      <c r="AA20" s="70"/>
      <c r="AB20" s="70"/>
      <c r="AC20" s="70"/>
      <c r="AD20" s="70"/>
      <c r="AE20" s="70"/>
      <c r="AF20" s="70"/>
      <c r="AG20" s="69"/>
      <c r="AH20" s="70"/>
      <c r="AI20" s="70"/>
      <c r="AJ20" s="71">
        <f t="shared" si="10"/>
        <v>8</v>
      </c>
      <c r="AK20" s="72">
        <f t="shared" si="2"/>
        <v>0</v>
      </c>
      <c r="AL20" s="73">
        <v>8</v>
      </c>
      <c r="AM20" s="74">
        <f t="shared" si="3"/>
        <v>0</v>
      </c>
      <c r="AN20" s="74">
        <f t="shared" si="4"/>
        <v>0</v>
      </c>
      <c r="AO20" s="81">
        <v>21</v>
      </c>
      <c r="AP20" s="76">
        <f>IF(((SUM(COUNTIF(E20:AI20,"CL"),( COUNTIF(E20:AI20, "WHP")/2),( COUNTIF(E20:AI20, "HP")/2)))&lt;=AO20),(SUM(COUNTIF(E20:AI20,"CL"),( COUNTIF(E20:AI20, "WHP")/2),( COUNTIF(E20:AI20, "HP")/2))),AO20)</f>
        <v>0</v>
      </c>
      <c r="AQ20" s="76">
        <f t="shared" si="5"/>
        <v>0</v>
      </c>
      <c r="AR20" s="72">
        <f t="shared" si="6"/>
        <v>0</v>
      </c>
      <c r="AS20" s="72">
        <f t="shared" si="7"/>
        <v>0</v>
      </c>
      <c r="AT20" s="77">
        <f>IF((SUM(COUNTIF(E20:AI20,"CL"),( COUNTIF(E20:AI20, "WHP")/2),( COUNTIF(E20:AI20,"HP")/2))&gt;=AO20),0,(AO20-(SUM(COUNTIF(E20:AI20,"CL"),( COUNTIF(E20:AI20, "WHP")/2),( COUNTIF(E20:AI20,"HP")/2)))))</f>
        <v>21</v>
      </c>
      <c r="AU20" s="78">
        <f>AJ20+AL20+AP20</f>
        <v>16</v>
      </c>
      <c r="AV20" s="78">
        <f t="shared" si="8"/>
        <v>0</v>
      </c>
      <c r="AW20" s="78">
        <f t="shared" si="9"/>
        <v>23</v>
      </c>
      <c r="AX20" s="78">
        <f>AJ20+AK20+AL20+AM20</f>
        <v>16</v>
      </c>
      <c r="AY20" s="78" t="str">
        <f>IF((AX20=AW1), "Correct", "Error")</f>
        <v>Error</v>
      </c>
    </row>
    <row r="21" spans="2:51">
      <c r="B21" s="67">
        <v>16</v>
      </c>
      <c r="C21" s="68" t="s">
        <v>62</v>
      </c>
      <c r="D21" s="44"/>
      <c r="E21" s="69"/>
      <c r="F21" s="70" t="s">
        <v>44</v>
      </c>
      <c r="G21" s="70" t="s">
        <v>44</v>
      </c>
      <c r="H21" s="70" t="s">
        <v>44</v>
      </c>
      <c r="I21" s="70" t="s">
        <v>44</v>
      </c>
      <c r="J21" s="70" t="s">
        <v>44</v>
      </c>
      <c r="K21" s="69"/>
      <c r="L21" s="69"/>
      <c r="M21" s="70" t="s">
        <v>44</v>
      </c>
      <c r="N21" s="70" t="s">
        <v>44</v>
      </c>
      <c r="O21" s="70" t="s">
        <v>44</v>
      </c>
      <c r="P21" s="70"/>
      <c r="Q21" s="70"/>
      <c r="R21" s="70" t="s">
        <v>42</v>
      </c>
      <c r="S21" s="69"/>
      <c r="T21" s="70"/>
      <c r="U21" s="70"/>
      <c r="V21" s="70"/>
      <c r="W21" s="70"/>
      <c r="X21" s="70"/>
      <c r="Y21" s="69"/>
      <c r="Z21" s="69"/>
      <c r="AA21" s="70"/>
      <c r="AB21" s="70"/>
      <c r="AC21" s="70"/>
      <c r="AD21" s="70"/>
      <c r="AE21" s="70"/>
      <c r="AF21" s="70"/>
      <c r="AG21" s="69"/>
      <c r="AH21" s="70"/>
      <c r="AI21" s="70"/>
      <c r="AJ21" s="71">
        <f t="shared" si="10"/>
        <v>8</v>
      </c>
      <c r="AK21" s="72">
        <f t="shared" si="2"/>
        <v>0</v>
      </c>
      <c r="AL21" s="73">
        <v>8</v>
      </c>
      <c r="AM21" s="74">
        <f t="shared" si="3"/>
        <v>0</v>
      </c>
      <c r="AN21" s="74">
        <f t="shared" si="4"/>
        <v>0</v>
      </c>
      <c r="AO21" s="81">
        <v>23.5</v>
      </c>
      <c r="AP21" s="76">
        <f>IF(((SUM(COUNTIF(E21:AI21,"CL"),( COUNTIF(E21:AI21, "WHP")/2),( COUNTIF(E21:AI21, "HP")/2)))&lt;=AO21),(SUM(COUNTIF(E21:AI21,"CL"),( COUNTIF(E21:AI21, "WHP")/2),( COUNTIF(E21:AI21, "HP")/2))),AO21)</f>
        <v>0</v>
      </c>
      <c r="AQ21" s="76">
        <f t="shared" si="5"/>
        <v>0</v>
      </c>
      <c r="AR21" s="72">
        <f t="shared" si="6"/>
        <v>0</v>
      </c>
      <c r="AS21" s="72">
        <f t="shared" si="7"/>
        <v>0</v>
      </c>
      <c r="AT21" s="77">
        <f>IF((SUM(COUNTIF(E21:AI21,"CL"),( COUNTIF(E21:AI21, "WHP")/2),( COUNTIF(E21:AI21,"HP")/2))&gt;=AO21),0,(AO21-(SUM(COUNTIF(E21:AI21,"CL"),( COUNTIF(E21:AI21, "WHP")/2),( COUNTIF(E21:AI21,"HP")/2)))))</f>
        <v>23.5</v>
      </c>
      <c r="AU21" s="78">
        <f>AJ21+AL21+AP21</f>
        <v>16</v>
      </c>
      <c r="AV21" s="78">
        <f t="shared" si="8"/>
        <v>0</v>
      </c>
      <c r="AW21" s="78">
        <f t="shared" si="9"/>
        <v>25.5</v>
      </c>
      <c r="AX21" s="78">
        <f>AJ21+AK21+AL21+AM21</f>
        <v>16</v>
      </c>
      <c r="AY21" s="78" t="str">
        <f>IF((AX21=AW1), "Correct", "Error")</f>
        <v>Error</v>
      </c>
    </row>
    <row r="22" spans="2:51">
      <c r="B22" s="67">
        <v>17</v>
      </c>
      <c r="C22" s="68" t="s">
        <v>63</v>
      </c>
      <c r="D22" s="44"/>
      <c r="E22" s="69"/>
      <c r="F22" s="70" t="s">
        <v>44</v>
      </c>
      <c r="G22" s="70" t="s">
        <v>44</v>
      </c>
      <c r="H22" s="70" t="s">
        <v>44</v>
      </c>
      <c r="I22" s="70" t="s">
        <v>44</v>
      </c>
      <c r="J22" s="70" t="s">
        <v>44</v>
      </c>
      <c r="K22" s="69"/>
      <c r="L22" s="69"/>
      <c r="M22" s="70" t="s">
        <v>44</v>
      </c>
      <c r="N22" s="70" t="s">
        <v>44</v>
      </c>
      <c r="O22" s="70" t="s">
        <v>44</v>
      </c>
      <c r="P22" s="70" t="s">
        <v>40</v>
      </c>
      <c r="Q22" s="70" t="s">
        <v>40</v>
      </c>
      <c r="R22" s="70" t="s">
        <v>42</v>
      </c>
      <c r="S22" s="69"/>
      <c r="T22" s="70" t="s">
        <v>40</v>
      </c>
      <c r="U22" s="70" t="s">
        <v>40</v>
      </c>
      <c r="V22" s="70" t="s">
        <v>40</v>
      </c>
      <c r="W22" s="70" t="s">
        <v>40</v>
      </c>
      <c r="X22" s="70" t="s">
        <v>40</v>
      </c>
      <c r="Y22" s="69"/>
      <c r="Z22" s="69"/>
      <c r="AA22" s="70" t="s">
        <v>40</v>
      </c>
      <c r="AB22" s="70" t="s">
        <v>40</v>
      </c>
      <c r="AC22" s="70" t="s">
        <v>40</v>
      </c>
      <c r="AD22" s="70" t="s">
        <v>40</v>
      </c>
      <c r="AE22" s="70" t="s">
        <v>40</v>
      </c>
      <c r="AF22" s="70" t="s">
        <v>40</v>
      </c>
      <c r="AG22" s="69"/>
      <c r="AH22" s="70" t="s">
        <v>40</v>
      </c>
      <c r="AI22" s="70"/>
      <c r="AJ22" s="71">
        <f t="shared" si="10"/>
        <v>22</v>
      </c>
      <c r="AK22" s="72">
        <f t="shared" si="2"/>
        <v>0</v>
      </c>
      <c r="AL22" s="73">
        <v>8</v>
      </c>
      <c r="AM22" s="74">
        <f t="shared" si="3"/>
        <v>0</v>
      </c>
      <c r="AN22" s="74">
        <f t="shared" si="4"/>
        <v>0</v>
      </c>
      <c r="AO22" s="81">
        <v>3</v>
      </c>
      <c r="AP22" s="76">
        <f>IF(((SUM(COUNTIF(E22:AI22,"CL"),( COUNTIF(E22:AI22, "WHP")/2),( COUNTIF(E22:AI22, "HP")/2)))&lt;=AO22),(SUM(COUNTIF(E22:AI22,"CL"),( COUNTIF(E22:AI22, "WHP")/2),( COUNTIF(E22:AI22, "HP")/2))),AO22)</f>
        <v>0</v>
      </c>
      <c r="AQ22" s="76">
        <f t="shared" si="5"/>
        <v>0</v>
      </c>
      <c r="AR22" s="72">
        <f t="shared" si="6"/>
        <v>0</v>
      </c>
      <c r="AS22" s="72">
        <f t="shared" si="7"/>
        <v>0</v>
      </c>
      <c r="AT22" s="77">
        <f>IF((SUM(COUNTIF(E22:AI22,"CL"),( COUNTIF(E22:AI22, "WHP")/2),( COUNTIF(E22:AI22,"HP")/2))&gt;=AO22),0,(AO22-(SUM(COUNTIF(E22:AI22,"CL"),( COUNTIF(E22:AI22, "WHP")/2),( COUNTIF(E22:AI22,"HP")/2)))))</f>
        <v>3</v>
      </c>
      <c r="AU22" s="78">
        <f>AJ22+AL22+AP22</f>
        <v>30</v>
      </c>
      <c r="AV22" s="78">
        <f t="shared" si="8"/>
        <v>0</v>
      </c>
      <c r="AW22" s="78">
        <f t="shared" si="9"/>
        <v>5</v>
      </c>
      <c r="AX22" s="78">
        <f>AJ22+AK22+AL22+AM22</f>
        <v>30</v>
      </c>
      <c r="AY22" s="78" t="str">
        <f>IF((AX22=AW1), "Correct", "Error")</f>
        <v>Correct</v>
      </c>
    </row>
    <row r="23" spans="2:51">
      <c r="B23" s="67">
        <v>18</v>
      </c>
      <c r="C23" s="68" t="s">
        <v>64</v>
      </c>
      <c r="D23" s="44"/>
      <c r="E23" s="69"/>
      <c r="F23" s="70" t="s">
        <v>44</v>
      </c>
      <c r="G23" s="70" t="s">
        <v>44</v>
      </c>
      <c r="H23" s="70" t="s">
        <v>44</v>
      </c>
      <c r="I23" s="70" t="s">
        <v>44</v>
      </c>
      <c r="J23" s="70" t="s">
        <v>44</v>
      </c>
      <c r="K23" s="69"/>
      <c r="L23" s="69"/>
      <c r="M23" s="70" t="s">
        <v>44</v>
      </c>
      <c r="N23" s="70" t="s">
        <v>44</v>
      </c>
      <c r="O23" s="70" t="s">
        <v>44</v>
      </c>
      <c r="P23" s="70" t="s">
        <v>44</v>
      </c>
      <c r="Q23" s="70" t="s">
        <v>44</v>
      </c>
      <c r="R23" s="70" t="s">
        <v>42</v>
      </c>
      <c r="S23" s="69"/>
      <c r="T23" s="70" t="s">
        <v>44</v>
      </c>
      <c r="U23" s="70" t="s">
        <v>44</v>
      </c>
      <c r="V23" s="70" t="s">
        <v>44</v>
      </c>
      <c r="W23" s="70" t="s">
        <v>46</v>
      </c>
      <c r="X23" s="70"/>
      <c r="Y23" s="69"/>
      <c r="Z23" s="69"/>
      <c r="AA23" s="70"/>
      <c r="AB23" s="70"/>
      <c r="AC23" s="70"/>
      <c r="AD23" s="70"/>
      <c r="AE23" s="70"/>
      <c r="AF23" s="70"/>
      <c r="AG23" s="69"/>
      <c r="AH23" s="70"/>
      <c r="AI23" s="70"/>
      <c r="AJ23" s="71">
        <f t="shared" si="10"/>
        <v>13</v>
      </c>
      <c r="AK23" s="72">
        <f t="shared" si="2"/>
        <v>1</v>
      </c>
      <c r="AL23" s="73">
        <v>8</v>
      </c>
      <c r="AM23" s="74">
        <f t="shared" si="3"/>
        <v>0</v>
      </c>
      <c r="AN23" s="74">
        <f t="shared" si="4"/>
        <v>0</v>
      </c>
      <c r="AO23" s="82">
        <v>14</v>
      </c>
      <c r="AP23" s="76">
        <f>IF(((SUM(COUNTIF(E23:AI23,"CL"),( COUNTIF(E23:AI23, "WHP")/2),( COUNTIF(E23:AI23, "HP")/2)))&lt;=AO23),(SUM(COUNTIF(E23:AI23,"CL"),( COUNTIF(E23:AI23, "WHP")/2),( COUNTIF(E23:AI23, "HP")/2))),AO23)</f>
        <v>1</v>
      </c>
      <c r="AQ23" s="76">
        <f t="shared" si="5"/>
        <v>0</v>
      </c>
      <c r="AR23" s="72">
        <f t="shared" si="6"/>
        <v>0</v>
      </c>
      <c r="AS23" s="72">
        <f t="shared" si="7"/>
        <v>0</v>
      </c>
      <c r="AT23" s="77">
        <f>IF((SUM(COUNTIF(E23:AI23,"CL"),( COUNTIF(E23:AI23, "WHP")/2),( COUNTIF(E23:AI23,"HP")/2))&gt;=AO23),0,(AO23-(SUM(COUNTIF(E23:AI23,"CL"),( COUNTIF(E23:AI23, "WHP")/2),( COUNTIF(E23:AI23,"HP")/2)))))</f>
        <v>13</v>
      </c>
      <c r="AU23" s="78">
        <f>AJ23+AL23+AP23</f>
        <v>22</v>
      </c>
      <c r="AV23" s="78">
        <f t="shared" si="8"/>
        <v>0</v>
      </c>
      <c r="AW23" s="78">
        <f t="shared" si="9"/>
        <v>15</v>
      </c>
      <c r="AX23" s="78">
        <f>AJ23+AK23+AL23+AM23</f>
        <v>22</v>
      </c>
      <c r="AY23" s="78" t="str">
        <f>IF((AX23=AW1), "Correct", "Error")</f>
        <v>Error</v>
      </c>
    </row>
    <row r="24" spans="2:51">
      <c r="B24" s="67">
        <v>19</v>
      </c>
      <c r="C24" s="68" t="s">
        <v>65</v>
      </c>
      <c r="D24" s="44"/>
      <c r="E24" s="69"/>
      <c r="F24" s="70" t="s">
        <v>44</v>
      </c>
      <c r="G24" s="70" t="s">
        <v>44</v>
      </c>
      <c r="H24" s="70" t="s">
        <v>44</v>
      </c>
      <c r="I24" s="70" t="s">
        <v>44</v>
      </c>
      <c r="J24" s="70" t="s">
        <v>44</v>
      </c>
      <c r="K24" s="69"/>
      <c r="L24" s="69"/>
      <c r="M24" s="70" t="s">
        <v>44</v>
      </c>
      <c r="N24" s="70" t="s">
        <v>46</v>
      </c>
      <c r="O24" s="70" t="s">
        <v>44</v>
      </c>
      <c r="P24" s="70" t="s">
        <v>44</v>
      </c>
      <c r="Q24" s="70" t="s">
        <v>44</v>
      </c>
      <c r="R24" s="70" t="s">
        <v>42</v>
      </c>
      <c r="S24" s="69"/>
      <c r="T24" s="70" t="s">
        <v>44</v>
      </c>
      <c r="U24" s="70" t="s">
        <v>44</v>
      </c>
      <c r="V24" s="70" t="s">
        <v>44</v>
      </c>
      <c r="W24" s="70"/>
      <c r="X24" s="70"/>
      <c r="Y24" s="69"/>
      <c r="Z24" s="69"/>
      <c r="AA24" s="70"/>
      <c r="AB24" s="70"/>
      <c r="AC24" s="70"/>
      <c r="AD24" s="70"/>
      <c r="AE24" s="70"/>
      <c r="AF24" s="70"/>
      <c r="AG24" s="69"/>
      <c r="AH24" s="70"/>
      <c r="AI24" s="70"/>
      <c r="AJ24" s="71">
        <f t="shared" si="10"/>
        <v>12</v>
      </c>
      <c r="AK24" s="72">
        <f t="shared" si="2"/>
        <v>1</v>
      </c>
      <c r="AL24" s="73">
        <v>8</v>
      </c>
      <c r="AM24" s="74">
        <f t="shared" si="3"/>
        <v>0</v>
      </c>
      <c r="AN24" s="74">
        <f t="shared" si="4"/>
        <v>0</v>
      </c>
      <c r="AO24" s="82">
        <v>3.5</v>
      </c>
      <c r="AP24" s="76">
        <f>IF(((SUM(COUNTIF(E24:AI24,"CL"),( COUNTIF(E24:AI24, "WHP")/2),( COUNTIF(E24:AI24, "HP")/2)))&lt;=AO24),(SUM(COUNTIF(E24:AI24,"CL"),( COUNTIF(E24:AI24, "WHP")/2),( COUNTIF(E24:AI24, "HP")/2))),AO24)</f>
        <v>1</v>
      </c>
      <c r="AQ24" s="76">
        <f t="shared" si="5"/>
        <v>0</v>
      </c>
      <c r="AR24" s="72">
        <f t="shared" si="6"/>
        <v>0</v>
      </c>
      <c r="AS24" s="72">
        <f t="shared" si="7"/>
        <v>0</v>
      </c>
      <c r="AT24" s="77">
        <f>IF((SUM(COUNTIF(E24:AI24,"CL"),( COUNTIF(E24:AI24, "WHP")/2),( COUNTIF(E24:AI24,"HP")/2))&gt;=AO24),0,(AO24-(SUM(COUNTIF(E24:AI24,"CL"),( COUNTIF(E24:AI24, "WHP")/2),( COUNTIF(E24:AI24,"HP")/2)))))</f>
        <v>2.5</v>
      </c>
      <c r="AU24" s="78">
        <f>AJ24+AL24+AP24</f>
        <v>21</v>
      </c>
      <c r="AV24" s="78">
        <f t="shared" si="8"/>
        <v>0</v>
      </c>
      <c r="AW24" s="78">
        <f t="shared" si="9"/>
        <v>4.5</v>
      </c>
      <c r="AX24" s="78">
        <f>AJ24+AK24+AL24+AM24</f>
        <v>21</v>
      </c>
      <c r="AY24" s="78" t="str">
        <f>IF((AX24=AW1), "Correct", "Error")</f>
        <v>Error</v>
      </c>
    </row>
    <row r="25" spans="2:51">
      <c r="B25" s="67">
        <v>20</v>
      </c>
      <c r="C25" s="68" t="s">
        <v>66</v>
      </c>
      <c r="D25" s="44"/>
      <c r="E25" s="69"/>
      <c r="F25" s="70" t="s">
        <v>44</v>
      </c>
      <c r="G25" s="70" t="s">
        <v>44</v>
      </c>
      <c r="H25" s="70" t="s">
        <v>44</v>
      </c>
      <c r="I25" s="70" t="s">
        <v>44</v>
      </c>
      <c r="J25" s="70" t="s">
        <v>44</v>
      </c>
      <c r="K25" s="69"/>
      <c r="L25" s="69"/>
      <c r="M25" s="70" t="s">
        <v>44</v>
      </c>
      <c r="N25" s="70" t="s">
        <v>44</v>
      </c>
      <c r="O25" s="70" t="s">
        <v>44</v>
      </c>
      <c r="P25" s="70" t="s">
        <v>44</v>
      </c>
      <c r="Q25" s="70" t="s">
        <v>44</v>
      </c>
      <c r="R25" s="70" t="s">
        <v>42</v>
      </c>
      <c r="S25" s="69"/>
      <c r="T25" s="70" t="s">
        <v>44</v>
      </c>
      <c r="U25" s="70" t="s">
        <v>44</v>
      </c>
      <c r="V25" s="70" t="s">
        <v>44</v>
      </c>
      <c r="W25" s="70"/>
      <c r="X25" s="70"/>
      <c r="Y25" s="69"/>
      <c r="Z25" s="69"/>
      <c r="AA25" s="70"/>
      <c r="AB25" s="70"/>
      <c r="AC25" s="70"/>
      <c r="AD25" s="70"/>
      <c r="AE25" s="70"/>
      <c r="AF25" s="70"/>
      <c r="AG25" s="69"/>
      <c r="AH25" s="70"/>
      <c r="AI25" s="70"/>
      <c r="AJ25" s="71">
        <f t="shared" si="10"/>
        <v>13</v>
      </c>
      <c r="AK25" s="72">
        <f t="shared" si="2"/>
        <v>0</v>
      </c>
      <c r="AL25" s="73">
        <v>8</v>
      </c>
      <c r="AM25" s="74">
        <f t="shared" si="3"/>
        <v>0</v>
      </c>
      <c r="AN25" s="74">
        <f t="shared" si="4"/>
        <v>0</v>
      </c>
      <c r="AO25" s="82">
        <v>10.5</v>
      </c>
      <c r="AP25" s="76">
        <f>IF(((SUM(COUNTIF(E25:AI25,"CL"),( COUNTIF(E25:AI25, "WHP")/2),( COUNTIF(E25:AI25, "HP")/2)))&lt;=AO25),(SUM(COUNTIF(E25:AI25,"CL"),( COUNTIF(E25:AI25, "WHP")/2),( COUNTIF(E25:AI25, "HP")/2))),AO25)</f>
        <v>0</v>
      </c>
      <c r="AQ25" s="76">
        <f t="shared" si="5"/>
        <v>0</v>
      </c>
      <c r="AR25" s="72">
        <f t="shared" si="6"/>
        <v>0</v>
      </c>
      <c r="AS25" s="72">
        <f t="shared" si="7"/>
        <v>0</v>
      </c>
      <c r="AT25" s="77">
        <f>IF((SUM(COUNTIF(E25:AI25,"CL"),( COUNTIF(E25:AI25, "WHP")/2),( COUNTIF(E25:AI25,"HP")/2))&gt;=AO25),0,(AO25-(SUM(COUNTIF(E25:AI25,"CL"),( COUNTIF(E25:AI25, "WHP")/2),( COUNTIF(E25:AI25,"HP")/2)))))</f>
        <v>10.5</v>
      </c>
      <c r="AU25" s="78">
        <f>AJ25+AL25+AP25+AQ25</f>
        <v>21</v>
      </c>
      <c r="AV25" s="78">
        <f t="shared" si="8"/>
        <v>0</v>
      </c>
      <c r="AW25" s="78">
        <f t="shared" si="9"/>
        <v>12.5</v>
      </c>
      <c r="AX25" s="78">
        <f>AJ25+AK25+AL25+AM25</f>
        <v>21</v>
      </c>
      <c r="AY25" s="78" t="str">
        <f>IF((AX25=AW1), "Correct", "Error")</f>
        <v>Error</v>
      </c>
    </row>
    <row r="26" spans="2:51">
      <c r="B26" s="67">
        <v>21</v>
      </c>
      <c r="C26" s="68" t="s">
        <v>67</v>
      </c>
      <c r="D26" s="44"/>
      <c r="E26" s="69"/>
      <c r="F26" s="70" t="s">
        <v>47</v>
      </c>
      <c r="G26" s="70" t="s">
        <v>47</v>
      </c>
      <c r="H26" s="70" t="s">
        <v>47</v>
      </c>
      <c r="I26" s="70" t="s">
        <v>47</v>
      </c>
      <c r="J26" s="70" t="s">
        <v>68</v>
      </c>
      <c r="K26" s="69"/>
      <c r="L26" s="69"/>
      <c r="M26" s="70" t="s">
        <v>68</v>
      </c>
      <c r="N26" s="70" t="s">
        <v>68</v>
      </c>
      <c r="O26" s="70" t="s">
        <v>68</v>
      </c>
      <c r="P26" s="70" t="s">
        <v>68</v>
      </c>
      <c r="Q26" s="70" t="s">
        <v>68</v>
      </c>
      <c r="R26" s="70" t="s">
        <v>42</v>
      </c>
      <c r="S26" s="69"/>
      <c r="T26" s="70" t="s">
        <v>68</v>
      </c>
      <c r="U26" s="70" t="s">
        <v>44</v>
      </c>
      <c r="V26" s="70" t="s">
        <v>44</v>
      </c>
      <c r="W26" s="70" t="s">
        <v>44</v>
      </c>
      <c r="X26" s="70" t="s">
        <v>44</v>
      </c>
      <c r="Y26" s="69"/>
      <c r="Z26" s="69"/>
      <c r="AA26" s="70" t="s">
        <v>44</v>
      </c>
      <c r="AB26" s="70" t="s">
        <v>44</v>
      </c>
      <c r="AC26" s="70" t="s">
        <v>44</v>
      </c>
      <c r="AD26" s="70" t="s">
        <v>44</v>
      </c>
      <c r="AE26" s="70" t="s">
        <v>44</v>
      </c>
      <c r="AF26" s="70" t="s">
        <v>44</v>
      </c>
      <c r="AG26" s="69"/>
      <c r="AH26" s="70" t="s">
        <v>44</v>
      </c>
      <c r="AI26" s="70"/>
      <c r="AJ26" s="71">
        <f t="shared" si="10"/>
        <v>16.5</v>
      </c>
      <c r="AK26" s="72">
        <f t="shared" si="2"/>
        <v>5.5</v>
      </c>
      <c r="AL26" s="73">
        <v>8</v>
      </c>
      <c r="AM26" s="74">
        <f t="shared" si="3"/>
        <v>0</v>
      </c>
      <c r="AN26" s="74">
        <f t="shared" si="4"/>
        <v>0</v>
      </c>
      <c r="AO26" s="82">
        <v>2</v>
      </c>
      <c r="AP26" s="76">
        <f>IF(((SUM(COUNTIF(E26:AI26,"CL"),( COUNTIF(E26:AI26, "WHP")/2),( COUNTIF(E26:AI26, "HP")/2)))&lt;=AO26),(SUM(COUNTIF(E26:AI26,"CL"),( COUNTIF(E26:AI26, "WHP")/2),( COUNTIF(E26:AI26, "HP")/2))),AO26)</f>
        <v>2</v>
      </c>
      <c r="AQ26" s="76">
        <f t="shared" si="5"/>
        <v>0</v>
      </c>
      <c r="AR26" s="72">
        <f t="shared" si="6"/>
        <v>3.5</v>
      </c>
      <c r="AS26" s="72">
        <f t="shared" si="7"/>
        <v>3.5</v>
      </c>
      <c r="AT26" s="77">
        <f>IF((SUM(COUNTIF(E26:AI26,"CL"),( COUNTIF(E26:AI26, "WHP")/2),( COUNTIF(E26:AI26,"HP")/2))&gt;=AO26),0,(AO26-(SUM(COUNTIF(E26:AI26,"CL"),( COUNTIF(E26:AI26, "WHP")/2),( COUNTIF(E26:AI26,"HP")/2)))))</f>
        <v>0</v>
      </c>
      <c r="AU26" s="78">
        <f>AJ26+AL26+AP26</f>
        <v>26.5</v>
      </c>
      <c r="AV26" s="78">
        <f t="shared" si="8"/>
        <v>0</v>
      </c>
      <c r="AW26" s="78">
        <f t="shared" si="9"/>
        <v>2</v>
      </c>
      <c r="AX26" s="78">
        <f>AJ26+AK26+AL26+AM26</f>
        <v>30</v>
      </c>
      <c r="AY26" s="78" t="str">
        <f>IF((AX26=AW1), "Correct", "Error")</f>
        <v>Correct</v>
      </c>
    </row>
    <row r="27" spans="2:51">
      <c r="B27" s="67">
        <v>22</v>
      </c>
      <c r="C27" s="68" t="s">
        <v>69</v>
      </c>
      <c r="D27" s="44"/>
      <c r="E27" s="69"/>
      <c r="F27" s="70" t="s">
        <v>44</v>
      </c>
      <c r="G27" s="70" t="s">
        <v>44</v>
      </c>
      <c r="H27" s="70" t="s">
        <v>44</v>
      </c>
      <c r="I27" s="70" t="s">
        <v>44</v>
      </c>
      <c r="J27" s="70" t="s">
        <v>44</v>
      </c>
      <c r="K27" s="69"/>
      <c r="L27" s="69"/>
      <c r="M27" s="70" t="s">
        <v>44</v>
      </c>
      <c r="N27" s="70" t="s">
        <v>44</v>
      </c>
      <c r="O27" s="70" t="s">
        <v>44</v>
      </c>
      <c r="P27" s="70" t="s">
        <v>47</v>
      </c>
      <c r="Q27" s="70" t="s">
        <v>47</v>
      </c>
      <c r="R27" s="70" t="s">
        <v>42</v>
      </c>
      <c r="S27" s="69"/>
      <c r="T27" s="70" t="s">
        <v>44</v>
      </c>
      <c r="U27" s="70" t="s">
        <v>44</v>
      </c>
      <c r="V27" s="70" t="s">
        <v>44</v>
      </c>
      <c r="W27" s="70"/>
      <c r="X27" s="70"/>
      <c r="Y27" s="69"/>
      <c r="Z27" s="69"/>
      <c r="AA27" s="70"/>
      <c r="AB27" s="70"/>
      <c r="AC27" s="70"/>
      <c r="AD27" s="70"/>
      <c r="AE27" s="70"/>
      <c r="AF27" s="70"/>
      <c r="AG27" s="69"/>
      <c r="AH27" s="70"/>
      <c r="AI27" s="70"/>
      <c r="AJ27" s="71">
        <f t="shared" si="10"/>
        <v>12</v>
      </c>
      <c r="AK27" s="72">
        <f t="shared" si="2"/>
        <v>1</v>
      </c>
      <c r="AL27" s="73">
        <v>8</v>
      </c>
      <c r="AM27" s="74">
        <f t="shared" si="3"/>
        <v>0</v>
      </c>
      <c r="AN27" s="74">
        <f t="shared" si="4"/>
        <v>0</v>
      </c>
      <c r="AO27" s="82">
        <v>2</v>
      </c>
      <c r="AP27" s="76">
        <f>IF(((SUM(COUNTIF(E27:AI27,"CL"),( COUNTIF(E27:AI27, "WHP")/2),( COUNTIF(E27:AI27, "HP")/2)))&lt;=AO27),(SUM(COUNTIF(E27:AI27,"CL"),( COUNTIF(E27:AI27, "WHP")/2),( COUNTIF(E27:AI27, "HP")/2))),AO27)</f>
        <v>1</v>
      </c>
      <c r="AQ27" s="76">
        <f t="shared" si="5"/>
        <v>0</v>
      </c>
      <c r="AR27" s="72">
        <f t="shared" si="6"/>
        <v>0</v>
      </c>
      <c r="AS27" s="72">
        <f t="shared" si="7"/>
        <v>0</v>
      </c>
      <c r="AT27" s="77">
        <f>IF((SUM(COUNTIF(E27:AI27,"CL"),( COUNTIF(E27:AI27, "WHP")/2),( COUNTIF(E27:AI27,"HP")/2))&gt;=AO27),0,(AO27-(SUM(COUNTIF(E27:AI27,"CL"),( COUNTIF(E27:AI27, "WHP")/2),( COUNTIF(E27:AI27,"HP")/2)))))</f>
        <v>1</v>
      </c>
      <c r="AU27" s="78">
        <f>AJ27+AL27+AP27</f>
        <v>21</v>
      </c>
      <c r="AV27" s="78">
        <f t="shared" si="8"/>
        <v>0</v>
      </c>
      <c r="AW27" s="78">
        <f t="shared" si="9"/>
        <v>3</v>
      </c>
      <c r="AX27" s="78">
        <f>AJ27+AK27+AL27+AM27</f>
        <v>21</v>
      </c>
      <c r="AY27" s="78" t="str">
        <f>IF((AX27=AW1), "Correct", "Error")</f>
        <v>Error</v>
      </c>
    </row>
    <row r="28" spans="2:51">
      <c r="B28" s="67">
        <v>23</v>
      </c>
      <c r="C28" s="68" t="s">
        <v>70</v>
      </c>
      <c r="D28" s="44"/>
      <c r="E28" s="69"/>
      <c r="F28" s="70" t="s">
        <v>44</v>
      </c>
      <c r="G28" s="70" t="s">
        <v>44</v>
      </c>
      <c r="H28" s="70" t="s">
        <v>44</v>
      </c>
      <c r="I28" s="70" t="s">
        <v>44</v>
      </c>
      <c r="J28" s="70" t="s">
        <v>44</v>
      </c>
      <c r="K28" s="69"/>
      <c r="L28" s="69"/>
      <c r="M28" s="70" t="s">
        <v>44</v>
      </c>
      <c r="N28" s="70" t="s">
        <v>44</v>
      </c>
      <c r="O28" s="70" t="s">
        <v>44</v>
      </c>
      <c r="P28" s="70" t="s">
        <v>44</v>
      </c>
      <c r="Q28" s="70" t="s">
        <v>44</v>
      </c>
      <c r="R28" s="70" t="s">
        <v>42</v>
      </c>
      <c r="S28" s="69"/>
      <c r="T28" s="70" t="s">
        <v>44</v>
      </c>
      <c r="U28" s="70" t="s">
        <v>44</v>
      </c>
      <c r="V28" s="70" t="s">
        <v>44</v>
      </c>
      <c r="W28" s="70"/>
      <c r="X28" s="70"/>
      <c r="Y28" s="69"/>
      <c r="Z28" s="69"/>
      <c r="AA28" s="70"/>
      <c r="AB28" s="70"/>
      <c r="AC28" s="70"/>
      <c r="AD28" s="70"/>
      <c r="AE28" s="70"/>
      <c r="AF28" s="70"/>
      <c r="AG28" s="69"/>
      <c r="AH28" s="70"/>
      <c r="AI28" s="70"/>
      <c r="AJ28" s="71">
        <f t="shared" si="10"/>
        <v>13</v>
      </c>
      <c r="AK28" s="72">
        <f t="shared" si="2"/>
        <v>0</v>
      </c>
      <c r="AL28" s="73">
        <v>8</v>
      </c>
      <c r="AM28" s="74">
        <f t="shared" si="3"/>
        <v>0</v>
      </c>
      <c r="AN28" s="74">
        <f t="shared" si="4"/>
        <v>0</v>
      </c>
      <c r="AO28" s="82">
        <v>9</v>
      </c>
      <c r="AP28" s="76">
        <f>IF(((SUM(COUNTIF(E28:AI28,"CL"),( COUNTIF(E28:AI28, "WHP")/2),( COUNTIF(E28:AI28, "HP")/2)))&lt;=AO28),(SUM(COUNTIF(E28:AI28,"CL"),( COUNTIF(E28:AI28, "WHP")/2),( COUNTIF(E28:AI28, "HP")/2))),AO28)</f>
        <v>0</v>
      </c>
      <c r="AQ28" s="76">
        <f t="shared" si="5"/>
        <v>0</v>
      </c>
      <c r="AR28" s="72">
        <f t="shared" si="6"/>
        <v>0</v>
      </c>
      <c r="AS28" s="72">
        <f t="shared" si="7"/>
        <v>0</v>
      </c>
      <c r="AT28" s="77">
        <f>IF((SUM(COUNTIF(E28:AI28,"CL"),( COUNTIF(E28:AI28, "WHP")/2),( COUNTIF(E28:AI28,"HP")/2))&gt;=AO28),0,(AO28-(SUM(COUNTIF(E28:AI28,"CL"),( COUNTIF(E28:AI28, "WHP")/2),( COUNTIF(E28:AI28,"HP")/2)))))</f>
        <v>9</v>
      </c>
      <c r="AU28" s="78">
        <f>AJ28+AL28+AP28</f>
        <v>21</v>
      </c>
      <c r="AV28" s="78">
        <f t="shared" si="8"/>
        <v>0</v>
      </c>
      <c r="AW28" s="78">
        <f t="shared" si="9"/>
        <v>11</v>
      </c>
      <c r="AX28" s="78">
        <f>AJ28+AK28+AL28+AM28</f>
        <v>21</v>
      </c>
      <c r="AY28" s="78" t="str">
        <f>IF((AX28=AW1), "Correct", "Error")</f>
        <v>Error</v>
      </c>
    </row>
    <row r="29" spans="2:51">
      <c r="B29" s="67">
        <v>24</v>
      </c>
      <c r="C29" s="68" t="s">
        <v>71</v>
      </c>
      <c r="D29" s="44"/>
      <c r="E29" s="69"/>
      <c r="F29" s="70" t="s">
        <v>40</v>
      </c>
      <c r="G29" s="70" t="s">
        <v>40</v>
      </c>
      <c r="H29" s="70" t="s">
        <v>40</v>
      </c>
      <c r="I29" s="70" t="s">
        <v>40</v>
      </c>
      <c r="J29" s="70" t="s">
        <v>40</v>
      </c>
      <c r="K29" s="69"/>
      <c r="L29" s="69"/>
      <c r="M29" s="70" t="s">
        <v>44</v>
      </c>
      <c r="N29" s="70" t="s">
        <v>44</v>
      </c>
      <c r="O29" s="70" t="s">
        <v>44</v>
      </c>
      <c r="P29" s="70" t="s">
        <v>46</v>
      </c>
      <c r="Q29" s="70" t="s">
        <v>44</v>
      </c>
      <c r="R29" s="70" t="s">
        <v>42</v>
      </c>
      <c r="S29" s="69"/>
      <c r="T29" s="70" t="s">
        <v>44</v>
      </c>
      <c r="U29" s="70" t="s">
        <v>40</v>
      </c>
      <c r="V29" s="70" t="s">
        <v>40</v>
      </c>
      <c r="W29" s="70" t="s">
        <v>40</v>
      </c>
      <c r="X29" s="70"/>
      <c r="Y29" s="69"/>
      <c r="Z29" s="69"/>
      <c r="AA29" s="70"/>
      <c r="AB29" s="70"/>
      <c r="AC29" s="70"/>
      <c r="AD29" s="70"/>
      <c r="AE29" s="70"/>
      <c r="AF29" s="70"/>
      <c r="AG29" s="69"/>
      <c r="AH29" s="70"/>
      <c r="AI29" s="70"/>
      <c r="AJ29" s="71">
        <f t="shared" si="10"/>
        <v>13</v>
      </c>
      <c r="AK29" s="72">
        <f t="shared" si="2"/>
        <v>1</v>
      </c>
      <c r="AL29" s="73">
        <v>8</v>
      </c>
      <c r="AM29" s="74">
        <f t="shared" si="3"/>
        <v>0</v>
      </c>
      <c r="AN29" s="74">
        <f t="shared" si="4"/>
        <v>0</v>
      </c>
      <c r="AO29" s="82">
        <v>9.5</v>
      </c>
      <c r="AP29" s="76">
        <f>IF(((SUM(COUNTIF(E29:AI29,"CL"),( COUNTIF(E29:AI29, "WHP")/2),( COUNTIF(E29:AI29, "HP")/2)))&lt;=AO29),(SUM(COUNTIF(E29:AI29,"CL"),( COUNTIF(E29:AI29, "WHP")/2),( COUNTIF(E29:AI29, "HP")/2))),AO29)</f>
        <v>1</v>
      </c>
      <c r="AQ29" s="76">
        <f t="shared" si="5"/>
        <v>0</v>
      </c>
      <c r="AR29" s="72">
        <f t="shared" si="6"/>
        <v>0</v>
      </c>
      <c r="AS29" s="72">
        <f t="shared" si="7"/>
        <v>0</v>
      </c>
      <c r="AT29" s="77">
        <f>IF((SUM(COUNTIF(E29:AI29,"CL"),( COUNTIF(E29:AI29, "WHP")/2),( COUNTIF(E29:AI29,"HP")/2))&gt;=AO29),0,(AO29-(SUM(COUNTIF(E29:AI29,"CL"),( COUNTIF(E29:AI29, "WHP")/2),( COUNTIF(E29:AI29,"HP")/2)))))</f>
        <v>8.5</v>
      </c>
      <c r="AU29" s="78">
        <f>AJ29+AL29+AP29</f>
        <v>22</v>
      </c>
      <c r="AV29" s="78">
        <f t="shared" si="8"/>
        <v>0</v>
      </c>
      <c r="AW29" s="78">
        <f t="shared" si="9"/>
        <v>10.5</v>
      </c>
      <c r="AX29" s="78">
        <f>AJ29+AK29+AL29+AM29</f>
        <v>22</v>
      </c>
      <c r="AY29" s="78" t="str">
        <f>IF((AX29=AW1), "Correct", "Error")</f>
        <v>Error</v>
      </c>
    </row>
    <row r="30" spans="2:51">
      <c r="B30" s="67">
        <v>25</v>
      </c>
      <c r="C30" s="68" t="s">
        <v>72</v>
      </c>
      <c r="D30" s="44"/>
      <c r="E30" s="69"/>
      <c r="F30" s="70" t="s">
        <v>40</v>
      </c>
      <c r="G30" s="70" t="s">
        <v>40</v>
      </c>
      <c r="H30" s="70" t="s">
        <v>40</v>
      </c>
      <c r="I30" s="70" t="s">
        <v>40</v>
      </c>
      <c r="J30" s="70" t="s">
        <v>46</v>
      </c>
      <c r="K30" s="69"/>
      <c r="L30" s="69"/>
      <c r="M30" s="70" t="s">
        <v>40</v>
      </c>
      <c r="N30" s="70" t="s">
        <v>40</v>
      </c>
      <c r="O30" s="70" t="s">
        <v>40</v>
      </c>
      <c r="P30" s="70" t="s">
        <v>40</v>
      </c>
      <c r="Q30" s="70" t="s">
        <v>40</v>
      </c>
      <c r="R30" s="70" t="s">
        <v>42</v>
      </c>
      <c r="S30" s="69"/>
      <c r="T30" s="70" t="s">
        <v>40</v>
      </c>
      <c r="U30" s="70" t="s">
        <v>40</v>
      </c>
      <c r="V30" s="70" t="s">
        <v>40</v>
      </c>
      <c r="W30" s="70" t="s">
        <v>40</v>
      </c>
      <c r="X30" s="70"/>
      <c r="Y30" s="69"/>
      <c r="Z30" s="69"/>
      <c r="AA30" s="70"/>
      <c r="AB30" s="70"/>
      <c r="AC30" s="70"/>
      <c r="AD30" s="70"/>
      <c r="AE30" s="70"/>
      <c r="AF30" s="70"/>
      <c r="AG30" s="69"/>
      <c r="AH30" s="70"/>
      <c r="AI30" s="70"/>
      <c r="AJ30" s="71">
        <f t="shared" si="10"/>
        <v>13</v>
      </c>
      <c r="AK30" s="72">
        <f t="shared" si="2"/>
        <v>1</v>
      </c>
      <c r="AL30" s="73">
        <v>8</v>
      </c>
      <c r="AM30" s="74">
        <f t="shared" si="3"/>
        <v>0</v>
      </c>
      <c r="AN30" s="74">
        <f t="shared" si="4"/>
        <v>0</v>
      </c>
      <c r="AO30" s="82">
        <v>17</v>
      </c>
      <c r="AP30" s="76">
        <f>IF(((SUM(COUNTIF(E30:AI30,"CL"),( COUNTIF(E30:AI30, "WHP")/2),( COUNTIF(E30:AI30, "HP")/2)))&lt;=AO30),(SUM(COUNTIF(E30:AI30,"CL"),( COUNTIF(E30:AI30, "WHP")/2),( COUNTIF(E30:AI30, "HP")/2))),AO30)</f>
        <v>1</v>
      </c>
      <c r="AQ30" s="76">
        <f t="shared" si="5"/>
        <v>0</v>
      </c>
      <c r="AR30" s="72">
        <f t="shared" si="6"/>
        <v>0</v>
      </c>
      <c r="AS30" s="72">
        <f t="shared" si="7"/>
        <v>0</v>
      </c>
      <c r="AT30" s="77">
        <f>IF((SUM(COUNTIF(E30:AI30,"CL"),( COUNTIF(E30:AI30, "WHP")/2),( COUNTIF(E30:AI30,"HP")/2))&gt;=AO30),0,(AO30-(SUM(COUNTIF(E30:AI30,"CL"),( COUNTIF(E30:AI30, "WHP")/2),( COUNTIF(E30:AI30,"HP")/2)))))</f>
        <v>16</v>
      </c>
      <c r="AU30" s="78">
        <f>AJ30+AL30+AP30</f>
        <v>22</v>
      </c>
      <c r="AV30" s="78">
        <f t="shared" si="8"/>
        <v>0</v>
      </c>
      <c r="AW30" s="78">
        <f t="shared" si="9"/>
        <v>18</v>
      </c>
      <c r="AX30" s="78">
        <f>AJ30+AK30+AL30+AM30</f>
        <v>22</v>
      </c>
      <c r="AY30" s="78" t="str">
        <f>IF((AX30=AW1), "Correct", "Error")</f>
        <v>Error</v>
      </c>
    </row>
    <row r="31" spans="2:51">
      <c r="B31" s="67">
        <v>26</v>
      </c>
      <c r="C31" s="68" t="s">
        <v>73</v>
      </c>
      <c r="D31" s="44"/>
      <c r="E31" s="69"/>
      <c r="F31" s="70" t="s">
        <v>44</v>
      </c>
      <c r="G31" s="70" t="s">
        <v>44</v>
      </c>
      <c r="H31" s="70" t="s">
        <v>44</v>
      </c>
      <c r="I31" s="70" t="s">
        <v>44</v>
      </c>
      <c r="J31" s="70" t="s">
        <v>44</v>
      </c>
      <c r="K31" s="69"/>
      <c r="L31" s="69"/>
      <c r="M31" s="70" t="s">
        <v>40</v>
      </c>
      <c r="N31" s="70" t="s">
        <v>40</v>
      </c>
      <c r="O31" s="70" t="s">
        <v>40</v>
      </c>
      <c r="P31" s="70" t="s">
        <v>40</v>
      </c>
      <c r="Q31" s="70" t="s">
        <v>40</v>
      </c>
      <c r="R31" s="70" t="s">
        <v>42</v>
      </c>
      <c r="S31" s="69"/>
      <c r="T31" s="70" t="s">
        <v>40</v>
      </c>
      <c r="U31" s="70" t="s">
        <v>40</v>
      </c>
      <c r="V31" s="70" t="s">
        <v>40</v>
      </c>
      <c r="W31" s="70"/>
      <c r="X31" s="70"/>
      <c r="Y31" s="69"/>
      <c r="Z31" s="69"/>
      <c r="AA31" s="70"/>
      <c r="AB31" s="70"/>
      <c r="AC31" s="70"/>
      <c r="AD31" s="70"/>
      <c r="AE31" s="70"/>
      <c r="AF31" s="70"/>
      <c r="AG31" s="69"/>
      <c r="AH31" s="70"/>
      <c r="AI31" s="70"/>
      <c r="AJ31" s="71">
        <f t="shared" si="10"/>
        <v>13</v>
      </c>
      <c r="AK31" s="72">
        <f t="shared" si="2"/>
        <v>0</v>
      </c>
      <c r="AL31" s="73">
        <v>8</v>
      </c>
      <c r="AM31" s="74">
        <f t="shared" si="3"/>
        <v>0</v>
      </c>
      <c r="AN31" s="74">
        <f t="shared" si="4"/>
        <v>0</v>
      </c>
      <c r="AO31" s="82">
        <v>7</v>
      </c>
      <c r="AP31" s="76">
        <f>IF(((SUM(COUNTIF(E31:AI31,"CL"),( COUNTIF(E31:AI31, "WHP")/2),( COUNTIF(E31:AI31, "HP")/2)))&lt;=AO31),(SUM(COUNTIF(E31:AI31,"CL"),( COUNTIF(E31:AI31, "WHP")/2),( COUNTIF(E31:AI31, "HP")/2))),AO31)</f>
        <v>0</v>
      </c>
      <c r="AQ31" s="76">
        <f t="shared" si="5"/>
        <v>0</v>
      </c>
      <c r="AR31" s="72">
        <f t="shared" si="6"/>
        <v>0</v>
      </c>
      <c r="AS31" s="72">
        <f t="shared" si="7"/>
        <v>0</v>
      </c>
      <c r="AT31" s="77">
        <f>IF((SUM(COUNTIF(E31:AI31,"CL"),( COUNTIF(E31:AI31, "WHP")/2),( COUNTIF(E31:AI31,"HP")/2))&gt;=AO31),0,(AO31-(SUM(COUNTIF(E31:AI31,"CL"),( COUNTIF(E31:AI31, "WHP")/2),( COUNTIF(E31:AI31,"HP")/2)))))</f>
        <v>7</v>
      </c>
      <c r="AU31" s="78">
        <f>AJ31+AL31+AP31</f>
        <v>21</v>
      </c>
      <c r="AV31" s="78">
        <f t="shared" si="8"/>
        <v>0</v>
      </c>
      <c r="AW31" s="78">
        <f t="shared" si="9"/>
        <v>9</v>
      </c>
      <c r="AX31" s="78">
        <f>AJ31+AK31+AL31+AM31</f>
        <v>21</v>
      </c>
      <c r="AY31" s="78" t="str">
        <f>IF((AX31=AW1), "Correct", "Error")</f>
        <v>Error</v>
      </c>
    </row>
    <row r="32" spans="2:51">
      <c r="B32" s="67">
        <v>27</v>
      </c>
      <c r="C32" s="68" t="s">
        <v>74</v>
      </c>
      <c r="D32" s="44"/>
      <c r="E32" s="69"/>
      <c r="F32" s="70" t="s">
        <v>44</v>
      </c>
      <c r="G32" s="70" t="s">
        <v>44</v>
      </c>
      <c r="H32" s="70" t="s">
        <v>44</v>
      </c>
      <c r="I32" s="70" t="s">
        <v>44</v>
      </c>
      <c r="J32" s="70" t="s">
        <v>44</v>
      </c>
      <c r="K32" s="69"/>
      <c r="L32" s="69"/>
      <c r="M32" s="70" t="s">
        <v>40</v>
      </c>
      <c r="N32" s="70" t="s">
        <v>40</v>
      </c>
      <c r="O32" s="70" t="s">
        <v>40</v>
      </c>
      <c r="P32" s="70" t="s">
        <v>40</v>
      </c>
      <c r="Q32" s="70" t="s">
        <v>40</v>
      </c>
      <c r="R32" s="70" t="s">
        <v>42</v>
      </c>
      <c r="S32" s="69"/>
      <c r="T32" s="70" t="s">
        <v>40</v>
      </c>
      <c r="U32" s="70" t="s">
        <v>40</v>
      </c>
      <c r="V32" s="70" t="s">
        <v>40</v>
      </c>
      <c r="W32" s="70"/>
      <c r="X32" s="70"/>
      <c r="Y32" s="69"/>
      <c r="Z32" s="69"/>
      <c r="AA32" s="70"/>
      <c r="AB32" s="70"/>
      <c r="AC32" s="70"/>
      <c r="AD32" s="70"/>
      <c r="AE32" s="70"/>
      <c r="AF32" s="70"/>
      <c r="AG32" s="69"/>
      <c r="AH32" s="70"/>
      <c r="AI32" s="70"/>
      <c r="AJ32" s="71">
        <f t="shared" si="10"/>
        <v>13</v>
      </c>
      <c r="AK32" s="72">
        <f t="shared" si="2"/>
        <v>0</v>
      </c>
      <c r="AL32" s="73">
        <v>8</v>
      </c>
      <c r="AM32" s="74">
        <f t="shared" si="3"/>
        <v>0</v>
      </c>
      <c r="AN32" s="74">
        <f t="shared" si="4"/>
        <v>0</v>
      </c>
      <c r="AO32" s="82">
        <v>5</v>
      </c>
      <c r="AP32" s="76">
        <f>IF(((SUM(COUNTIF(E32:AI32,"CL"),( COUNTIF(E32:AI32, "WHP")/2),( COUNTIF(E32:AI32, "HP")/2)))&lt;=AO32),(SUM(COUNTIF(E32:AI32,"CL"),( COUNTIF(E32:AI32, "WHP")/2),( COUNTIF(E32:AI32, "HP")/2))),AO32)</f>
        <v>0</v>
      </c>
      <c r="AQ32" s="76">
        <f t="shared" si="5"/>
        <v>0</v>
      </c>
      <c r="AR32" s="72">
        <f t="shared" si="6"/>
        <v>0</v>
      </c>
      <c r="AS32" s="72">
        <f t="shared" si="7"/>
        <v>0</v>
      </c>
      <c r="AT32" s="77">
        <f>IF((SUM(COUNTIF(E32:AI32,"CL"),( COUNTIF(E32:AI32, "WHP")/2),( COUNTIF(E32:AI32,"HP")/2))&gt;=AO32),0,(AO32-(SUM(COUNTIF(E32:AI32,"CL"),( COUNTIF(E32:AI32, "WHP")/2),( COUNTIF(E32:AI32,"HP")/2)))))</f>
        <v>5</v>
      </c>
      <c r="AU32" s="78">
        <f>AJ32+AL32+AP32</f>
        <v>21</v>
      </c>
      <c r="AV32" s="78">
        <f t="shared" si="8"/>
        <v>0</v>
      </c>
      <c r="AW32" s="78">
        <f t="shared" si="9"/>
        <v>7</v>
      </c>
      <c r="AX32" s="78">
        <f>AJ32+AK32+AL32+AM32</f>
        <v>21</v>
      </c>
      <c r="AY32" s="78" t="str">
        <f>IF((AX32=AW1), "Correct", "Error")</f>
        <v>Error</v>
      </c>
    </row>
    <row r="33" spans="2:51">
      <c r="B33" s="67">
        <v>28</v>
      </c>
      <c r="C33" s="68" t="s">
        <v>75</v>
      </c>
      <c r="D33" s="44"/>
      <c r="E33" s="69"/>
      <c r="F33" s="70" t="s">
        <v>44</v>
      </c>
      <c r="G33" s="70" t="s">
        <v>44</v>
      </c>
      <c r="H33" s="70" t="s">
        <v>44</v>
      </c>
      <c r="I33" s="70" t="s">
        <v>44</v>
      </c>
      <c r="J33" s="70" t="s">
        <v>44</v>
      </c>
      <c r="K33" s="69"/>
      <c r="L33" s="69"/>
      <c r="M33" s="70" t="s">
        <v>44</v>
      </c>
      <c r="N33" s="70" t="s">
        <v>44</v>
      </c>
      <c r="O33" s="70" t="s">
        <v>44</v>
      </c>
      <c r="P33" s="70" t="s">
        <v>44</v>
      </c>
      <c r="Q33" s="70" t="s">
        <v>44</v>
      </c>
      <c r="R33" s="70" t="s">
        <v>42</v>
      </c>
      <c r="S33" s="69"/>
      <c r="T33" s="70" t="s">
        <v>44</v>
      </c>
      <c r="U33" s="70" t="s">
        <v>44</v>
      </c>
      <c r="V33" s="70" t="s">
        <v>44</v>
      </c>
      <c r="W33" s="70"/>
      <c r="X33" s="70"/>
      <c r="Y33" s="69"/>
      <c r="Z33" s="69"/>
      <c r="AA33" s="70"/>
      <c r="AB33" s="70"/>
      <c r="AC33" s="70"/>
      <c r="AD33" s="70"/>
      <c r="AE33" s="70"/>
      <c r="AF33" s="70"/>
      <c r="AG33" s="69"/>
      <c r="AH33" s="70"/>
      <c r="AI33" s="70"/>
      <c r="AJ33" s="71">
        <f t="shared" si="10"/>
        <v>13</v>
      </c>
      <c r="AK33" s="72">
        <f t="shared" si="2"/>
        <v>0</v>
      </c>
      <c r="AL33" s="73">
        <v>8</v>
      </c>
      <c r="AM33" s="74">
        <f t="shared" si="3"/>
        <v>0</v>
      </c>
      <c r="AN33" s="74">
        <f t="shared" si="4"/>
        <v>0</v>
      </c>
      <c r="AO33" s="82">
        <v>3.5</v>
      </c>
      <c r="AP33" s="76">
        <f>IF(((SUM(COUNTIF(E33:AI33,"CL"),( COUNTIF(E33:AI33, "WHP")/2),( COUNTIF(E33:AI33, "HP")/2)))&lt;=AO33),(SUM(COUNTIF(E33:AI33,"CL"),( COUNTIF(E33:AI33, "WHP")/2),( COUNTIF(E33:AI33, "HP")/2))),AO33)</f>
        <v>0</v>
      </c>
      <c r="AQ33" s="76">
        <f t="shared" si="5"/>
        <v>0</v>
      </c>
      <c r="AR33" s="72">
        <f t="shared" si="6"/>
        <v>0</v>
      </c>
      <c r="AS33" s="72">
        <f t="shared" si="7"/>
        <v>0</v>
      </c>
      <c r="AT33" s="77">
        <f>IF((SUM(COUNTIF(E33:AI33,"CL"),( COUNTIF(E33:AI33, "WHP")/2),( COUNTIF(E33:AI33,"HP")/2))&gt;=AO33),0,(AO33-(SUM(COUNTIF(E33:AI33,"CL"),( COUNTIF(E33:AI33, "WHP")/2),( COUNTIF(E33:AI33,"HP")/2)))))</f>
        <v>3.5</v>
      </c>
      <c r="AU33" s="78">
        <f>AJ33+AL33+AP33</f>
        <v>21</v>
      </c>
      <c r="AV33" s="78">
        <f t="shared" si="8"/>
        <v>0</v>
      </c>
      <c r="AW33" s="78">
        <f t="shared" si="9"/>
        <v>5.5</v>
      </c>
      <c r="AX33" s="78">
        <f>AJ33+AK33+AL33+AM33</f>
        <v>21</v>
      </c>
      <c r="AY33" s="78" t="str">
        <f>IF((AX33=AW1), "Correct", "Error")</f>
        <v>Error</v>
      </c>
    </row>
    <row r="34" spans="2:51">
      <c r="B34" s="67">
        <v>29</v>
      </c>
      <c r="C34" s="68" t="s">
        <v>76</v>
      </c>
      <c r="D34" s="44"/>
      <c r="E34" s="69"/>
      <c r="F34" s="70" t="s">
        <v>44</v>
      </c>
      <c r="G34" s="70" t="s">
        <v>44</v>
      </c>
      <c r="H34" s="70" t="s">
        <v>44</v>
      </c>
      <c r="I34" s="70" t="s">
        <v>44</v>
      </c>
      <c r="J34" s="70" t="s">
        <v>44</v>
      </c>
      <c r="K34" s="69"/>
      <c r="L34" s="69"/>
      <c r="M34" s="70" t="s">
        <v>44</v>
      </c>
      <c r="N34" s="70" t="s">
        <v>44</v>
      </c>
      <c r="O34" s="70" t="s">
        <v>44</v>
      </c>
      <c r="P34" s="70" t="s">
        <v>44</v>
      </c>
      <c r="Q34" s="70" t="s">
        <v>44</v>
      </c>
      <c r="R34" s="70" t="s">
        <v>42</v>
      </c>
      <c r="S34" s="69"/>
      <c r="T34" s="70" t="s">
        <v>44</v>
      </c>
      <c r="U34" s="70" t="s">
        <v>44</v>
      </c>
      <c r="V34" s="70" t="s">
        <v>44</v>
      </c>
      <c r="W34" s="70"/>
      <c r="X34" s="70"/>
      <c r="Y34" s="69"/>
      <c r="Z34" s="69"/>
      <c r="AA34" s="70"/>
      <c r="AB34" s="70"/>
      <c r="AC34" s="70"/>
      <c r="AD34" s="70"/>
      <c r="AE34" s="70"/>
      <c r="AF34" s="70"/>
      <c r="AG34" s="69"/>
      <c r="AH34" s="70"/>
      <c r="AI34" s="70"/>
      <c r="AJ34" s="71">
        <f t="shared" si="10"/>
        <v>13</v>
      </c>
      <c r="AK34" s="72">
        <f t="shared" si="2"/>
        <v>0</v>
      </c>
      <c r="AL34" s="73">
        <v>8</v>
      </c>
      <c r="AM34" s="74">
        <f t="shared" si="3"/>
        <v>0</v>
      </c>
      <c r="AN34" s="74">
        <f t="shared" si="4"/>
        <v>0</v>
      </c>
      <c r="AO34" s="82">
        <v>6</v>
      </c>
      <c r="AP34" s="76">
        <f>IF(((SUM(COUNTIF(E34:AI34,"CL"),( COUNTIF(E34:AI34, "WHP")/2),( COUNTIF(E34:AI34, "HP")/2)))&lt;=AO34),(SUM(COUNTIF(E34:AI34,"CL"),( COUNTIF(E34:AI34, "WHP")/2),( COUNTIF(E34:AI34, "HP")/2))),AO34)</f>
        <v>0</v>
      </c>
      <c r="AQ34" s="76">
        <f t="shared" si="5"/>
        <v>0</v>
      </c>
      <c r="AR34" s="72">
        <f t="shared" si="6"/>
        <v>0</v>
      </c>
      <c r="AS34" s="72">
        <f t="shared" si="7"/>
        <v>0</v>
      </c>
      <c r="AT34" s="77">
        <f>IF((SUM(COUNTIF(E34:AI34,"CL"),( COUNTIF(E34:AI34, "WHP")/2),( COUNTIF(E34:AI34,"HP")/2))&gt;=AO34),0,(AO34-(SUM(COUNTIF(E34:AI34,"CL"),( COUNTIF(E34:AI34, "WHP")/2),( COUNTIF(E34:AI34,"HP")/2)))))</f>
        <v>6</v>
      </c>
      <c r="AU34" s="78">
        <f>AJ34+AL34+AP34+AQ34</f>
        <v>21</v>
      </c>
      <c r="AV34" s="78">
        <f t="shared" si="8"/>
        <v>0</v>
      </c>
      <c r="AW34" s="78">
        <f t="shared" si="9"/>
        <v>8</v>
      </c>
      <c r="AX34" s="78">
        <f>AJ34+AK34+AL34+AM34</f>
        <v>21</v>
      </c>
      <c r="AY34" s="78" t="str">
        <f>IF((AX34=AW1), "Correct", "Error")</f>
        <v>Error</v>
      </c>
    </row>
    <row r="35" spans="2:51">
      <c r="B35" s="67">
        <v>30</v>
      </c>
      <c r="C35" s="68" t="s">
        <v>77</v>
      </c>
      <c r="D35" s="44"/>
      <c r="E35" s="69"/>
      <c r="F35" s="70" t="s">
        <v>44</v>
      </c>
      <c r="G35" s="70" t="s">
        <v>44</v>
      </c>
      <c r="H35" s="70" t="s">
        <v>44</v>
      </c>
      <c r="I35" s="70" t="s">
        <v>44</v>
      </c>
      <c r="J35" s="70" t="s">
        <v>44</v>
      </c>
      <c r="K35" s="69"/>
      <c r="L35" s="69"/>
      <c r="M35" s="70" t="s">
        <v>44</v>
      </c>
      <c r="N35" s="70" t="s">
        <v>44</v>
      </c>
      <c r="O35" s="70" t="s">
        <v>44</v>
      </c>
      <c r="P35" s="70" t="s">
        <v>44</v>
      </c>
      <c r="Q35" s="70" t="s">
        <v>44</v>
      </c>
      <c r="R35" s="70" t="s">
        <v>42</v>
      </c>
      <c r="S35" s="69"/>
      <c r="T35" s="70" t="s">
        <v>44</v>
      </c>
      <c r="U35" s="70" t="s">
        <v>44</v>
      </c>
      <c r="V35" s="70" t="s">
        <v>44</v>
      </c>
      <c r="W35" s="70"/>
      <c r="X35" s="70"/>
      <c r="Y35" s="69"/>
      <c r="Z35" s="69"/>
      <c r="AA35" s="70"/>
      <c r="AB35" s="70"/>
      <c r="AC35" s="70"/>
      <c r="AD35" s="70"/>
      <c r="AE35" s="70"/>
      <c r="AF35" s="70"/>
      <c r="AG35" s="69"/>
      <c r="AH35" s="70"/>
      <c r="AI35" s="70"/>
      <c r="AJ35" s="71">
        <f t="shared" si="10"/>
        <v>13</v>
      </c>
      <c r="AK35" s="72">
        <f t="shared" si="2"/>
        <v>0</v>
      </c>
      <c r="AL35" s="73">
        <v>8</v>
      </c>
      <c r="AM35" s="74">
        <f t="shared" si="3"/>
        <v>0</v>
      </c>
      <c r="AN35" s="74">
        <f t="shared" si="4"/>
        <v>0</v>
      </c>
      <c r="AO35" s="82">
        <v>3</v>
      </c>
      <c r="AP35" s="76">
        <f>IF(((SUM(COUNTIF(E35:AI35,"CL"),( COUNTIF(E35:AI35, "WHP")/2),( COUNTIF(E35:AI35, "HP")/2)))&lt;=AO35),(SUM(COUNTIF(E35:AI35,"CL"),( COUNTIF(E35:AI35, "WHP")/2),( COUNTIF(E35:AI35, "HP")/2))),AO35)</f>
        <v>0</v>
      </c>
      <c r="AQ35" s="76">
        <f t="shared" si="5"/>
        <v>0</v>
      </c>
      <c r="AR35" s="72">
        <f t="shared" si="6"/>
        <v>0</v>
      </c>
      <c r="AS35" s="72">
        <f t="shared" si="7"/>
        <v>0</v>
      </c>
      <c r="AT35" s="77">
        <f>IF((SUM(COUNTIF(E35:AI35,"CL"),( COUNTIF(E35:AI35, "WHP")/2),( COUNTIF(E35:AI35,"HP")/2))&gt;=AO35),0,(AO35-(SUM(COUNTIF(E35:AI35,"CL"),( COUNTIF(E35:AI35, "WHP")/2),( COUNTIF(E35:AI35,"HP")/2)))))</f>
        <v>3</v>
      </c>
      <c r="AU35" s="78">
        <f>AJ35+AL35+AP35</f>
        <v>21</v>
      </c>
      <c r="AV35" s="78">
        <f t="shared" si="8"/>
        <v>0</v>
      </c>
      <c r="AW35" s="78">
        <f t="shared" si="9"/>
        <v>5</v>
      </c>
      <c r="AX35" s="78">
        <f>AJ35+AK35+AL35+AM35</f>
        <v>21</v>
      </c>
      <c r="AY35" s="78" t="str">
        <f>IF((AX35=AW1), "Correct", "Error")</f>
        <v>Error</v>
      </c>
    </row>
    <row r="36" spans="2:51">
      <c r="B36" s="67">
        <v>31</v>
      </c>
      <c r="C36" s="68" t="s">
        <v>78</v>
      </c>
      <c r="D36" s="44"/>
      <c r="E36" s="69"/>
      <c r="F36" s="70" t="s">
        <v>44</v>
      </c>
      <c r="G36" s="70" t="s">
        <v>44</v>
      </c>
      <c r="H36" s="70" t="s">
        <v>44</v>
      </c>
      <c r="I36" s="70" t="s">
        <v>44</v>
      </c>
      <c r="J36" s="70" t="s">
        <v>47</v>
      </c>
      <c r="K36" s="69"/>
      <c r="L36" s="69"/>
      <c r="M36" s="70" t="s">
        <v>40</v>
      </c>
      <c r="N36" s="70" t="s">
        <v>40</v>
      </c>
      <c r="O36" s="70" t="s">
        <v>40</v>
      </c>
      <c r="P36" s="70" t="s">
        <v>40</v>
      </c>
      <c r="Q36" s="70" t="s">
        <v>40</v>
      </c>
      <c r="R36" s="70" t="s">
        <v>42</v>
      </c>
      <c r="S36" s="69"/>
      <c r="T36" s="70" t="s">
        <v>40</v>
      </c>
      <c r="U36" s="70" t="s">
        <v>40</v>
      </c>
      <c r="V36" s="70" t="s">
        <v>40</v>
      </c>
      <c r="W36" s="70"/>
      <c r="X36" s="70"/>
      <c r="Y36" s="69"/>
      <c r="Z36" s="69"/>
      <c r="AA36" s="70"/>
      <c r="AB36" s="70"/>
      <c r="AC36" s="70"/>
      <c r="AD36" s="70"/>
      <c r="AE36" s="70"/>
      <c r="AF36" s="70"/>
      <c r="AG36" s="69"/>
      <c r="AH36" s="70"/>
      <c r="AI36" s="70"/>
      <c r="AJ36" s="71">
        <f t="shared" si="10"/>
        <v>12.5</v>
      </c>
      <c r="AK36" s="72">
        <f t="shared" si="2"/>
        <v>0.5</v>
      </c>
      <c r="AL36" s="73">
        <v>8</v>
      </c>
      <c r="AM36" s="74">
        <f t="shared" si="3"/>
        <v>0</v>
      </c>
      <c r="AN36" s="74">
        <f t="shared" si="4"/>
        <v>0</v>
      </c>
      <c r="AO36" s="82">
        <v>14.5</v>
      </c>
      <c r="AP36" s="76">
        <f>IF(((SUM(COUNTIF(E36:AI36,"CL"),( COUNTIF(E36:AI36, "WHP")/2),( COUNTIF(E36:AI36, "HP")/2)))&lt;=AO36),(SUM(COUNTIF(E36:AI36,"CL"),( COUNTIF(E36:AI36, "WHP")/2),( COUNTIF(E36:AI36, "HP")/2))),AO36)</f>
        <v>0.5</v>
      </c>
      <c r="AQ36" s="76">
        <f t="shared" si="5"/>
        <v>0</v>
      </c>
      <c r="AR36" s="72">
        <f t="shared" si="6"/>
        <v>0</v>
      </c>
      <c r="AS36" s="72">
        <f t="shared" si="7"/>
        <v>0</v>
      </c>
      <c r="AT36" s="77">
        <f>IF((SUM(COUNTIF(E36:AI36,"CL"),( COUNTIF(E36:AI36, "WHP")/2),( COUNTIF(E36:AI36,"HP")/2))&gt;=AO36),0,(AO36-(SUM(COUNTIF(E36:AI36,"CL"),( COUNTIF(E36:AI36, "WHP")/2),( COUNTIF(E36:AI36,"HP")/2)))))</f>
        <v>14</v>
      </c>
      <c r="AU36" s="78">
        <f>AJ36+AL36+AP36</f>
        <v>21</v>
      </c>
      <c r="AV36" s="78">
        <f t="shared" si="8"/>
        <v>0</v>
      </c>
      <c r="AW36" s="78">
        <f t="shared" si="9"/>
        <v>16</v>
      </c>
      <c r="AX36" s="78">
        <f>AJ36+AK36+AL36+AM36</f>
        <v>21</v>
      </c>
      <c r="AY36" s="78" t="str">
        <f>IF((AX36=AW1), "Correct", "Error")</f>
        <v>Error</v>
      </c>
    </row>
    <row r="37" spans="2:51">
      <c r="B37" s="67">
        <v>32</v>
      </c>
      <c r="C37" s="68" t="s">
        <v>79</v>
      </c>
      <c r="D37" s="44"/>
      <c r="E37" s="69"/>
      <c r="F37" s="70" t="s">
        <v>44</v>
      </c>
      <c r="G37" s="70" t="s">
        <v>44</v>
      </c>
      <c r="H37" s="70" t="s">
        <v>44</v>
      </c>
      <c r="I37" s="70" t="s">
        <v>44</v>
      </c>
      <c r="J37" s="70" t="s">
        <v>44</v>
      </c>
      <c r="K37" s="69"/>
      <c r="L37" s="69"/>
      <c r="M37" s="70" t="s">
        <v>44</v>
      </c>
      <c r="N37" s="70" t="s">
        <v>44</v>
      </c>
      <c r="O37" s="70" t="s">
        <v>44</v>
      </c>
      <c r="P37" s="70" t="s">
        <v>44</v>
      </c>
      <c r="Q37" s="70" t="s">
        <v>44</v>
      </c>
      <c r="R37" s="70" t="s">
        <v>42</v>
      </c>
      <c r="S37" s="69"/>
      <c r="T37" s="70" t="s">
        <v>44</v>
      </c>
      <c r="U37" s="70" t="s">
        <v>44</v>
      </c>
      <c r="V37" s="70" t="s">
        <v>44</v>
      </c>
      <c r="W37" s="80" t="s">
        <v>60</v>
      </c>
      <c r="X37" s="80" t="s">
        <v>60</v>
      </c>
      <c r="Y37" s="80" t="s">
        <v>60</v>
      </c>
      <c r="Z37" s="80" t="s">
        <v>60</v>
      </c>
      <c r="AA37" s="80" t="s">
        <v>60</v>
      </c>
      <c r="AB37" s="80" t="s">
        <v>60</v>
      </c>
      <c r="AC37" s="80" t="s">
        <v>60</v>
      </c>
      <c r="AD37" s="80" t="s">
        <v>60</v>
      </c>
      <c r="AE37" s="80" t="s">
        <v>60</v>
      </c>
      <c r="AF37" s="80" t="s">
        <v>60</v>
      </c>
      <c r="AG37" s="80" t="s">
        <v>60</v>
      </c>
      <c r="AH37" s="80" t="s">
        <v>60</v>
      </c>
      <c r="AI37" s="70"/>
      <c r="AJ37" s="71">
        <f t="shared" si="10"/>
        <v>13</v>
      </c>
      <c r="AK37" s="72">
        <f t="shared" si="2"/>
        <v>0</v>
      </c>
      <c r="AL37" s="73">
        <v>5</v>
      </c>
      <c r="AM37" s="74">
        <f t="shared" si="3"/>
        <v>12</v>
      </c>
      <c r="AN37" s="74">
        <f t="shared" si="4"/>
        <v>0</v>
      </c>
      <c r="AO37" s="82">
        <v>0</v>
      </c>
      <c r="AP37" s="76">
        <f>IF(((SUM(COUNTIF(E37:AI37,"CL"),( COUNTIF(E37:AI37, "WHP")/2),( COUNTIF(E37:AI37, "HP")/2)))&lt;=AO37),(SUM(COUNTIF(E37:AI37,"CL"),( COUNTIF(E37:AI37, "WHP")/2),( COUNTIF(E37:AI37, "HP")/2))),AO37)</f>
        <v>0</v>
      </c>
      <c r="AQ37" s="76">
        <f t="shared" si="5"/>
        <v>0</v>
      </c>
      <c r="AR37" s="72">
        <f t="shared" si="6"/>
        <v>0</v>
      </c>
      <c r="AS37" s="72">
        <f t="shared" si="7"/>
        <v>12</v>
      </c>
      <c r="AT37" s="77">
        <f>IF((SUM(COUNTIF(E37:AI37,"CL"),( COUNTIF(E37:AI37, "WHP")/2),( COUNTIF(E37:AI37,"HP")/2))&gt;=AO37),0,(AO37-(SUM(COUNTIF(E37:AI37,"CL"),( COUNTIF(E37:AI37, "WHP")/2),( COUNTIF(E37:AI37,"HP")/2)))))</f>
        <v>0</v>
      </c>
      <c r="AU37" s="78">
        <f>AJ37+AL37+AP37</f>
        <v>18</v>
      </c>
      <c r="AV37" s="78">
        <f t="shared" si="8"/>
        <v>0</v>
      </c>
      <c r="AW37" s="78">
        <f t="shared" si="9"/>
        <v>2</v>
      </c>
      <c r="AX37" s="78">
        <f>AJ37+AK37+AL37+AM37</f>
        <v>30</v>
      </c>
      <c r="AY37" s="78" t="str">
        <f>IF((AX37=AW1), "Correct", "Error")</f>
        <v>Correct</v>
      </c>
    </row>
    <row r="38" spans="2:51">
      <c r="B38" s="67">
        <v>33</v>
      </c>
      <c r="C38" s="68" t="s">
        <v>80</v>
      </c>
      <c r="D38" s="44"/>
      <c r="E38" s="69"/>
      <c r="F38" s="70" t="s">
        <v>44</v>
      </c>
      <c r="G38" s="70" t="s">
        <v>44</v>
      </c>
      <c r="H38" s="70" t="s">
        <v>46</v>
      </c>
      <c r="I38" s="70" t="s">
        <v>47</v>
      </c>
      <c r="J38" s="70" t="s">
        <v>44</v>
      </c>
      <c r="K38" s="69"/>
      <c r="L38" s="69"/>
      <c r="M38" s="70" t="s">
        <v>44</v>
      </c>
      <c r="N38" s="70" t="s">
        <v>44</v>
      </c>
      <c r="O38" s="70" t="s">
        <v>44</v>
      </c>
      <c r="P38" s="70" t="s">
        <v>44</v>
      </c>
      <c r="Q38" s="70" t="s">
        <v>44</v>
      </c>
      <c r="R38" s="70" t="s">
        <v>42</v>
      </c>
      <c r="S38" s="69"/>
      <c r="T38" s="70" t="s">
        <v>44</v>
      </c>
      <c r="U38" s="70" t="s">
        <v>44</v>
      </c>
      <c r="V38" s="70" t="s">
        <v>47</v>
      </c>
      <c r="W38" s="70"/>
      <c r="X38" s="70"/>
      <c r="Y38" s="69"/>
      <c r="Z38" s="69"/>
      <c r="AA38" s="70"/>
      <c r="AB38" s="70"/>
      <c r="AC38" s="70"/>
      <c r="AD38" s="70"/>
      <c r="AE38" s="70"/>
      <c r="AF38" s="70"/>
      <c r="AG38" s="69"/>
      <c r="AH38" s="70"/>
      <c r="AI38" s="70"/>
      <c r="AJ38" s="71">
        <f t="shared" si="10"/>
        <v>11</v>
      </c>
      <c r="AK38" s="72">
        <f t="shared" si="2"/>
        <v>2</v>
      </c>
      <c r="AL38" s="73">
        <v>8</v>
      </c>
      <c r="AM38" s="74">
        <f t="shared" si="3"/>
        <v>0</v>
      </c>
      <c r="AN38" s="74">
        <f t="shared" si="4"/>
        <v>0</v>
      </c>
      <c r="AO38" s="82">
        <v>3</v>
      </c>
      <c r="AP38" s="76">
        <f>IF(((SUM(COUNTIF(E38:AI38,"CL"),( COUNTIF(E38:AI38, "WHP")/2),( COUNTIF(E38:AI38, "HP")/2)))&lt;=AO38),(SUM(COUNTIF(E38:AI38,"CL"),( COUNTIF(E38:AI38, "WHP")/2),( COUNTIF(E38:AI38, "HP")/2))),AO38)</f>
        <v>2</v>
      </c>
      <c r="AQ38" s="76">
        <f t="shared" si="5"/>
        <v>0</v>
      </c>
      <c r="AR38" s="72">
        <f t="shared" si="6"/>
        <v>0</v>
      </c>
      <c r="AS38" s="72">
        <f t="shared" si="7"/>
        <v>0</v>
      </c>
      <c r="AT38" s="77">
        <f>IF((SUM(COUNTIF(E38:AI38,"CL"),( COUNTIF(E38:AI38, "WHP")/2),( COUNTIF(E38:AI38,"HP")/2))&gt;=AO38),0,(AO38-(SUM(COUNTIF(E38:AI38,"CL"),( COUNTIF(E38:AI38, "WHP")/2),( COUNTIF(E38:AI38,"HP")/2)))))</f>
        <v>1</v>
      </c>
      <c r="AU38" s="78">
        <f>AJ38+AL38+AP38</f>
        <v>21</v>
      </c>
      <c r="AV38" s="78">
        <f t="shared" si="8"/>
        <v>0</v>
      </c>
      <c r="AW38" s="78">
        <f t="shared" si="9"/>
        <v>3</v>
      </c>
      <c r="AX38" s="78">
        <f>AJ38+AK38+AL38+AM38</f>
        <v>21</v>
      </c>
      <c r="AY38" s="78" t="str">
        <f>IF((AX38=AW1), "Correct", "Error")</f>
        <v>Error</v>
      </c>
    </row>
    <row r="39" spans="2:51">
      <c r="B39" s="67">
        <v>34</v>
      </c>
      <c r="C39" s="68" t="s">
        <v>81</v>
      </c>
      <c r="D39" s="44"/>
      <c r="E39" s="69"/>
      <c r="F39" s="70" t="s">
        <v>44</v>
      </c>
      <c r="G39" s="70" t="s">
        <v>44</v>
      </c>
      <c r="H39" s="70" t="s">
        <v>44</v>
      </c>
      <c r="I39" s="70" t="s">
        <v>44</v>
      </c>
      <c r="J39" s="70" t="s">
        <v>44</v>
      </c>
      <c r="K39" s="69"/>
      <c r="L39" s="69"/>
      <c r="M39" s="70" t="s">
        <v>44</v>
      </c>
      <c r="N39" s="70" t="s">
        <v>44</v>
      </c>
      <c r="O39" s="70" t="s">
        <v>44</v>
      </c>
      <c r="P39" s="70" t="s">
        <v>44</v>
      </c>
      <c r="Q39" s="70" t="s">
        <v>44</v>
      </c>
      <c r="R39" s="70" t="s">
        <v>42</v>
      </c>
      <c r="S39" s="69"/>
      <c r="T39" s="70" t="s">
        <v>44</v>
      </c>
      <c r="U39" s="70" t="s">
        <v>44</v>
      </c>
      <c r="V39" s="70" t="s">
        <v>44</v>
      </c>
      <c r="W39" s="70"/>
      <c r="X39" s="70"/>
      <c r="Y39" s="69"/>
      <c r="Z39" s="69"/>
      <c r="AA39" s="70"/>
      <c r="AB39" s="70"/>
      <c r="AC39" s="70"/>
      <c r="AD39" s="70"/>
      <c r="AE39" s="70"/>
      <c r="AF39" s="70"/>
      <c r="AG39" s="69"/>
      <c r="AH39" s="70"/>
      <c r="AI39" s="70"/>
      <c r="AJ39" s="71">
        <f t="shared" si="10"/>
        <v>13</v>
      </c>
      <c r="AK39" s="72">
        <f t="shared" si="2"/>
        <v>0</v>
      </c>
      <c r="AL39" s="73">
        <v>8</v>
      </c>
      <c r="AM39" s="74">
        <f t="shared" si="3"/>
        <v>0</v>
      </c>
      <c r="AN39" s="74">
        <f t="shared" si="4"/>
        <v>0</v>
      </c>
      <c r="AO39" s="82">
        <v>10</v>
      </c>
      <c r="AP39" s="76">
        <f>IF(((SUM(COUNTIF(E39:AI39,"CL"),( COUNTIF(E39:AI39, "WHP")/2),( COUNTIF(E39:AI39, "HP")/2)))&lt;=AO39),(SUM(COUNTIF(E39:AI39,"CL"),( COUNTIF(E39:AI39, "WHP")/2),( COUNTIF(E39:AI39, "HP")/2))),AO39)</f>
        <v>0</v>
      </c>
      <c r="AQ39" s="76">
        <f t="shared" si="5"/>
        <v>0</v>
      </c>
      <c r="AR39" s="72">
        <f t="shared" si="6"/>
        <v>0</v>
      </c>
      <c r="AS39" s="72">
        <f t="shared" si="7"/>
        <v>0</v>
      </c>
      <c r="AT39" s="77">
        <f>IF((SUM(COUNTIF(E39:AI39,"CL"),( COUNTIF(E39:AI39, "WHP")/2),( COUNTIF(E39:AI39,"HP")/2))&gt;=AO39),0,(AO39-(SUM(COUNTIF(E39:AI39,"CL"),( COUNTIF(E39:AI39, "WHP")/2),( COUNTIF(E39:AI39,"HP")/2)))))</f>
        <v>10</v>
      </c>
      <c r="AU39" s="78">
        <f>AJ39+AL39+AP39</f>
        <v>21</v>
      </c>
      <c r="AV39" s="78">
        <f t="shared" si="8"/>
        <v>0</v>
      </c>
      <c r="AW39" s="78">
        <f t="shared" si="9"/>
        <v>12</v>
      </c>
      <c r="AX39" s="78">
        <f>AJ39+AK39+AL39+AM39</f>
        <v>21</v>
      </c>
      <c r="AY39" s="78" t="str">
        <f>IF((AX39=AW1), "Correct", "Error")</f>
        <v>Error</v>
      </c>
    </row>
    <row r="40" spans="2:51">
      <c r="B40" s="67">
        <v>35</v>
      </c>
      <c r="C40" s="68" t="s">
        <v>82</v>
      </c>
      <c r="D40" s="44"/>
      <c r="E40" s="80" t="s">
        <v>60</v>
      </c>
      <c r="F40" s="80" t="s">
        <v>60</v>
      </c>
      <c r="G40" s="80" t="s">
        <v>60</v>
      </c>
      <c r="H40" s="80" t="s">
        <v>60</v>
      </c>
      <c r="I40" s="80" t="s">
        <v>60</v>
      </c>
      <c r="J40" s="80" t="s">
        <v>60</v>
      </c>
      <c r="K40" s="80" t="s">
        <v>60</v>
      </c>
      <c r="L40" s="80" t="s">
        <v>60</v>
      </c>
      <c r="M40" s="80" t="s">
        <v>60</v>
      </c>
      <c r="N40" s="80" t="s">
        <v>60</v>
      </c>
      <c r="O40" s="80" t="s">
        <v>60</v>
      </c>
      <c r="P40" s="80" t="s">
        <v>60</v>
      </c>
      <c r="Q40" s="80" t="s">
        <v>60</v>
      </c>
      <c r="R40" s="80" t="s">
        <v>60</v>
      </c>
      <c r="S40" s="80" t="s">
        <v>60</v>
      </c>
      <c r="T40" s="80" t="s">
        <v>60</v>
      </c>
      <c r="U40" s="70" t="s">
        <v>44</v>
      </c>
      <c r="V40" s="70" t="s">
        <v>44</v>
      </c>
      <c r="W40" s="70" t="s">
        <v>40</v>
      </c>
      <c r="X40" s="70" t="s">
        <v>40</v>
      </c>
      <c r="Y40" s="69"/>
      <c r="Z40" s="69"/>
      <c r="AA40" s="70" t="s">
        <v>40</v>
      </c>
      <c r="AB40" s="70" t="s">
        <v>40</v>
      </c>
      <c r="AC40" s="70" t="s">
        <v>40</v>
      </c>
      <c r="AD40" s="70" t="s">
        <v>40</v>
      </c>
      <c r="AE40" s="70" t="s">
        <v>40</v>
      </c>
      <c r="AF40" s="70" t="s">
        <v>40</v>
      </c>
      <c r="AG40" s="69"/>
      <c r="AH40" s="70" t="s">
        <v>40</v>
      </c>
      <c r="AI40" s="70"/>
      <c r="AJ40" s="71">
        <f t="shared" si="10"/>
        <v>11</v>
      </c>
      <c r="AK40" s="72">
        <f t="shared" si="2"/>
        <v>0</v>
      </c>
      <c r="AL40" s="73">
        <v>3</v>
      </c>
      <c r="AM40" s="74">
        <f t="shared" si="3"/>
        <v>16</v>
      </c>
      <c r="AN40" s="74">
        <f t="shared" si="4"/>
        <v>0</v>
      </c>
      <c r="AO40" s="82">
        <v>4</v>
      </c>
      <c r="AP40" s="76">
        <f>IF(((SUM(COUNTIF(E40:AI40,"CL"),( COUNTIF(E40:AI40, "WHP")/2),( COUNTIF(E40:AI40, "HP")/2)))&lt;=AO40),(SUM(COUNTIF(E40:AI40,"CL"),( COUNTIF(E40:AI40, "WHP")/2),( COUNTIF(E40:AI40, "HP")/2))),AO40)</f>
        <v>0</v>
      </c>
      <c r="AQ40" s="76">
        <f t="shared" si="5"/>
        <v>0</v>
      </c>
      <c r="AR40" s="72">
        <f t="shared" si="6"/>
        <v>0</v>
      </c>
      <c r="AS40" s="72">
        <f t="shared" si="7"/>
        <v>16</v>
      </c>
      <c r="AT40" s="77">
        <f>IF((SUM(COUNTIF(E40:AI40,"CL"),( COUNTIF(E40:AI40, "WHP")/2),( COUNTIF(E40:AI40,"HP")/2))&gt;=AO40),0,(AO40-(SUM(COUNTIF(E40:AI40,"CL"),( COUNTIF(E40:AI40, "WHP")/2),( COUNTIF(E40:AI40,"HP")/2)))))</f>
        <v>4</v>
      </c>
      <c r="AU40" s="78">
        <f>AJ40+AL40+AP40</f>
        <v>14</v>
      </c>
      <c r="AV40" s="78">
        <f t="shared" si="8"/>
        <v>0</v>
      </c>
      <c r="AW40" s="78">
        <f t="shared" si="9"/>
        <v>6</v>
      </c>
      <c r="AX40" s="78">
        <f>AJ40+AK40+AL40+AM40</f>
        <v>30</v>
      </c>
      <c r="AY40" s="78" t="str">
        <f>IF((AX40=AW1), "Correct", "Error")</f>
        <v>Correct</v>
      </c>
    </row>
    <row r="44" spans="2:51">
      <c r="I44" s="83" t="s">
        <v>83</v>
      </c>
      <c r="J44" s="84" t="s">
        <v>84</v>
      </c>
      <c r="K44" s="44"/>
      <c r="L44" s="44"/>
      <c r="M44" s="44"/>
      <c r="N44" s="44"/>
      <c r="O44" s="44"/>
      <c r="P44" s="44"/>
      <c r="Q44" s="44"/>
      <c r="R44" s="44"/>
      <c r="S44" s="44"/>
      <c r="T44" s="44"/>
      <c r="U44" s="44"/>
      <c r="V44" s="44"/>
      <c r="W44" s="44"/>
      <c r="X44" s="44"/>
      <c r="Y44" s="44"/>
      <c r="Z44" s="44"/>
      <c r="AA44" s="45"/>
    </row>
    <row r="45" spans="2:51">
      <c r="I45" s="85" t="s">
        <v>46</v>
      </c>
      <c r="J45" s="84" t="s">
        <v>85</v>
      </c>
      <c r="K45" s="44"/>
      <c r="L45" s="44"/>
      <c r="M45" s="44"/>
      <c r="N45" s="44"/>
      <c r="O45" s="44"/>
      <c r="P45" s="44"/>
      <c r="Q45" s="44"/>
      <c r="R45" s="44"/>
      <c r="S45" s="44"/>
      <c r="T45" s="44"/>
      <c r="U45" s="44"/>
      <c r="V45" s="44"/>
      <c r="W45" s="44"/>
      <c r="X45" s="44"/>
      <c r="Y45" s="44"/>
      <c r="Z45" s="44"/>
      <c r="AA45" s="45"/>
    </row>
    <row r="46" spans="2:51">
      <c r="I46" s="85" t="s">
        <v>86</v>
      </c>
      <c r="J46" s="84" t="s">
        <v>87</v>
      </c>
      <c r="K46" s="44"/>
      <c r="L46" s="44"/>
      <c r="M46" s="44"/>
      <c r="N46" s="44"/>
      <c r="O46" s="44"/>
      <c r="P46" s="44"/>
      <c r="Q46" s="44"/>
      <c r="R46" s="44"/>
      <c r="S46" s="44"/>
      <c r="T46" s="44"/>
      <c r="U46" s="44"/>
      <c r="V46" s="44"/>
      <c r="W46" s="44"/>
      <c r="X46" s="44"/>
      <c r="Y46" s="44"/>
      <c r="Z46" s="44"/>
      <c r="AA46" s="45"/>
    </row>
    <row r="47" spans="2:51">
      <c r="I47" s="86" t="s">
        <v>41</v>
      </c>
      <c r="J47" s="84" t="s">
        <v>88</v>
      </c>
      <c r="K47" s="44"/>
      <c r="L47" s="44"/>
      <c r="M47" s="44"/>
      <c r="N47" s="44"/>
      <c r="O47" s="44"/>
      <c r="P47" s="44"/>
      <c r="Q47" s="44"/>
      <c r="R47" s="44"/>
      <c r="S47" s="44"/>
      <c r="T47" s="44"/>
      <c r="U47" s="44"/>
      <c r="V47" s="44"/>
      <c r="W47" s="44"/>
      <c r="X47" s="44"/>
      <c r="Y47" s="44"/>
      <c r="Z47" s="44"/>
      <c r="AA47" s="45"/>
    </row>
    <row r="48" spans="2:51">
      <c r="I48" s="86" t="s">
        <v>89</v>
      </c>
      <c r="J48" s="84" t="s">
        <v>90</v>
      </c>
      <c r="K48" s="44"/>
      <c r="L48" s="44"/>
      <c r="M48" s="44"/>
      <c r="N48" s="44"/>
      <c r="O48" s="44"/>
      <c r="P48" s="44"/>
      <c r="Q48" s="44"/>
      <c r="R48" s="44"/>
      <c r="S48" s="44"/>
      <c r="T48" s="44"/>
      <c r="U48" s="44"/>
      <c r="V48" s="44"/>
      <c r="W48" s="44"/>
      <c r="X48" s="44"/>
      <c r="Y48" s="44"/>
      <c r="Z48" s="44"/>
      <c r="AA48" s="45"/>
    </row>
    <row r="49" spans="9:27">
      <c r="I49" s="87" t="s">
        <v>36</v>
      </c>
      <c r="J49" s="84" t="s">
        <v>91</v>
      </c>
      <c r="K49" s="44"/>
      <c r="L49" s="44"/>
      <c r="M49" s="44"/>
      <c r="N49" s="44"/>
      <c r="O49" s="44"/>
      <c r="P49" s="44"/>
      <c r="Q49" s="44"/>
      <c r="R49" s="44"/>
      <c r="S49" s="44"/>
      <c r="T49" s="44"/>
      <c r="U49" s="44"/>
      <c r="V49" s="44"/>
      <c r="W49" s="44"/>
      <c r="X49" s="44"/>
      <c r="Y49" s="44"/>
      <c r="Z49" s="44"/>
      <c r="AA49" s="45"/>
    </row>
    <row r="50" spans="9:27">
      <c r="I50" s="88" t="s">
        <v>92</v>
      </c>
      <c r="J50" s="84" t="s">
        <v>93</v>
      </c>
      <c r="K50" s="44"/>
      <c r="L50" s="44"/>
      <c r="M50" s="44"/>
      <c r="N50" s="44"/>
      <c r="O50" s="44"/>
      <c r="P50" s="44"/>
      <c r="Q50" s="44"/>
      <c r="R50" s="44"/>
      <c r="S50" s="44"/>
      <c r="T50" s="44"/>
      <c r="U50" s="44"/>
      <c r="V50" s="44"/>
      <c r="W50" s="44"/>
      <c r="X50" s="44"/>
      <c r="Y50" s="44"/>
      <c r="Z50" s="44"/>
      <c r="AA50" s="45"/>
    </row>
    <row r="51" spans="9:27">
      <c r="I51" s="88" t="s">
        <v>94</v>
      </c>
      <c r="J51" s="84" t="s">
        <v>95</v>
      </c>
      <c r="K51" s="44"/>
      <c r="L51" s="44"/>
      <c r="M51" s="44"/>
      <c r="N51" s="44"/>
      <c r="O51" s="44"/>
      <c r="P51" s="44"/>
      <c r="Q51" s="44"/>
      <c r="R51" s="44"/>
      <c r="S51" s="44"/>
      <c r="T51" s="44"/>
      <c r="U51" s="44"/>
      <c r="V51" s="44"/>
      <c r="W51" s="44"/>
      <c r="X51" s="44"/>
      <c r="Y51" s="44"/>
      <c r="Z51" s="44"/>
      <c r="AA51" s="45"/>
    </row>
    <row r="52" spans="9:27">
      <c r="I52" s="89" t="s">
        <v>54</v>
      </c>
      <c r="J52" s="84" t="s">
        <v>96</v>
      </c>
      <c r="K52" s="44"/>
      <c r="L52" s="44"/>
      <c r="M52" s="44"/>
      <c r="N52" s="44"/>
      <c r="O52" s="44"/>
      <c r="P52" s="44"/>
      <c r="Q52" s="44"/>
      <c r="R52" s="44"/>
      <c r="S52" s="44"/>
      <c r="T52" s="44"/>
      <c r="U52" s="44"/>
      <c r="V52" s="44"/>
      <c r="W52" s="44"/>
      <c r="X52" s="44"/>
      <c r="Y52" s="44"/>
      <c r="Z52" s="44"/>
      <c r="AA52" s="45"/>
    </row>
    <row r="53" spans="9:27">
      <c r="I53" s="89" t="s">
        <v>97</v>
      </c>
      <c r="J53" s="84" t="s">
        <v>98</v>
      </c>
      <c r="K53" s="44"/>
      <c r="L53" s="44"/>
      <c r="M53" s="44"/>
      <c r="N53" s="44"/>
      <c r="O53" s="44"/>
      <c r="P53" s="44"/>
      <c r="Q53" s="44"/>
      <c r="R53" s="44"/>
      <c r="S53" s="44"/>
      <c r="T53" s="44"/>
      <c r="U53" s="44"/>
      <c r="V53" s="44"/>
      <c r="W53" s="44"/>
      <c r="X53" s="44"/>
      <c r="Y53" s="44"/>
      <c r="Z53" s="44"/>
      <c r="AA53" s="45"/>
    </row>
    <row r="54" spans="9:27">
      <c r="I54" s="90" t="s">
        <v>44</v>
      </c>
      <c r="J54" s="91" t="s">
        <v>99</v>
      </c>
      <c r="K54" s="44"/>
      <c r="L54" s="44"/>
      <c r="M54" s="44"/>
      <c r="N54" s="44"/>
      <c r="O54" s="44"/>
      <c r="P54" s="44"/>
      <c r="Q54" s="44"/>
      <c r="R54" s="44"/>
      <c r="S54" s="44"/>
      <c r="T54" s="44"/>
      <c r="U54" s="44"/>
      <c r="V54" s="44"/>
      <c r="W54" s="44"/>
      <c r="X54" s="44"/>
      <c r="Y54" s="44"/>
      <c r="Z54" s="44"/>
      <c r="AA54" s="45"/>
    </row>
    <row r="55" spans="9:27">
      <c r="I55" s="90" t="s">
        <v>47</v>
      </c>
      <c r="J55" s="91" t="s">
        <v>100</v>
      </c>
      <c r="K55" s="44"/>
      <c r="L55" s="44"/>
      <c r="M55" s="44"/>
      <c r="N55" s="44"/>
      <c r="O55" s="44"/>
      <c r="P55" s="44"/>
      <c r="Q55" s="44"/>
      <c r="R55" s="44"/>
      <c r="S55" s="44"/>
      <c r="T55" s="44"/>
      <c r="U55" s="44"/>
      <c r="V55" s="44"/>
      <c r="W55" s="44"/>
      <c r="X55" s="44"/>
      <c r="Y55" s="44"/>
      <c r="Z55" s="44"/>
      <c r="AA55" s="45"/>
    </row>
    <row r="56" spans="9:27">
      <c r="I56" s="90" t="s">
        <v>68</v>
      </c>
      <c r="J56" s="91" t="s">
        <v>101</v>
      </c>
      <c r="K56" s="44"/>
      <c r="L56" s="44"/>
      <c r="M56" s="44"/>
      <c r="N56" s="44"/>
      <c r="O56" s="44"/>
      <c r="P56" s="44"/>
      <c r="Q56" s="44"/>
      <c r="R56" s="44"/>
      <c r="S56" s="44"/>
      <c r="T56" s="44"/>
      <c r="U56" s="44"/>
      <c r="V56" s="44"/>
      <c r="W56" s="44"/>
      <c r="X56" s="44"/>
      <c r="Y56" s="44"/>
      <c r="Z56" s="44"/>
      <c r="AA56" s="45"/>
    </row>
    <row r="57" spans="9:27">
      <c r="I57" s="92" t="s">
        <v>60</v>
      </c>
      <c r="J57" s="84" t="s">
        <v>102</v>
      </c>
      <c r="K57" s="44"/>
      <c r="L57" s="44"/>
      <c r="M57" s="44"/>
      <c r="N57" s="44"/>
      <c r="O57" s="44"/>
      <c r="P57" s="44"/>
      <c r="Q57" s="44"/>
      <c r="R57" s="44"/>
      <c r="S57" s="44"/>
      <c r="T57" s="44"/>
      <c r="U57" s="44"/>
      <c r="V57" s="44"/>
      <c r="W57" s="44"/>
      <c r="X57" s="44"/>
      <c r="Y57" s="44"/>
      <c r="Z57" s="45"/>
      <c r="AA57" s="93"/>
    </row>
    <row r="58" spans="9:27">
      <c r="I58" s="83" t="s">
        <v>103</v>
      </c>
      <c r="J58" s="84" t="s">
        <v>104</v>
      </c>
      <c r="K58" s="44"/>
      <c r="L58" s="44"/>
      <c r="M58" s="44"/>
      <c r="N58" s="44"/>
      <c r="O58" s="44"/>
      <c r="P58" s="44"/>
      <c r="Q58" s="44"/>
      <c r="R58" s="44"/>
      <c r="S58" s="44"/>
      <c r="T58" s="44"/>
      <c r="U58" s="44"/>
      <c r="V58" s="44"/>
      <c r="W58" s="44"/>
      <c r="X58" s="44"/>
      <c r="Y58" s="44"/>
      <c r="Z58" s="44"/>
      <c r="AA58" s="45"/>
    </row>
    <row r="59" spans="9:27">
      <c r="I59" s="83" t="s">
        <v>105</v>
      </c>
      <c r="J59" s="84" t="s">
        <v>106</v>
      </c>
      <c r="K59" s="44"/>
      <c r="L59" s="44"/>
      <c r="M59" s="44"/>
      <c r="N59" s="44"/>
      <c r="O59" s="44"/>
      <c r="P59" s="44"/>
      <c r="Q59" s="44"/>
      <c r="R59" s="44"/>
      <c r="S59" s="44"/>
      <c r="T59" s="44"/>
      <c r="U59" s="44"/>
      <c r="V59" s="44"/>
      <c r="W59" s="44"/>
      <c r="X59" s="44"/>
      <c r="Y59" s="44"/>
      <c r="Z59" s="44"/>
      <c r="AA59" s="45"/>
    </row>
    <row r="60" spans="9:27">
      <c r="I60" s="83" t="s">
        <v>107</v>
      </c>
      <c r="J60" s="84" t="s">
        <v>108</v>
      </c>
      <c r="K60" s="44"/>
      <c r="L60" s="44"/>
      <c r="M60" s="44"/>
      <c r="N60" s="44"/>
      <c r="O60" s="44"/>
      <c r="P60" s="44"/>
      <c r="Q60" s="44"/>
      <c r="R60" s="44"/>
      <c r="S60" s="44"/>
      <c r="T60" s="44"/>
      <c r="U60" s="44"/>
      <c r="V60" s="44"/>
      <c r="W60" s="44"/>
      <c r="X60" s="44"/>
      <c r="Y60" s="44"/>
      <c r="Z60" s="44"/>
      <c r="AA60" s="45"/>
    </row>
  </sheetData>
  <mergeCells count="72">
    <mergeCell ref="J59:AA59"/>
    <mergeCell ref="J60:AA60"/>
    <mergeCell ref="J53:AA53"/>
    <mergeCell ref="J54:AA54"/>
    <mergeCell ref="J55:AA55"/>
    <mergeCell ref="J56:AA56"/>
    <mergeCell ref="J57:Z57"/>
    <mergeCell ref="J58:AA58"/>
    <mergeCell ref="J47:AA47"/>
    <mergeCell ref="J48:AA48"/>
    <mergeCell ref="J49:AA49"/>
    <mergeCell ref="J50:AA50"/>
    <mergeCell ref="J51:AA51"/>
    <mergeCell ref="J52:AA52"/>
    <mergeCell ref="C38:D38"/>
    <mergeCell ref="C39:D39"/>
    <mergeCell ref="C40:D40"/>
    <mergeCell ref="J44:AA44"/>
    <mergeCell ref="J45:AA45"/>
    <mergeCell ref="J46:AA46"/>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C14:D14"/>
    <mergeCell ref="C15:D15"/>
    <mergeCell ref="C16:D16"/>
    <mergeCell ref="C17:D17"/>
    <mergeCell ref="C18:D18"/>
    <mergeCell ref="C19:D19"/>
    <mergeCell ref="C8:D8"/>
    <mergeCell ref="C9:D9"/>
    <mergeCell ref="C10:D10"/>
    <mergeCell ref="C11:D11"/>
    <mergeCell ref="C12:D12"/>
    <mergeCell ref="C13:D13"/>
    <mergeCell ref="AV3:AV5"/>
    <mergeCell ref="AW3:AW5"/>
    <mergeCell ref="AX3:AX5"/>
    <mergeCell ref="AY3:AY5"/>
    <mergeCell ref="C6:D6"/>
    <mergeCell ref="C7:D7"/>
    <mergeCell ref="AM3:AM5"/>
    <mergeCell ref="AN3:AN5"/>
    <mergeCell ref="AO3:AO5"/>
    <mergeCell ref="AP3:AP5"/>
    <mergeCell ref="AR3:AR5"/>
    <mergeCell ref="AT3:AT5"/>
    <mergeCell ref="B1:B5"/>
    <mergeCell ref="C1:D5"/>
    <mergeCell ref="E1:AI1"/>
    <mergeCell ref="AJ1:AT1"/>
    <mergeCell ref="E2:S3"/>
    <mergeCell ref="T2:AI3"/>
    <mergeCell ref="AJ2:AT2"/>
    <mergeCell ref="AJ3:AJ5"/>
    <mergeCell ref="AK3:AK5"/>
    <mergeCell ref="AL3:AL5"/>
  </mergeCells>
  <conditionalFormatting sqref="AO6:AO40">
    <cfRule type="cellIs" dxfId="43" priority="44" operator="greaterThan">
      <formula>0</formula>
    </cfRule>
  </conditionalFormatting>
  <conditionalFormatting sqref="AO6:AO40">
    <cfRule type="cellIs" dxfId="42" priority="43" operator="lessThanOrEqual">
      <formula>1</formula>
    </cfRule>
  </conditionalFormatting>
  <conditionalFormatting sqref="E4:AI4">
    <cfRule type="containsText" dxfId="41" priority="42" operator="containsText" text="sa">
      <formula>NOT(ISERROR(SEARCH(("sa"),(E4))))</formula>
    </cfRule>
  </conditionalFormatting>
  <conditionalFormatting sqref="E4:AI4">
    <cfRule type="containsText" dxfId="40" priority="41" operator="containsText" text="su">
      <formula>NOT(ISERROR(SEARCH(("su"),(E4))))</formula>
    </cfRule>
  </conditionalFormatting>
  <conditionalFormatting sqref="AR6:AS40">
    <cfRule type="cellIs" dxfId="39" priority="40" operator="greaterThan">
      <formula>0</formula>
    </cfRule>
  </conditionalFormatting>
  <conditionalFormatting sqref="E6:AI40">
    <cfRule type="cellIs" dxfId="38" priority="39" operator="equal">
      <formula>"PL"</formula>
    </cfRule>
  </conditionalFormatting>
  <conditionalFormatting sqref="E6:AI40">
    <cfRule type="cellIs" dxfId="37" priority="38" operator="equal">
      <formula>"CL"</formula>
    </cfRule>
  </conditionalFormatting>
  <conditionalFormatting sqref="E6:AI40">
    <cfRule type="cellIs" dxfId="36" priority="37" operator="equal">
      <formula>"CO"</formula>
    </cfRule>
  </conditionalFormatting>
  <conditionalFormatting sqref="E6:AI40">
    <cfRule type="cellIs" dxfId="35" priority="36" operator="equal">
      <formula>"HP"</formula>
    </cfRule>
  </conditionalFormatting>
  <conditionalFormatting sqref="E6:AI40">
    <cfRule type="cellIs" dxfId="34" priority="35" operator="equal">
      <formula>"AL"</formula>
    </cfRule>
  </conditionalFormatting>
  <conditionalFormatting sqref="E6:AI40">
    <cfRule type="cellIs" dxfId="33" priority="34" operator="equal">
      <formula>"AHL"</formula>
    </cfRule>
  </conditionalFormatting>
  <conditionalFormatting sqref="AT1:AT40">
    <cfRule type="beginsWith" dxfId="32" priority="33" operator="beginsWith" text="0">
      <formula>LEFT((AT1),LEN("0"))=("0")</formula>
    </cfRule>
  </conditionalFormatting>
  <conditionalFormatting sqref="E6:AI40">
    <cfRule type="cellIs" dxfId="31" priority="32" operator="equal">
      <formula>"O"</formula>
    </cfRule>
  </conditionalFormatting>
  <conditionalFormatting sqref="E6:AI40">
    <cfRule type="cellIs" dxfId="30" priority="31" operator="equal">
      <formula>"H"</formula>
    </cfRule>
  </conditionalFormatting>
  <conditionalFormatting sqref="E6:AI40">
    <cfRule type="cellIs" dxfId="29" priority="30" operator="equal">
      <formula>"W"</formula>
    </cfRule>
  </conditionalFormatting>
  <conditionalFormatting sqref="E6:AI40">
    <cfRule type="cellIs" dxfId="28" priority="29" operator="equal">
      <formula>"F"</formula>
    </cfRule>
  </conditionalFormatting>
  <conditionalFormatting sqref="E6:AI40">
    <cfRule type="cellIs" dxfId="27" priority="28" operator="equal">
      <formula>"HCO"</formula>
    </cfRule>
  </conditionalFormatting>
  <conditionalFormatting sqref="E6:AI40">
    <cfRule type="cellIs" dxfId="26" priority="27" operator="equal">
      <formula>"OH"</formula>
    </cfRule>
  </conditionalFormatting>
  <conditionalFormatting sqref="E6:AI40">
    <cfRule type="containsText" dxfId="25" priority="26" operator="containsText" text="UAL">
      <formula>NOT(ISERROR(SEARCH(("UAL"),(E6))))</formula>
    </cfRule>
  </conditionalFormatting>
  <conditionalFormatting sqref="E6:AI40">
    <cfRule type="containsText" dxfId="24" priority="25" operator="containsText" text="UHL">
      <formula>NOT(ISERROR(SEARCH(("UHL"),(E6))))</formula>
    </cfRule>
  </conditionalFormatting>
  <conditionalFormatting sqref="E6:AI40">
    <cfRule type="cellIs" dxfId="23" priority="24" operator="equal">
      <formula>"WHL"</formula>
    </cfRule>
  </conditionalFormatting>
  <conditionalFormatting sqref="E6:AI40">
    <cfRule type="cellIs" dxfId="22" priority="23" operator="equal">
      <formula>"WHP"</formula>
    </cfRule>
  </conditionalFormatting>
  <conditionalFormatting sqref="AP1:AP40">
    <cfRule type="cellIs" dxfId="21" priority="22" operator="greaterThan">
      <formula>0</formula>
    </cfRule>
  </conditionalFormatting>
  <conditionalFormatting sqref="AN1:AN40">
    <cfRule type="cellIs" dxfId="20" priority="21" operator="greaterThan">
      <formula>0</formula>
    </cfRule>
  </conditionalFormatting>
  <conditionalFormatting sqref="AQ1:AQ40">
    <cfRule type="cellIs" dxfId="19" priority="20" operator="greaterThan">
      <formula>0</formula>
    </cfRule>
  </conditionalFormatting>
  <conditionalFormatting sqref="AL1:AL40">
    <cfRule type="cellIs" dxfId="18" priority="19" operator="lessThan">
      <formula>6</formula>
    </cfRule>
  </conditionalFormatting>
  <conditionalFormatting sqref="AY1:AY40">
    <cfRule type="containsText" dxfId="17" priority="18" operator="containsText" text="correct">
      <formula>NOT(ISERROR(SEARCH(("correct"),(AY1))))</formula>
    </cfRule>
  </conditionalFormatting>
  <conditionalFormatting sqref="AY1:AY40">
    <cfRule type="containsText" dxfId="16" priority="17" operator="containsText" text="Error">
      <formula>NOT(ISERROR(SEARCH(("Error"),(AY1))))</formula>
    </cfRule>
  </conditionalFormatting>
  <conditionalFormatting sqref="I54:I57">
    <cfRule type="cellIs" dxfId="15" priority="16" operator="equal">
      <formula>"PL"</formula>
    </cfRule>
  </conditionalFormatting>
  <conditionalFormatting sqref="I54:I57">
    <cfRule type="cellIs" dxfId="14" priority="15" operator="equal">
      <formula>"CL"</formula>
    </cfRule>
  </conditionalFormatting>
  <conditionalFormatting sqref="I54:I57">
    <cfRule type="cellIs" dxfId="13" priority="14" operator="equal">
      <formula>"CO"</formula>
    </cfRule>
  </conditionalFormatting>
  <conditionalFormatting sqref="I54:I57">
    <cfRule type="cellIs" dxfId="12" priority="13" operator="equal">
      <formula>"HP"</formula>
    </cfRule>
  </conditionalFormatting>
  <conditionalFormatting sqref="I54:I57">
    <cfRule type="cellIs" dxfId="11" priority="12" operator="equal">
      <formula>"AL"</formula>
    </cfRule>
  </conditionalFormatting>
  <conditionalFormatting sqref="I54:I57">
    <cfRule type="cellIs" dxfId="10" priority="11" operator="equal">
      <formula>"AHL"</formula>
    </cfRule>
  </conditionalFormatting>
  <conditionalFormatting sqref="I54:I57">
    <cfRule type="cellIs" dxfId="9" priority="10" operator="equal">
      <formula>"O"</formula>
    </cfRule>
  </conditionalFormatting>
  <conditionalFormatting sqref="I54:I57">
    <cfRule type="cellIs" dxfId="8" priority="9" operator="equal">
      <formula>"H"</formula>
    </cfRule>
  </conditionalFormatting>
  <conditionalFormatting sqref="I54:I57">
    <cfRule type="cellIs" dxfId="7" priority="8" operator="equal">
      <formula>"W"</formula>
    </cfRule>
  </conditionalFormatting>
  <conditionalFormatting sqref="I54:I57">
    <cfRule type="cellIs" dxfId="6" priority="7" operator="equal">
      <formula>"F"</formula>
    </cfRule>
  </conditionalFormatting>
  <conditionalFormatting sqref="I54:I57">
    <cfRule type="cellIs" dxfId="5" priority="6" operator="equal">
      <formula>"HCO"</formula>
    </cfRule>
  </conditionalFormatting>
  <conditionalFormatting sqref="I54:I57">
    <cfRule type="cellIs" dxfId="4" priority="5" operator="equal">
      <formula>"OH"</formula>
    </cfRule>
  </conditionalFormatting>
  <conditionalFormatting sqref="I54:I57">
    <cfRule type="containsText" dxfId="3" priority="4" operator="containsText" text="UAL">
      <formula>NOT(ISERROR(SEARCH(("UAL"),(I54))))</formula>
    </cfRule>
  </conditionalFormatting>
  <conditionalFormatting sqref="I54:I57">
    <cfRule type="containsText" dxfId="2" priority="3" operator="containsText" text="UHL">
      <formula>NOT(ISERROR(SEARCH(("UHL"),(I54))))</formula>
    </cfRule>
  </conditionalFormatting>
  <conditionalFormatting sqref="I54:I57">
    <cfRule type="cellIs" dxfId="1" priority="2" operator="equal">
      <formula>"WHL"</formula>
    </cfRule>
  </conditionalFormatting>
  <conditionalFormatting sqref="I54:I57">
    <cfRule type="cellIs" dxfId="0" priority="1" operator="equal">
      <formula>"WHP"</formula>
    </cfRule>
  </conditionalFormatting>
  <hyperlinks>
    <hyperlink ref="A1" location="new_Requirements!A1" display="new_requirement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2"/>
  <sheetViews>
    <sheetView showGridLines="0" workbookViewId="0">
      <selection activeCell="A2" sqref="A2"/>
    </sheetView>
  </sheetViews>
  <sheetFormatPr defaultRowHeight="15"/>
  <cols>
    <col min="1" max="1" width="18.28515625" customWidth="1"/>
  </cols>
  <sheetData>
    <row r="2" spans="1:1">
      <c r="A2" s="24" t="s">
        <v>16</v>
      </c>
    </row>
  </sheetData>
  <hyperlinks>
    <hyperlink ref="A2" location="new_Requirements!A1" display="new_requirements"/>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2"/>
  <sheetViews>
    <sheetView showGridLines="0" workbookViewId="0">
      <selection activeCell="A2" sqref="A2"/>
    </sheetView>
  </sheetViews>
  <sheetFormatPr defaultRowHeight="15"/>
  <cols>
    <col min="1" max="1" width="20.140625" customWidth="1"/>
  </cols>
  <sheetData>
    <row r="2" spans="1:1">
      <c r="A2" s="24" t="s">
        <v>16</v>
      </c>
    </row>
  </sheetData>
  <hyperlinks>
    <hyperlink ref="A2" location="new_Requirements!A1" display="new_requirements"/>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3"/>
  <sheetViews>
    <sheetView showGridLines="0" workbookViewId="0">
      <selection activeCell="A3" sqref="A3"/>
    </sheetView>
  </sheetViews>
  <sheetFormatPr defaultRowHeight="15"/>
  <cols>
    <col min="1" max="1" width="19.5703125" customWidth="1"/>
  </cols>
  <sheetData>
    <row r="3" spans="1:1">
      <c r="A3" s="24" t="s">
        <v>16</v>
      </c>
    </row>
  </sheetData>
  <hyperlinks>
    <hyperlink ref="A3" location="new_Requirements!A1" display="new_requirements"/>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new_Requirements</vt:lpstr>
      <vt:lpstr>employee_list</vt:lpstr>
      <vt:lpstr>Calender </vt:lpstr>
      <vt:lpstr>sample_Attendence</vt:lpstr>
      <vt:lpstr>leave_application</vt:lpstr>
      <vt:lpstr>resignation</vt:lpstr>
      <vt:lpstr>hr_dashboard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indocosmo</dc:creator>
  <cp:lastModifiedBy>indocosmo</cp:lastModifiedBy>
  <dcterms:created xsi:type="dcterms:W3CDTF">2020-12-15T08:01:36Z</dcterms:created>
  <dcterms:modified xsi:type="dcterms:W3CDTF">2020-12-16T12:17:09Z</dcterms:modified>
</cp:coreProperties>
</file>