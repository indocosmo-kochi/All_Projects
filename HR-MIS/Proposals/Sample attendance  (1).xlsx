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ukuriakose\Desktop\"/>
    </mc:Choice>
  </mc:AlternateContent>
  <bookViews>
    <workbookView xWindow="0" yWindow="0" windowWidth="20490" windowHeight="7155"/>
  </bookViews>
  <sheets>
    <sheet name="November Attendance" sheetId="1" r:id="rId1"/>
  </sheets>
  <calcPr calcId="152511"/>
  <fileRecoveryPr repairLoad="1"/>
</workbook>
</file>

<file path=xl/calcChain.xml><?xml version="1.0" encoding="utf-8"?>
<calcChain xmlns="http://schemas.openxmlformats.org/spreadsheetml/2006/main">
  <c r="AO9" i="1" l="1"/>
  <c r="AO10" i="1"/>
  <c r="AO11" i="1"/>
  <c r="AO12" i="1"/>
  <c r="AT12" i="1" s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8" i="1"/>
  <c r="AO7" i="1"/>
  <c r="AO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T21" i="1" s="1"/>
  <c r="AI22" i="1"/>
  <c r="AI23" i="1"/>
  <c r="AI24" i="1"/>
  <c r="AI25" i="1"/>
  <c r="AI26" i="1"/>
  <c r="AI27" i="1"/>
  <c r="AI28" i="1"/>
  <c r="AI29" i="1"/>
  <c r="AT29" i="1" s="1"/>
  <c r="AI30" i="1"/>
  <c r="AI31" i="1"/>
  <c r="AI32" i="1"/>
  <c r="AI33" i="1"/>
  <c r="AT33" i="1" s="1"/>
  <c r="AI34" i="1"/>
  <c r="AI35" i="1"/>
  <c r="AI36" i="1"/>
  <c r="AI37" i="1"/>
  <c r="AT37" i="1" s="1"/>
  <c r="AI38" i="1"/>
  <c r="AI39" i="1"/>
  <c r="AI40" i="1"/>
  <c r="AI6" i="1"/>
  <c r="AT6" i="1" s="1"/>
  <c r="AU40" i="1"/>
  <c r="AV40" i="1" s="1"/>
  <c r="AS40" i="1"/>
  <c r="AP40" i="1"/>
  <c r="AM40" i="1"/>
  <c r="AL40" i="1"/>
  <c r="AJ40" i="1"/>
  <c r="AW40" i="1" s="1"/>
  <c r="AU39" i="1"/>
  <c r="AV39" i="1" s="1"/>
  <c r="AT39" i="1"/>
  <c r="AS39" i="1"/>
  <c r="AP39" i="1"/>
  <c r="AM39" i="1"/>
  <c r="AL39" i="1"/>
  <c r="AJ39" i="1"/>
  <c r="AW39" i="1" s="1"/>
  <c r="AU38" i="1"/>
  <c r="AV38" i="1" s="1"/>
  <c r="AS38" i="1"/>
  <c r="AP38" i="1"/>
  <c r="AM38" i="1"/>
  <c r="AL38" i="1"/>
  <c r="AJ38" i="1"/>
  <c r="AW38" i="1" s="1"/>
  <c r="AU37" i="1"/>
  <c r="AV37" i="1" s="1"/>
  <c r="AS37" i="1"/>
  <c r="AP37" i="1"/>
  <c r="AM37" i="1"/>
  <c r="AL37" i="1"/>
  <c r="AJ37" i="1"/>
  <c r="AW37" i="1" s="1"/>
  <c r="AU36" i="1"/>
  <c r="AV36" i="1" s="1"/>
  <c r="AS36" i="1"/>
  <c r="AP36" i="1"/>
  <c r="AM36" i="1"/>
  <c r="AL36" i="1"/>
  <c r="AJ36" i="1"/>
  <c r="AW36" i="1" s="1"/>
  <c r="AU35" i="1"/>
  <c r="AV35" i="1" s="1"/>
  <c r="AT35" i="1"/>
  <c r="AS35" i="1"/>
  <c r="AP35" i="1"/>
  <c r="AM35" i="1"/>
  <c r="AL35" i="1"/>
  <c r="AJ35" i="1"/>
  <c r="AW35" i="1" s="1"/>
  <c r="AU34" i="1"/>
  <c r="AV34" i="1" s="1"/>
  <c r="AS34" i="1"/>
  <c r="AP34" i="1"/>
  <c r="AM34" i="1"/>
  <c r="AL34" i="1"/>
  <c r="AJ34" i="1"/>
  <c r="AW34" i="1" s="1"/>
  <c r="AU33" i="1"/>
  <c r="AV33" i="1" s="1"/>
  <c r="AS33" i="1"/>
  <c r="AP33" i="1"/>
  <c r="AM33" i="1"/>
  <c r="AL33" i="1"/>
  <c r="AJ33" i="1"/>
  <c r="AW33" i="1" s="1"/>
  <c r="AU32" i="1"/>
  <c r="AV32" i="1" s="1"/>
  <c r="AS32" i="1"/>
  <c r="AP32" i="1"/>
  <c r="AM32" i="1"/>
  <c r="AL32" i="1"/>
  <c r="AJ32" i="1"/>
  <c r="AW32" i="1" s="1"/>
  <c r="AU31" i="1"/>
  <c r="AV31" i="1" s="1"/>
  <c r="AT31" i="1"/>
  <c r="AS31" i="1"/>
  <c r="AP31" i="1"/>
  <c r="AM31" i="1"/>
  <c r="AL31" i="1"/>
  <c r="AJ31" i="1"/>
  <c r="AW31" i="1" s="1"/>
  <c r="AU30" i="1"/>
  <c r="AV30" i="1" s="1"/>
  <c r="AS30" i="1"/>
  <c r="AP30" i="1"/>
  <c r="AM30" i="1"/>
  <c r="AL30" i="1"/>
  <c r="AJ30" i="1"/>
  <c r="AW30" i="1" s="1"/>
  <c r="AU29" i="1"/>
  <c r="AV29" i="1" s="1"/>
  <c r="AS29" i="1"/>
  <c r="AP29" i="1"/>
  <c r="AM29" i="1"/>
  <c r="AL29" i="1"/>
  <c r="AJ29" i="1"/>
  <c r="AW29" i="1" s="1"/>
  <c r="AU28" i="1"/>
  <c r="AV28" i="1" s="1"/>
  <c r="AS28" i="1"/>
  <c r="AP28" i="1"/>
  <c r="AM28" i="1"/>
  <c r="AL28" i="1"/>
  <c r="AJ28" i="1"/>
  <c r="AW28" i="1" s="1"/>
  <c r="AU27" i="1"/>
  <c r="AV27" i="1" s="1"/>
  <c r="AT27" i="1"/>
  <c r="AS27" i="1"/>
  <c r="AP27" i="1"/>
  <c r="AM27" i="1"/>
  <c r="AL27" i="1"/>
  <c r="AJ27" i="1"/>
  <c r="AW27" i="1" s="1"/>
  <c r="AU26" i="1"/>
  <c r="AV26" i="1" s="1"/>
  <c r="AS26" i="1"/>
  <c r="AP26" i="1"/>
  <c r="AM26" i="1"/>
  <c r="AL26" i="1"/>
  <c r="AJ26" i="1"/>
  <c r="AW26" i="1" s="1"/>
  <c r="AU25" i="1"/>
  <c r="AV25" i="1" s="1"/>
  <c r="AS25" i="1"/>
  <c r="AP25" i="1"/>
  <c r="AT25" i="1" s="1"/>
  <c r="AM25" i="1"/>
  <c r="AL25" i="1"/>
  <c r="AJ25" i="1"/>
  <c r="AU24" i="1"/>
  <c r="AV24" i="1" s="1"/>
  <c r="AT24" i="1"/>
  <c r="AS24" i="1"/>
  <c r="AP24" i="1"/>
  <c r="AM24" i="1"/>
  <c r="AL24" i="1"/>
  <c r="AJ24" i="1"/>
  <c r="AU23" i="1"/>
  <c r="AV23" i="1" s="1"/>
  <c r="AT23" i="1"/>
  <c r="AS23" i="1"/>
  <c r="AP23" i="1"/>
  <c r="AM23" i="1"/>
  <c r="AL23" i="1"/>
  <c r="AJ23" i="1"/>
  <c r="AW23" i="1" s="1"/>
  <c r="AU22" i="1"/>
  <c r="AV22" i="1" s="1"/>
  <c r="AS22" i="1"/>
  <c r="AP22" i="1"/>
  <c r="AM22" i="1"/>
  <c r="AL22" i="1"/>
  <c r="AJ22" i="1"/>
  <c r="AV21" i="1"/>
  <c r="AU21" i="1"/>
  <c r="AS21" i="1"/>
  <c r="AP21" i="1"/>
  <c r="AM21" i="1"/>
  <c r="AL21" i="1"/>
  <c r="AJ21" i="1"/>
  <c r="AU20" i="1"/>
  <c r="AV20" i="1" s="1"/>
  <c r="AS20" i="1"/>
  <c r="AP20" i="1"/>
  <c r="AM20" i="1"/>
  <c r="AL20" i="1"/>
  <c r="AJ20" i="1"/>
  <c r="AW20" i="1" s="1"/>
  <c r="AU19" i="1"/>
  <c r="AV19" i="1" s="1"/>
  <c r="AT19" i="1"/>
  <c r="AS19" i="1"/>
  <c r="AP19" i="1"/>
  <c r="AM19" i="1"/>
  <c r="AL19" i="1"/>
  <c r="AJ19" i="1"/>
  <c r="AW19" i="1" s="1"/>
  <c r="AU18" i="1"/>
  <c r="AV18" i="1" s="1"/>
  <c r="AS18" i="1"/>
  <c r="AP18" i="1"/>
  <c r="AM18" i="1"/>
  <c r="AL18" i="1"/>
  <c r="AJ18" i="1"/>
  <c r="AW18" i="1" s="1"/>
  <c r="AV17" i="1"/>
  <c r="AU17" i="1"/>
  <c r="AT17" i="1"/>
  <c r="AS17" i="1"/>
  <c r="AP17" i="1"/>
  <c r="AM17" i="1"/>
  <c r="AL17" i="1"/>
  <c r="AJ17" i="1"/>
  <c r="AU16" i="1"/>
  <c r="AV16" i="1" s="1"/>
  <c r="AT16" i="1"/>
  <c r="AS16" i="1"/>
  <c r="AP16" i="1"/>
  <c r="AM16" i="1"/>
  <c r="AL16" i="1"/>
  <c r="AJ16" i="1"/>
  <c r="AW16" i="1" s="1"/>
  <c r="AU15" i="1"/>
  <c r="AV15" i="1" s="1"/>
  <c r="AT15" i="1"/>
  <c r="AS15" i="1"/>
  <c r="AP15" i="1"/>
  <c r="AM15" i="1"/>
  <c r="AL15" i="1"/>
  <c r="AJ15" i="1"/>
  <c r="AW15" i="1" s="1"/>
  <c r="AU14" i="1"/>
  <c r="AV14" i="1" s="1"/>
  <c r="AT14" i="1"/>
  <c r="AS14" i="1"/>
  <c r="AP14" i="1"/>
  <c r="AM14" i="1"/>
  <c r="AL14" i="1"/>
  <c r="AJ14" i="1"/>
  <c r="AV13" i="1"/>
  <c r="AU13" i="1"/>
  <c r="AT13" i="1"/>
  <c r="AS13" i="1"/>
  <c r="AP13" i="1"/>
  <c r="AM13" i="1"/>
  <c r="AL13" i="1"/>
  <c r="AJ13" i="1"/>
  <c r="AU12" i="1"/>
  <c r="AV12" i="1" s="1"/>
  <c r="AS12" i="1"/>
  <c r="AP12" i="1"/>
  <c r="AM12" i="1"/>
  <c r="AL12" i="1"/>
  <c r="AJ12" i="1"/>
  <c r="AW12" i="1" s="1"/>
  <c r="AU11" i="1"/>
  <c r="AV11" i="1" s="1"/>
  <c r="AS11" i="1"/>
  <c r="AP11" i="1"/>
  <c r="AT11" i="1" s="1"/>
  <c r="AM11" i="1"/>
  <c r="AL11" i="1"/>
  <c r="AJ11" i="1"/>
  <c r="AW11" i="1" s="1"/>
  <c r="AU10" i="1"/>
  <c r="AV10" i="1" s="1"/>
  <c r="AT10" i="1"/>
  <c r="AS10" i="1"/>
  <c r="AP10" i="1"/>
  <c r="AM10" i="1"/>
  <c r="AL10" i="1"/>
  <c r="AJ10" i="1"/>
  <c r="AV9" i="1"/>
  <c r="AU9" i="1"/>
  <c r="AT9" i="1"/>
  <c r="AS9" i="1"/>
  <c r="AP9" i="1"/>
  <c r="AM9" i="1"/>
  <c r="AL9" i="1"/>
  <c r="AJ9" i="1"/>
  <c r="AU8" i="1"/>
  <c r="AV8" i="1" s="1"/>
  <c r="AT8" i="1"/>
  <c r="AS8" i="1"/>
  <c r="AP8" i="1"/>
  <c r="AM8" i="1"/>
  <c r="AL8" i="1"/>
  <c r="AJ8" i="1"/>
  <c r="AW8" i="1" s="1"/>
  <c r="AU7" i="1"/>
  <c r="AV7" i="1" s="1"/>
  <c r="AT7" i="1"/>
  <c r="AS7" i="1"/>
  <c r="AP7" i="1"/>
  <c r="AM7" i="1"/>
  <c r="AL7" i="1"/>
  <c r="AJ7" i="1"/>
  <c r="AW7" i="1" s="1"/>
  <c r="AU6" i="1"/>
  <c r="AV6" i="1" s="1"/>
  <c r="AS6" i="1"/>
  <c r="AP6" i="1"/>
  <c r="AM6" i="1"/>
  <c r="AL6" i="1"/>
  <c r="AJ6" i="1"/>
  <c r="D5" i="1"/>
  <c r="D2" i="1"/>
  <c r="S2" i="1" s="1"/>
  <c r="AV1" i="1" s="1"/>
  <c r="AT38" i="1" l="1"/>
  <c r="AT34" i="1"/>
  <c r="AT30" i="1"/>
  <c r="AT26" i="1"/>
  <c r="AT22" i="1"/>
  <c r="AT18" i="1"/>
  <c r="AT40" i="1"/>
  <c r="AT36" i="1"/>
  <c r="AT32" i="1"/>
  <c r="AT28" i="1"/>
  <c r="AT20" i="1"/>
  <c r="AW22" i="1"/>
  <c r="AW25" i="1"/>
  <c r="AW10" i="1"/>
  <c r="AX10" i="1" s="1"/>
  <c r="AW14" i="1"/>
  <c r="AX14" i="1" s="1"/>
  <c r="AW24" i="1"/>
  <c r="AW6" i="1"/>
  <c r="AX22" i="1"/>
  <c r="AX18" i="1"/>
  <c r="AX6" i="1"/>
  <c r="AX8" i="1"/>
  <c r="AX12" i="1"/>
  <c r="AX23" i="1"/>
  <c r="AX26" i="1"/>
  <c r="AX30" i="1"/>
  <c r="AX34" i="1"/>
  <c r="AX38" i="1"/>
  <c r="AX7" i="1"/>
  <c r="AX16" i="1"/>
  <c r="AX29" i="1"/>
  <c r="AX33" i="1"/>
  <c r="AX37" i="1"/>
  <c r="AX11" i="1"/>
  <c r="AX15" i="1"/>
  <c r="AX20" i="1"/>
  <c r="AX25" i="1"/>
  <c r="AX28" i="1"/>
  <c r="AX32" i="1"/>
  <c r="AX36" i="1"/>
  <c r="AX40" i="1"/>
  <c r="AX19" i="1"/>
  <c r="AX24" i="1"/>
  <c r="AX27" i="1"/>
  <c r="AX31" i="1"/>
  <c r="AX35" i="1"/>
  <c r="AX39" i="1"/>
  <c r="AQ8" i="1"/>
  <c r="AR8" i="1" s="1"/>
  <c r="AQ12" i="1"/>
  <c r="AR12" i="1" s="1"/>
  <c r="AQ16" i="1"/>
  <c r="AR16" i="1" s="1"/>
  <c r="AQ20" i="1"/>
  <c r="AR20" i="1" s="1"/>
  <c r="AQ24" i="1"/>
  <c r="AR24" i="1" s="1"/>
  <c r="AQ28" i="1"/>
  <c r="AR28" i="1" s="1"/>
  <c r="AQ32" i="1"/>
  <c r="AR32" i="1" s="1"/>
  <c r="AQ36" i="1"/>
  <c r="AR36" i="1" s="1"/>
  <c r="AQ40" i="1"/>
  <c r="AR40" i="1" s="1"/>
  <c r="AQ7" i="1"/>
  <c r="AR7" i="1" s="1"/>
  <c r="AQ11" i="1"/>
  <c r="AR11" i="1" s="1"/>
  <c r="AQ15" i="1"/>
  <c r="AR15" i="1" s="1"/>
  <c r="AQ19" i="1"/>
  <c r="AR19" i="1" s="1"/>
  <c r="AQ23" i="1"/>
  <c r="AR23" i="1" s="1"/>
  <c r="AQ25" i="1"/>
  <c r="AR25" i="1" s="1"/>
  <c r="AQ29" i="1"/>
  <c r="AR29" i="1" s="1"/>
  <c r="AQ33" i="1"/>
  <c r="AR33" i="1" s="1"/>
  <c r="AQ37" i="1"/>
  <c r="AR37" i="1" s="1"/>
  <c r="AQ6" i="1"/>
  <c r="AR6" i="1" s="1"/>
  <c r="AQ10" i="1"/>
  <c r="AR10" i="1" s="1"/>
  <c r="AQ14" i="1"/>
  <c r="AR14" i="1" s="1"/>
  <c r="AQ18" i="1"/>
  <c r="AR18" i="1" s="1"/>
  <c r="AQ22" i="1"/>
  <c r="AR22" i="1" s="1"/>
  <c r="AQ26" i="1"/>
  <c r="AR26" i="1" s="1"/>
  <c r="AQ30" i="1"/>
  <c r="AR30" i="1" s="1"/>
  <c r="AQ34" i="1"/>
  <c r="AR34" i="1" s="1"/>
  <c r="AQ38" i="1"/>
  <c r="AR38" i="1" s="1"/>
  <c r="E5" i="1"/>
  <c r="D4" i="1"/>
  <c r="AW9" i="1"/>
  <c r="AX9" i="1" s="1"/>
  <c r="AQ9" i="1"/>
  <c r="AR9" i="1" s="1"/>
  <c r="AW13" i="1"/>
  <c r="AX13" i="1" s="1"/>
  <c r="AQ13" i="1"/>
  <c r="AR13" i="1" s="1"/>
  <c r="AW17" i="1"/>
  <c r="AX17" i="1" s="1"/>
  <c r="AQ17" i="1"/>
  <c r="AR17" i="1" s="1"/>
  <c r="AW21" i="1"/>
  <c r="AX21" i="1" s="1"/>
  <c r="AQ21" i="1"/>
  <c r="AR21" i="1" s="1"/>
  <c r="AQ27" i="1"/>
  <c r="AR27" i="1" s="1"/>
  <c r="AQ31" i="1"/>
  <c r="AR31" i="1" s="1"/>
  <c r="AQ35" i="1"/>
  <c r="AR35" i="1" s="1"/>
  <c r="AQ39" i="1"/>
  <c r="AR39" i="1" s="1"/>
  <c r="F5" i="1" l="1"/>
  <c r="E4" i="1"/>
  <c r="G5" i="1" l="1"/>
  <c r="F4" i="1"/>
  <c r="H5" i="1" l="1"/>
  <c r="G4" i="1"/>
  <c r="I5" i="1" l="1"/>
  <c r="H4" i="1"/>
  <c r="J5" i="1" l="1"/>
  <c r="I4" i="1"/>
  <c r="K5" i="1" l="1"/>
  <c r="J4" i="1"/>
  <c r="L5" i="1" l="1"/>
  <c r="K4" i="1"/>
  <c r="M5" i="1" l="1"/>
  <c r="L4" i="1"/>
  <c r="N5" i="1" l="1"/>
  <c r="M4" i="1"/>
  <c r="O5" i="1" l="1"/>
  <c r="N4" i="1"/>
  <c r="P5" i="1" l="1"/>
  <c r="O4" i="1"/>
  <c r="Q5" i="1" l="1"/>
  <c r="P4" i="1"/>
  <c r="R5" i="1" l="1"/>
  <c r="Q4" i="1"/>
  <c r="S5" i="1" l="1"/>
  <c r="R4" i="1"/>
  <c r="T5" i="1" l="1"/>
  <c r="S4" i="1"/>
  <c r="U5" i="1" l="1"/>
  <c r="T4" i="1"/>
  <c r="V5" i="1" l="1"/>
  <c r="U4" i="1"/>
  <c r="W5" i="1" l="1"/>
  <c r="V4" i="1"/>
  <c r="X5" i="1" l="1"/>
  <c r="W4" i="1"/>
  <c r="Y5" i="1" l="1"/>
  <c r="X4" i="1"/>
  <c r="Z5" i="1" l="1"/>
  <c r="Y4" i="1"/>
  <c r="AA5" i="1" l="1"/>
  <c r="Z4" i="1"/>
  <c r="AB5" i="1" l="1"/>
  <c r="AA4" i="1"/>
  <c r="AC5" i="1" l="1"/>
  <c r="AB4" i="1"/>
  <c r="AD5" i="1" l="1"/>
  <c r="AC4" i="1"/>
  <c r="AE5" i="1" l="1"/>
  <c r="AD4" i="1"/>
  <c r="AF5" i="1" l="1"/>
  <c r="AE4" i="1"/>
  <c r="AG5" i="1" l="1"/>
  <c r="AF4" i="1"/>
  <c r="AH5" i="1" l="1"/>
  <c r="AH4" i="1" s="1"/>
  <c r="AG4" i="1"/>
</calcChain>
</file>

<file path=xl/comments1.xml><?xml version="1.0" encoding="utf-8"?>
<comments xmlns="http://schemas.openxmlformats.org/spreadsheetml/2006/main">
  <authors>
    <author/>
  </authors>
  <commentList>
    <comment ref="AN3" authorId="0" shapeId="0">
      <text>
        <r>
          <rPr>
            <sz val="10"/>
            <color rgb="FF000000"/>
            <rFont val="Arial"/>
          </rPr>
          <t>CL  opening balance
	-Indocosmo HR</t>
        </r>
      </text>
    </comment>
    <comment ref="AS3" authorId="0" shapeId="0">
      <text>
        <r>
          <rPr>
            <sz val="10"/>
            <color rgb="FF000000"/>
            <rFont val="Arial"/>
          </rPr>
          <t>CL  Closing balance
	-Indocosmo HR</t>
        </r>
      </text>
    </comment>
  </commentList>
</comments>
</file>

<file path=xl/sharedStrings.xml><?xml version="1.0" encoding="utf-8"?>
<sst xmlns="http://schemas.openxmlformats.org/spreadsheetml/2006/main" count="671" uniqueCount="90">
  <si>
    <t>x</t>
  </si>
  <si>
    <t>Employee Name</t>
  </si>
  <si>
    <t xml:space="preserve">Consolidated Attendance </t>
  </si>
  <si>
    <t>November</t>
  </si>
  <si>
    <t>Present</t>
  </si>
  <si>
    <t>Absent</t>
  </si>
  <si>
    <t>Non Business Days/sat/sun/ HOLIDAYS</t>
  </si>
  <si>
    <t>Not in Service NIS</t>
  </si>
  <si>
    <t>COMP OFF</t>
  </si>
  <si>
    <t xml:space="preserve">CL OB </t>
  </si>
  <si>
    <t>CL Utilized</t>
  </si>
  <si>
    <t>LOP</t>
  </si>
  <si>
    <t>CL CB</t>
  </si>
  <si>
    <t>Comp off</t>
  </si>
  <si>
    <t>CL OB for next month</t>
  </si>
  <si>
    <t>Total Days</t>
  </si>
  <si>
    <t>Validation</t>
  </si>
  <si>
    <t>PL</t>
  </si>
  <si>
    <t>LOP+NIS</t>
  </si>
  <si>
    <t>Days needs to be considered for salary</t>
  </si>
  <si>
    <t>Employee 1</t>
  </si>
  <si>
    <t>P</t>
  </si>
  <si>
    <t>AL</t>
  </si>
  <si>
    <t>H</t>
  </si>
  <si>
    <t>Employee 2</t>
  </si>
  <si>
    <t>W</t>
  </si>
  <si>
    <t>Employee 3</t>
  </si>
  <si>
    <t>CL</t>
  </si>
  <si>
    <t>WHP</t>
  </si>
  <si>
    <t>Employee 4</t>
  </si>
  <si>
    <t>Employee 5</t>
  </si>
  <si>
    <t>Employee 6</t>
  </si>
  <si>
    <t>Employee 7</t>
  </si>
  <si>
    <t>Employee 8</t>
  </si>
  <si>
    <t>Employee 9</t>
  </si>
  <si>
    <t>CO</t>
  </si>
  <si>
    <t>Employee 10</t>
  </si>
  <si>
    <t>Employee 11</t>
  </si>
  <si>
    <t>Employee 12</t>
  </si>
  <si>
    <t>Employee 13</t>
  </si>
  <si>
    <t>Employee 14</t>
  </si>
  <si>
    <t>-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</si>
  <si>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</si>
  <si>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</si>
  <si>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</si>
  <si>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</si>
  <si>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</si>
  <si>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</si>
  <si>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</si>
  <si>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WHL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</si>
  <si>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</si>
  <si>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</si>
  <si>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</si>
  <si>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</si>
  <si>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</si>
  <si>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</si>
  <si>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</si>
  <si>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</si>
  <si>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</si>
  <si>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</si>
  <si>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</si>
  <si>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</si>
  <si>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</si>
  <si>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</si>
  <si>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 xml:space="preserve">P </t>
  </si>
  <si>
    <t>Approved Full day Casual Leave</t>
  </si>
  <si>
    <t>HP</t>
  </si>
  <si>
    <t>Approved Half Day Casual Leave</t>
  </si>
  <si>
    <t>Approved Full Day Leave, but cant be counted CL as CL credit exhausted</t>
  </si>
  <si>
    <t>AHL</t>
  </si>
  <si>
    <t>Approved Half Day Leave, but cant be counted HP as CL credit exhausted</t>
  </si>
  <si>
    <t>Paid Leave, decided on Management's Discretion</t>
  </si>
  <si>
    <t>OH</t>
  </si>
  <si>
    <t>Optonal Holiday</t>
  </si>
  <si>
    <t xml:space="preserve">H </t>
  </si>
  <si>
    <t xml:space="preserve">Approved Holiday / Strike                                                                                                                 </t>
  </si>
  <si>
    <t>Full day Compensatory off Should be given since employee worked on Holiday</t>
  </si>
  <si>
    <t>HCO</t>
  </si>
  <si>
    <t>Half day Compensatory off Should be given since employee worked on Holiday</t>
  </si>
  <si>
    <t xml:space="preserve">Full day work from home. </t>
  </si>
  <si>
    <t>Half day work from home. Second half Casual Leave</t>
  </si>
  <si>
    <t>Half day work from home. Second half LOP</t>
  </si>
  <si>
    <t>Not in service</t>
  </si>
  <si>
    <t>RH</t>
  </si>
  <si>
    <t>Restricted Holiday</t>
  </si>
  <si>
    <t>UL</t>
  </si>
  <si>
    <t xml:space="preserve">Unapproved Full Day Leave </t>
  </si>
  <si>
    <t>UHL</t>
  </si>
  <si>
    <t xml:space="preserve">Unapproved Half Day Leave </t>
  </si>
  <si>
    <t xml:space="preserve"> Present at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</si>
</sst>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mm"/>
    <numFmt numFmtId="165" formatCode="d"/>
  </numFmts>
  <fonts count="28" x14ac:knownFonts="1">
    <font>
      <sz val="10"/>
      <color rgb="FF000000"/>
      <name val="Arial"/>
    </font>
    <font>
      <b/>
      <sz val="10"/>
      <color rgb="FF000000"/>
      <name val="Times New Roman"/>
    </font>
    <font>
      <b/>
      <sz val="9"/>
      <color rgb="FF666666"/>
      <name val="Calibri"/>
    </font>
    <font>
      <sz val="10"/>
      <name val="Arial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36"/>
      <name val="Arial"/>
    </font>
    <font>
      <b/>
      <sz val="8"/>
      <color rgb="FF000000"/>
      <name val="Times New Roman"/>
    </font>
    <font>
      <sz val="9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b/>
      <sz val="9"/>
      <color rgb="FF000000"/>
      <name val="Calibri"/>
    </font>
    <font>
      <sz val="8"/>
      <color rgb="FF000000"/>
      <name val="Arial"/>
    </font>
    <font>
      <b/>
      <sz val="8"/>
      <color rgb="FF38761D"/>
      <name val="Times New Roman"/>
    </font>
    <font>
      <b/>
      <sz val="8"/>
      <color rgb="FF6AA84F"/>
      <name val="Times New Roman"/>
    </font>
    <font>
      <b/>
      <sz val="8"/>
      <color rgb="FFFFFFFF"/>
      <name val="Times New Roman"/>
    </font>
    <font>
      <b/>
      <sz val="8"/>
      <color rgb="FF0000FF"/>
      <name val="Arial"/>
    </font>
    <font>
      <b/>
      <sz val="8"/>
      <color rgb="FFFF0000"/>
      <name val="Times New Roman"/>
    </font>
    <font>
      <sz val="9"/>
      <color rgb="FF000000"/>
      <name val="Calibri"/>
    </font>
    <font>
      <sz val="10"/>
      <color rgb="FF000000"/>
      <name val="Times New Roman"/>
    </font>
    <font>
      <sz val="8"/>
      <name val="Arial"/>
    </font>
    <font>
      <b/>
      <sz val="9"/>
      <color rgb="FF000000"/>
      <name val="Times New Roman"/>
    </font>
    <font>
      <sz val="9"/>
      <name val="Calibri"/>
    </font>
    <font>
      <b/>
      <sz val="9"/>
      <name val="Times New Roman"/>
    </font>
    <font>
      <b/>
      <sz val="22"/>
      <name val="Arial"/>
      <family val="2"/>
    </font>
    <font>
      <b/>
      <sz val="9"/>
      <color rgb="FF000000"/>
      <name val="Times New Roman"/>
      <family val="1"/>
    </font>
    <font>
      <b/>
      <sz val="7"/>
      <color rgb="FF000000"/>
      <name val="Arial"/>
      <family val="2"/>
    </font>
    <font>
      <b/>
      <sz val="7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6" fillId="0" borderId="0" xfId="0" applyFont="1"/>
    <xf numFmtId="0" fontId="7" fillId="10" borderId="21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2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wrapText="1"/>
    </xf>
    <xf numFmtId="0" fontId="8" fillId="3" borderId="22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 wrapText="1"/>
    </xf>
    <xf numFmtId="165" fontId="9" fillId="13" borderId="25" xfId="0" applyNumberFormat="1" applyFont="1" applyFill="1" applyBorder="1" applyAlignment="1">
      <alignment horizontal="center"/>
    </xf>
    <xf numFmtId="165" fontId="8" fillId="13" borderId="26" xfId="0" applyNumberFormat="1" applyFont="1" applyFill="1" applyBorder="1" applyAlignment="1">
      <alignment horizontal="center" wrapText="1"/>
    </xf>
    <xf numFmtId="165" fontId="8" fillId="13" borderId="26" xfId="0" applyNumberFormat="1" applyFont="1" applyFill="1" applyBorder="1" applyAlignment="1">
      <alignment wrapText="1"/>
    </xf>
    <xf numFmtId="0" fontId="10" fillId="3" borderId="22" xfId="0" applyFont="1" applyFill="1" applyBorder="1" applyAlignment="1">
      <alignment horizontal="left" vertical="center"/>
    </xf>
    <xf numFmtId="0" fontId="12" fillId="14" borderId="27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0" fillId="15" borderId="22" xfId="0" applyFont="1" applyFill="1" applyBorder="1" applyAlignment="1">
      <alignment horizontal="center" vertical="center"/>
    </xf>
    <xf numFmtId="0" fontId="7" fillId="15" borderId="28" xfId="0" applyFont="1" applyFill="1" applyBorder="1" applyAlignment="1">
      <alignment horizontal="center" vertical="center"/>
    </xf>
    <xf numFmtId="0" fontId="10" fillId="14" borderId="28" xfId="0" applyFont="1" applyFill="1" applyBorder="1" applyAlignment="1">
      <alignment horizontal="center" vertical="center"/>
    </xf>
    <xf numFmtId="0" fontId="13" fillId="15" borderId="28" xfId="0" applyFont="1" applyFill="1" applyBorder="1" applyAlignment="1">
      <alignment horizontal="center" vertical="center"/>
    </xf>
    <xf numFmtId="0" fontId="14" fillId="16" borderId="29" xfId="0" applyFont="1" applyFill="1" applyBorder="1" applyAlignment="1">
      <alignment horizontal="center" vertical="center"/>
    </xf>
    <xf numFmtId="0" fontId="15" fillId="15" borderId="28" xfId="0" applyFont="1" applyFill="1" applyBorder="1" applyAlignment="1">
      <alignment horizontal="center" vertical="center"/>
    </xf>
    <xf numFmtId="0" fontId="14" fillId="15" borderId="28" xfId="0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 wrapText="1"/>
    </xf>
    <xf numFmtId="0" fontId="17" fillId="15" borderId="29" xfId="0" applyFont="1" applyFill="1" applyBorder="1" applyAlignment="1">
      <alignment horizontal="center" vertical="center"/>
    </xf>
    <xf numFmtId="0" fontId="12" fillId="17" borderId="27" xfId="0" applyFont="1" applyFill="1" applyBorder="1" applyAlignment="1">
      <alignment horizontal="center" vertical="center" wrapText="1"/>
    </xf>
    <xf numFmtId="0" fontId="15" fillId="18" borderId="16" xfId="0" applyFont="1" applyFill="1" applyBorder="1" applyAlignment="1">
      <alignment horizontal="center" vertical="center"/>
    </xf>
    <xf numFmtId="0" fontId="15" fillId="18" borderId="22" xfId="0" applyFont="1" applyFill="1" applyBorder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0" borderId="0" xfId="0" applyFont="1" applyAlignment="1"/>
    <xf numFmtId="0" fontId="19" fillId="0" borderId="0" xfId="0" applyFont="1" applyAlignment="1"/>
    <xf numFmtId="0" fontId="2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" fontId="12" fillId="0" borderId="0" xfId="0" applyNumberFormat="1" applyFont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4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3" borderId="0" xfId="0" applyFont="1" applyFill="1"/>
    <xf numFmtId="0" fontId="22" fillId="3" borderId="0" xfId="0" applyFont="1" applyFill="1" applyAlignment="1">
      <alignment vertical="center"/>
    </xf>
    <xf numFmtId="0" fontId="21" fillId="0" borderId="2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3" fillId="0" borderId="15" xfId="0" applyFont="1" applyBorder="1"/>
    <xf numFmtId="0" fontId="3" fillId="0" borderId="16" xfId="0" applyFont="1" applyBorder="1"/>
    <xf numFmtId="0" fontId="23" fillId="0" borderId="14" xfId="0" applyFont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0" fillId="0" borderId="0" xfId="0" applyFont="1" applyAlignment="1"/>
    <xf numFmtId="0" fontId="18" fillId="3" borderId="0" xfId="0" applyFont="1" applyFill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7" fillId="7" borderId="20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23" xfId="0" applyFont="1" applyBorder="1"/>
    <xf numFmtId="0" fontId="7" fillId="8" borderId="20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0" fontId="7" fillId="12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7" xfId="0" applyFont="1" applyBorder="1"/>
    <xf numFmtId="0" fontId="3" fillId="0" borderId="24" xfId="0" applyFont="1" applyBorder="1"/>
    <xf numFmtId="0" fontId="4" fillId="4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5" fillId="5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164" fontId="1" fillId="6" borderId="2" xfId="0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8" xfId="0" applyFont="1" applyBorder="1"/>
    <xf numFmtId="164" fontId="1" fillId="6" borderId="12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5" fillId="5" borderId="14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14" xfId="0" applyFont="1" applyBorder="1" applyAlignment="1">
      <alignment horizontal="left" vertical="center"/>
    </xf>
    <xf numFmtId="0" fontId="26" fillId="3" borderId="22" xfId="0" applyFont="1" applyFill="1" applyBorder="1" applyAlignment="1">
      <alignment horizontal="left" vertical="center"/>
    </xf>
    <xf numFmtId="0" fontId="26" fillId="18" borderId="22" xfId="0" applyFont="1" applyFill="1" applyBorder="1" applyAlignment="1">
      <alignment horizontal="left" vertical="center"/>
    </xf>
    <xf numFmtId="0" fontId="26" fillId="11" borderId="22" xfId="0" applyFont="1" applyFill="1" applyBorder="1" applyAlignment="1">
      <alignment horizontal="left" vertical="center"/>
    </xf>
    <xf numFmtId="0" fontId="26" fillId="19" borderId="22" xfId="0" applyFont="1" applyFill="1" applyBorder="1" applyAlignment="1">
      <alignment horizontal="left" vertical="center"/>
    </xf>
    <xf numFmtId="0" fontId="26" fillId="20" borderId="22" xfId="0" applyFont="1" applyFill="1" applyBorder="1" applyAlignment="1">
      <alignment horizontal="left" vertical="center"/>
    </xf>
    <xf numFmtId="0" fontId="27" fillId="18" borderId="22" xfId="0" applyFont="1" applyFill="1" applyBorder="1" applyAlignment="1">
      <alignment horizontal="left" vertical="center"/>
    </xf>
    <xf numFmtId="0" fontId="26" fillId="3" borderId="22" xfId="0" applyFont="1" applyFill="1" applyBorder="1" applyAlignment="1">
      <alignment horizontal="left" vertical="center" wrapText="1"/>
    </xf>
    <xf numFmtId="0" fontId="26" fillId="17" borderId="22" xfId="0" applyFont="1" applyFill="1" applyBorder="1" applyAlignment="1">
      <alignment horizontal="left" vertical="center" wrapText="1"/>
    </xf>
  </cellXfs>
  <cellStyles count="1">
    <cellStyle name="Normal" xfId="0" builtinId="0"/>
  </cellStyles>
  <dxfs count="31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1C232"/>
      </font>
      <fill>
        <patternFill patternType="solid">
          <fgColor rgb="FFCC4125"/>
          <bgColor rgb="FFCC4125"/>
        </patternFill>
      </fill>
    </dxf>
    <dxf>
      <font>
        <b/>
        <color rgb="FFFFFFFF"/>
      </font>
      <fill>
        <patternFill patternType="solid">
          <fgColor rgb="FF674EA7"/>
          <bgColor rgb="FF674EA7"/>
        </patternFill>
      </fill>
    </dxf>
    <dxf>
      <font>
        <b/>
        <color rgb="FFF1C232"/>
      </font>
      <fill>
        <patternFill patternType="solid">
          <fgColor rgb="FF3C78D8"/>
          <bgColor rgb="FF3C78D8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00FF00"/>
      </font>
      <fill>
        <patternFill patternType="solid">
          <fgColor rgb="FFFFD966"/>
          <bgColor rgb="FFFFD966"/>
        </patternFill>
      </fill>
    </dxf>
    <dxf>
      <font>
        <b/>
        <color rgb="FFCC0000"/>
      </font>
      <fill>
        <patternFill patternType="solid">
          <fgColor rgb="FFFFD966"/>
          <bgColor rgb="FFFFD966"/>
        </patternFill>
      </fill>
    </dxf>
    <dxf>
      <font>
        <b/>
        <color rgb="FFFF0000"/>
      </font>
      <fill>
        <patternFill patternType="solid">
          <fgColor rgb="FF741B47"/>
          <bgColor rgb="FF741B47"/>
        </patternFill>
      </fill>
    </dxf>
    <dxf>
      <font>
        <b/>
        <color rgb="FFFF0000"/>
      </font>
      <fill>
        <patternFill patternType="solid">
          <fgColor rgb="FF4C1130"/>
          <bgColor rgb="FF4C1130"/>
        </patternFill>
      </fill>
    </dxf>
    <dxf>
      <font>
        <b/>
        <color rgb="FFFFFFFF"/>
      </font>
      <fill>
        <patternFill patternType="solid">
          <fgColor rgb="FF93C47D"/>
          <bgColor rgb="FF93C47D"/>
        </patternFill>
      </fill>
    </dxf>
    <dxf>
      <font>
        <b/>
        <color rgb="FFFFFFFF"/>
      </font>
      <fill>
        <patternFill patternType="solid">
          <fgColor rgb="FF1155CC"/>
          <bgColor rgb="FF1155CC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1C232"/>
          <bgColor rgb="FFF1C232"/>
        </patternFill>
      </fill>
    </dxf>
    <dxf>
      <font>
        <b/>
        <color rgb="FF000000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274E13"/>
          <bgColor rgb="FF274E13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1155CC"/>
          <bgColor rgb="FF1155CC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1C232"/>
          <bgColor rgb="FFF1C232"/>
        </patternFill>
      </fill>
    </dxf>
    <dxf>
      <font>
        <color rgb="FFFF0000"/>
      </font>
      <fill>
        <patternFill patternType="solid">
          <fgColor rgb="FFF1C232"/>
          <bgColor rgb="FFF1C232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X967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5" sqref="A15"/>
    </sheetView>
  </sheetViews>
  <sheetFormatPr defaultColWidth="14.42578125" defaultRowHeight="15" customHeight="1" x14ac:dyDescent="0.2"/>
  <cols>
    <col min="1" max="1" width="4" customWidth="1"/>
    <col min="2" max="2" width="13.42578125" customWidth="1"/>
    <col min="3" max="3" width="6.7109375" customWidth="1"/>
    <col min="4" max="5" width="3.5703125" customWidth="1"/>
    <col min="6" max="6" width="3.42578125" customWidth="1"/>
    <col min="7" max="7" width="3.5703125" customWidth="1"/>
    <col min="8" max="8" width="3.28515625" customWidth="1"/>
    <col min="9" max="9" width="3.42578125" customWidth="1"/>
    <col min="10" max="10" width="3.7109375" customWidth="1"/>
    <col min="11" max="11" width="3.5703125" customWidth="1"/>
    <col min="12" max="12" width="3.28515625" customWidth="1"/>
    <col min="13" max="13" width="3.140625" customWidth="1"/>
    <col min="14" max="15" width="3.28515625" customWidth="1"/>
    <col min="16" max="16" width="3.140625" customWidth="1"/>
    <col min="17" max="18" width="3.42578125" customWidth="1"/>
    <col min="19" max="19" width="3.5703125" customWidth="1"/>
    <col min="20" max="20" width="3.42578125" customWidth="1"/>
    <col min="21" max="23" width="3.28515625" customWidth="1"/>
    <col min="24" max="25" width="3.42578125" customWidth="1"/>
    <col min="26" max="26" width="3.28515625" customWidth="1"/>
    <col min="27" max="27" width="3.42578125" customWidth="1"/>
    <col min="28" max="28" width="3.5703125" customWidth="1"/>
    <col min="29" max="30" width="3.28515625" customWidth="1"/>
    <col min="31" max="31" width="3.42578125" customWidth="1"/>
    <col min="32" max="32" width="3.7109375" customWidth="1"/>
    <col min="33" max="33" width="3.140625" customWidth="1"/>
    <col min="34" max="34" width="3.140625" hidden="1" customWidth="1"/>
    <col min="35" max="35" width="5.7109375" customWidth="1"/>
    <col min="36" max="36" width="4.42578125" customWidth="1"/>
    <col min="37" max="37" width="5.140625" customWidth="1"/>
    <col min="38" max="39" width="4.28515625" customWidth="1"/>
    <col min="40" max="42" width="5.85546875" customWidth="1"/>
    <col min="43" max="44" width="4.28515625" customWidth="1"/>
    <col min="45" max="45" width="5.28515625" customWidth="1"/>
    <col min="46" max="47" width="7.140625" customWidth="1"/>
    <col min="48" max="48" width="8" customWidth="1"/>
    <col min="49" max="49" width="6.42578125" customWidth="1"/>
    <col min="50" max="50" width="8.7109375" customWidth="1"/>
  </cols>
  <sheetData>
    <row r="1" spans="1:50" ht="27.75" customHeight="1" x14ac:dyDescent="0.6">
      <c r="A1" s="55" t="s">
        <v>0</v>
      </c>
      <c r="B1" s="56" t="s">
        <v>1</v>
      </c>
      <c r="C1" s="57"/>
      <c r="D1" s="62" t="s">
        <v>2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4" t="s">
        <v>3</v>
      </c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1"/>
      <c r="AU1" s="1"/>
      <c r="AV1" s="73">
        <f>DAY(S2)</f>
        <v>30</v>
      </c>
      <c r="AW1" s="1"/>
      <c r="AX1" s="1"/>
    </row>
    <row r="2" spans="1:50" ht="15.75" customHeight="1" x14ac:dyDescent="0.2">
      <c r="A2" s="47"/>
      <c r="B2" s="58"/>
      <c r="C2" s="59"/>
      <c r="D2" s="66">
        <f>DATEVALUE(AI1&amp;" 1, "&amp;AI2)</f>
        <v>44136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9">
        <f>EOMONTH(D2,0)</f>
        <v>44165</v>
      </c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2">
        <v>2020</v>
      </c>
      <c r="AJ2" s="39"/>
      <c r="AK2" s="39"/>
      <c r="AL2" s="39"/>
      <c r="AM2" s="39"/>
      <c r="AN2" s="39"/>
      <c r="AO2" s="39"/>
      <c r="AP2" s="39"/>
      <c r="AQ2" s="39"/>
      <c r="AR2" s="39"/>
      <c r="AS2" s="40"/>
    </row>
    <row r="3" spans="1:50" ht="15.75" customHeight="1" x14ac:dyDescent="0.2">
      <c r="A3" s="47"/>
      <c r="B3" s="58"/>
      <c r="C3" s="59"/>
      <c r="D3" s="60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71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6" t="s">
        <v>4</v>
      </c>
      <c r="AJ3" s="49" t="s">
        <v>5</v>
      </c>
      <c r="AK3" s="50" t="s">
        <v>6</v>
      </c>
      <c r="AL3" s="50" t="s">
        <v>7</v>
      </c>
      <c r="AM3" s="51" t="s">
        <v>8</v>
      </c>
      <c r="AN3" s="51" t="s">
        <v>9</v>
      </c>
      <c r="AO3" s="52" t="s">
        <v>10</v>
      </c>
      <c r="AP3" s="2"/>
      <c r="AQ3" s="53" t="s">
        <v>11</v>
      </c>
      <c r="AR3" s="3"/>
      <c r="AS3" s="54" t="s">
        <v>12</v>
      </c>
      <c r="AT3" s="4"/>
      <c r="AU3" s="54" t="s">
        <v>13</v>
      </c>
      <c r="AV3" s="54" t="s">
        <v>14</v>
      </c>
      <c r="AW3" s="54" t="s">
        <v>15</v>
      </c>
      <c r="AX3" s="54" t="s">
        <v>16</v>
      </c>
    </row>
    <row r="4" spans="1:50" ht="15.75" customHeight="1" x14ac:dyDescent="0.2">
      <c r="A4" s="47"/>
      <c r="B4" s="58"/>
      <c r="C4" s="59"/>
      <c r="D4" s="5" t="str">
        <f t="shared" ref="D4:AH4" si="0">IF(WEEKDAY(D5)=2,"M",IF(WEEKDAY(D5)=3,"Tu",IF(WEEKDAY(D5)=4,"W",IF(WEEKDAY(D5)=5,"T",IF(WEEKDAY(D5)=6,"F",IF(WEEKDAY(D5)=7,"Sa",IF(WEEKDAY(D5)=1,"Su","")))))))</f>
        <v>Su</v>
      </c>
      <c r="E4" s="6" t="str">
        <f t="shared" si="0"/>
        <v>M</v>
      </c>
      <c r="F4" s="5" t="str">
        <f t="shared" si="0"/>
        <v>Tu</v>
      </c>
      <c r="G4" s="6" t="str">
        <f t="shared" si="0"/>
        <v>W</v>
      </c>
      <c r="H4" s="5" t="str">
        <f t="shared" si="0"/>
        <v>T</v>
      </c>
      <c r="I4" s="6" t="str">
        <f t="shared" si="0"/>
        <v>F</v>
      </c>
      <c r="J4" s="5" t="str">
        <f t="shared" si="0"/>
        <v>Sa</v>
      </c>
      <c r="K4" s="6" t="str">
        <f t="shared" si="0"/>
        <v>Su</v>
      </c>
      <c r="L4" s="5" t="str">
        <f t="shared" si="0"/>
        <v>M</v>
      </c>
      <c r="M4" s="6" t="str">
        <f t="shared" si="0"/>
        <v>Tu</v>
      </c>
      <c r="N4" s="7" t="str">
        <f t="shared" si="0"/>
        <v>W</v>
      </c>
      <c r="O4" s="6" t="str">
        <f t="shared" si="0"/>
        <v>T</v>
      </c>
      <c r="P4" s="5" t="str">
        <f t="shared" si="0"/>
        <v>F</v>
      </c>
      <c r="Q4" s="6" t="str">
        <f t="shared" si="0"/>
        <v>Sa</v>
      </c>
      <c r="R4" s="5" t="str">
        <f t="shared" si="0"/>
        <v>Su</v>
      </c>
      <c r="S4" s="6" t="str">
        <f t="shared" si="0"/>
        <v>M</v>
      </c>
      <c r="T4" s="5" t="str">
        <f t="shared" si="0"/>
        <v>Tu</v>
      </c>
      <c r="U4" s="6" t="str">
        <f t="shared" si="0"/>
        <v>W</v>
      </c>
      <c r="V4" s="5" t="str">
        <f t="shared" si="0"/>
        <v>T</v>
      </c>
      <c r="W4" s="6" t="str">
        <f t="shared" si="0"/>
        <v>F</v>
      </c>
      <c r="X4" s="5" t="str">
        <f t="shared" si="0"/>
        <v>Sa</v>
      </c>
      <c r="Y4" s="6" t="str">
        <f t="shared" si="0"/>
        <v>Su</v>
      </c>
      <c r="Z4" s="5" t="str">
        <f t="shared" si="0"/>
        <v>M</v>
      </c>
      <c r="AA4" s="6" t="str">
        <f t="shared" si="0"/>
        <v>Tu</v>
      </c>
      <c r="AB4" s="7" t="str">
        <f t="shared" si="0"/>
        <v>W</v>
      </c>
      <c r="AC4" s="6" t="str">
        <f t="shared" si="0"/>
        <v>T</v>
      </c>
      <c r="AD4" s="5" t="str">
        <f t="shared" si="0"/>
        <v>F</v>
      </c>
      <c r="AE4" s="6" t="str">
        <f t="shared" si="0"/>
        <v>Sa</v>
      </c>
      <c r="AF4" s="6" t="str">
        <f t="shared" si="0"/>
        <v>Su</v>
      </c>
      <c r="AG4" s="6" t="str">
        <f t="shared" si="0"/>
        <v>M</v>
      </c>
      <c r="AH4" s="6" t="str">
        <f t="shared" si="0"/>
        <v>Tu</v>
      </c>
      <c r="AI4" s="47"/>
      <c r="AJ4" s="47"/>
      <c r="AK4" s="47"/>
      <c r="AL4" s="47"/>
      <c r="AM4" s="47"/>
      <c r="AN4" s="47"/>
      <c r="AO4" s="47"/>
      <c r="AP4" s="2" t="s">
        <v>17</v>
      </c>
      <c r="AQ4" s="47"/>
      <c r="AR4" s="3" t="s">
        <v>18</v>
      </c>
      <c r="AS4" s="47"/>
      <c r="AT4" s="4" t="s">
        <v>19</v>
      </c>
      <c r="AU4" s="47"/>
      <c r="AV4" s="47"/>
      <c r="AW4" s="47"/>
      <c r="AX4" s="47"/>
    </row>
    <row r="5" spans="1:50" ht="1.5" customHeight="1" x14ac:dyDescent="0.2">
      <c r="A5" s="48"/>
      <c r="B5" s="60"/>
      <c r="C5" s="61"/>
      <c r="D5" s="8">
        <f>DATEVALUE(AI1&amp;" 1, "&amp;AI2)</f>
        <v>44136</v>
      </c>
      <c r="E5" s="9">
        <f t="shared" ref="E5:AH5" si="1">D5+1</f>
        <v>44137</v>
      </c>
      <c r="F5" s="9">
        <f t="shared" si="1"/>
        <v>44138</v>
      </c>
      <c r="G5" s="9">
        <f t="shared" si="1"/>
        <v>44139</v>
      </c>
      <c r="H5" s="9">
        <f t="shared" si="1"/>
        <v>44140</v>
      </c>
      <c r="I5" s="9">
        <f t="shared" si="1"/>
        <v>44141</v>
      </c>
      <c r="J5" s="9">
        <f t="shared" si="1"/>
        <v>44142</v>
      </c>
      <c r="K5" s="9">
        <f t="shared" si="1"/>
        <v>44143</v>
      </c>
      <c r="L5" s="9">
        <f t="shared" si="1"/>
        <v>44144</v>
      </c>
      <c r="M5" s="9">
        <f t="shared" si="1"/>
        <v>44145</v>
      </c>
      <c r="N5" s="9">
        <f t="shared" si="1"/>
        <v>44146</v>
      </c>
      <c r="O5" s="9">
        <f t="shared" si="1"/>
        <v>44147</v>
      </c>
      <c r="P5" s="9">
        <f t="shared" si="1"/>
        <v>44148</v>
      </c>
      <c r="Q5" s="9">
        <f t="shared" si="1"/>
        <v>44149</v>
      </c>
      <c r="R5" s="9">
        <f t="shared" si="1"/>
        <v>44150</v>
      </c>
      <c r="S5" s="9">
        <f t="shared" si="1"/>
        <v>44151</v>
      </c>
      <c r="T5" s="9">
        <f t="shared" si="1"/>
        <v>44152</v>
      </c>
      <c r="U5" s="9">
        <f t="shared" si="1"/>
        <v>44153</v>
      </c>
      <c r="V5" s="9">
        <f t="shared" si="1"/>
        <v>44154</v>
      </c>
      <c r="W5" s="9">
        <f t="shared" si="1"/>
        <v>44155</v>
      </c>
      <c r="X5" s="9">
        <f t="shared" si="1"/>
        <v>44156</v>
      </c>
      <c r="Y5" s="9">
        <f t="shared" si="1"/>
        <v>44157</v>
      </c>
      <c r="Z5" s="9">
        <f t="shared" si="1"/>
        <v>44158</v>
      </c>
      <c r="AA5" s="9">
        <f t="shared" si="1"/>
        <v>44159</v>
      </c>
      <c r="AB5" s="9">
        <f t="shared" si="1"/>
        <v>44160</v>
      </c>
      <c r="AC5" s="9">
        <f t="shared" si="1"/>
        <v>44161</v>
      </c>
      <c r="AD5" s="9">
        <f t="shared" si="1"/>
        <v>44162</v>
      </c>
      <c r="AE5" s="9">
        <f t="shared" si="1"/>
        <v>44163</v>
      </c>
      <c r="AF5" s="10">
        <f t="shared" si="1"/>
        <v>44164</v>
      </c>
      <c r="AG5" s="10">
        <f t="shared" si="1"/>
        <v>44165</v>
      </c>
      <c r="AH5" s="10">
        <f t="shared" si="1"/>
        <v>44166</v>
      </c>
      <c r="AI5" s="48"/>
      <c r="AJ5" s="48"/>
      <c r="AK5" s="47"/>
      <c r="AL5" s="47"/>
      <c r="AM5" s="48"/>
      <c r="AN5" s="48"/>
      <c r="AO5" s="47"/>
      <c r="AP5" s="2"/>
      <c r="AQ5" s="47"/>
      <c r="AR5" s="3"/>
      <c r="AS5" s="47"/>
      <c r="AT5" s="4"/>
      <c r="AU5" s="47"/>
      <c r="AV5" s="47"/>
      <c r="AW5" s="47"/>
      <c r="AX5" s="47"/>
    </row>
    <row r="6" spans="1:50" ht="15.75" customHeight="1" x14ac:dyDescent="0.2">
      <c r="A6" s="11">
        <v>1</v>
      </c>
      <c r="B6" s="45" t="s">
        <v>20</v>
      </c>
      <c r="C6" s="39"/>
      <c r="D6" s="12"/>
      <c r="E6" s="13" t="s">
        <v>21</v>
      </c>
      <c r="F6" s="13" t="s">
        <v>22</v>
      </c>
      <c r="G6" s="13" t="s">
        <v>22</v>
      </c>
      <c r="H6" s="13" t="s">
        <v>22</v>
      </c>
      <c r="I6" s="13" t="s">
        <v>21</v>
      </c>
      <c r="J6" s="12"/>
      <c r="K6" s="12"/>
      <c r="L6" s="13" t="s">
        <v>22</v>
      </c>
      <c r="M6" s="13" t="s">
        <v>21</v>
      </c>
      <c r="N6" s="13" t="s">
        <v>22</v>
      </c>
      <c r="O6" s="13" t="s">
        <v>22</v>
      </c>
      <c r="P6" s="13" t="s">
        <v>22</v>
      </c>
      <c r="Q6" s="13" t="s">
        <v>23</v>
      </c>
      <c r="R6" s="12"/>
      <c r="S6" s="13" t="s">
        <v>22</v>
      </c>
      <c r="T6" s="13" t="s">
        <v>22</v>
      </c>
      <c r="U6" s="13" t="s">
        <v>22</v>
      </c>
      <c r="V6" s="13" t="s">
        <v>21</v>
      </c>
      <c r="W6" s="13" t="s">
        <v>22</v>
      </c>
      <c r="X6" s="12"/>
      <c r="Y6" s="12"/>
      <c r="Z6" s="13" t="s">
        <v>22</v>
      </c>
      <c r="AA6" s="13" t="s">
        <v>22</v>
      </c>
      <c r="AB6" s="13" t="s">
        <v>22</v>
      </c>
      <c r="AC6" s="13" t="s">
        <v>22</v>
      </c>
      <c r="AD6" s="13" t="s">
        <v>22</v>
      </c>
      <c r="AE6" s="13" t="s">
        <v>22</v>
      </c>
      <c r="AF6" s="12"/>
      <c r="AG6" s="13" t="s">
        <v>22</v>
      </c>
      <c r="AH6" s="13"/>
      <c r="AI6" s="14">
        <f>((COUNTIF(D6:AH6,"P")+(COUNTIF(D6:AH6,"W")+((COUNTIF(D6:AH6,"WHP")/2)+((COUNTIF(D6:AH6,"HP")/2))+((COUNTIF(D6:AH6,"AHL")/2))+(COUNTIF(D6:AH6,"HPL")/2)+(COUNTIF(D6:AH6,"WHL")/2)))))</f>
        <v>4</v>
      </c>
      <c r="AJ6" s="15">
        <f t="shared" ref="AJ6:AJ40" si="2">(COUNTIF(D6:AH6,"PL")+(COUNTIF(D6:AH6,"CL")+((((COUNTIF(D6:AH6,"HP")/2)+COUNTIF(D6:AH6,"AL"))+ (COUNTIF(D6:AH6,"AHL")/2))+ ((COUNTIF(D6:AH6,"WHP")/2)+(COUNTIF(D6:AH6,"HPL")/2)+(COUNTIF(D6:AH6,"WHL")/2)))))</f>
        <v>18</v>
      </c>
      <c r="AK6" s="16">
        <v>8</v>
      </c>
      <c r="AL6" s="17">
        <f t="shared" ref="AL6:AL40" si="3">COUNTIF(D6:AH6,"-")</f>
        <v>0</v>
      </c>
      <c r="AM6" s="17">
        <f t="shared" ref="AM6:AM40" si="4">SUM(COUNTIF(D6:AH6,"CO"),( COUNTIF(D6:AH6, "HCO")/2))</f>
        <v>0</v>
      </c>
      <c r="AN6" s="18">
        <v>0</v>
      </c>
      <c r="AO6" s="19">
        <f>IF(((SUM(COUNTIF(D6:AH6,"CL"),( COUNTIF(D6:AH6, "WHP")/2),( COUNTIF(D6:AH6, "HP")/2)))&lt;=AN6),(SUM(COUNTIF(D6:AH6,"CL"),( COUNTIF(D6:AH6, "WHP")/2),( COUNTIF(D6:AH6, "HP")/2))),AN6)</f>
        <v>0</v>
      </c>
      <c r="AP6" s="19">
        <f t="shared" ref="AP6:AP40" si="5">COUNTIF(D6:AH6,"PL")+(COUNTIF(D6:AH6,"HPL")/2)</f>
        <v>0</v>
      </c>
      <c r="AQ6" s="15">
        <f t="shared" ref="AQ6:AQ40" si="6">AJ6-AO6-AP6</f>
        <v>18</v>
      </c>
      <c r="AR6" s="15">
        <f t="shared" ref="AR6:AR40" si="7">AQ6+AL6</f>
        <v>18</v>
      </c>
      <c r="AS6" s="20">
        <f t="shared" ref="AS6:AS40" si="8">IF((SUM(COUNTIF(D6:AH6,"CL"),( COUNTIF(D6:AH6, "WHP")/2),( COUNTIF(D6:AH6,"HP")/2))&gt;=AN6),0,(AN6-(SUM(COUNTIF(D6:AH6,"CL"),( COUNTIF(D6:AH6, "WHP")/2),( COUNTIF(D6:AH6,"HP")/2)))))</f>
        <v>0</v>
      </c>
      <c r="AT6" s="21">
        <f t="shared" ref="AT6:AT10" si="9">AI6+AK6+AO6</f>
        <v>12</v>
      </c>
      <c r="AU6" s="21">
        <f t="shared" ref="AU6:AU40" si="10">SUM(COUNTIF(D6:AH6,"CO"),( COUNTIF(D6:AH6, "HCO")/2))</f>
        <v>0</v>
      </c>
      <c r="AV6" s="21">
        <f t="shared" ref="AV6:AV40" si="11">AS6+2+AU6</f>
        <v>2</v>
      </c>
      <c r="AW6" s="21">
        <f t="shared" ref="AW6:AW40" si="12">AI6+AJ6+AK6+AL6</f>
        <v>30</v>
      </c>
      <c r="AX6" s="21" t="str">
        <f>IF((AW6=AV1), "Correct", "Error")</f>
        <v>Correct</v>
      </c>
    </row>
    <row r="7" spans="1:50" ht="16.5" customHeight="1" x14ac:dyDescent="0.2">
      <c r="A7" s="11">
        <v>2</v>
      </c>
      <c r="B7" s="45" t="s">
        <v>24</v>
      </c>
      <c r="C7" s="39"/>
      <c r="D7" s="12"/>
      <c r="E7" s="13" t="s">
        <v>25</v>
      </c>
      <c r="F7" s="13" t="s">
        <v>25</v>
      </c>
      <c r="G7" s="13" t="s">
        <v>25</v>
      </c>
      <c r="H7" s="13" t="s">
        <v>25</v>
      </c>
      <c r="I7" s="13" t="s">
        <v>25</v>
      </c>
      <c r="J7" s="12"/>
      <c r="K7" s="12"/>
      <c r="L7" s="13" t="s">
        <v>25</v>
      </c>
      <c r="M7" s="13" t="s">
        <v>25</v>
      </c>
      <c r="N7" s="13" t="s">
        <v>25</v>
      </c>
      <c r="O7" s="13" t="s">
        <v>25</v>
      </c>
      <c r="P7" s="13" t="s">
        <v>25</v>
      </c>
      <c r="Q7" s="13" t="s">
        <v>23</v>
      </c>
      <c r="R7" s="12"/>
      <c r="S7" s="13" t="s">
        <v>25</v>
      </c>
      <c r="T7" s="13" t="s">
        <v>25</v>
      </c>
      <c r="U7" s="13" t="s">
        <v>25</v>
      </c>
      <c r="V7" s="13"/>
      <c r="W7" s="13"/>
      <c r="X7" s="12"/>
      <c r="Y7" s="12"/>
      <c r="Z7" s="13"/>
      <c r="AA7" s="13"/>
      <c r="AB7" s="13"/>
      <c r="AC7" s="13"/>
      <c r="AD7" s="13"/>
      <c r="AE7" s="13"/>
      <c r="AF7" s="12"/>
      <c r="AG7" s="13"/>
      <c r="AH7" s="13"/>
      <c r="AI7" s="14">
        <f t="shared" ref="AI7:AI40" si="13">((COUNTIF(D7:AH7,"P")+(COUNTIF(D7:AH7,"W")+((COUNTIF(D7:AH7,"WHP")/2)+((COUNTIF(D7:AH7,"HP")/2))+((COUNTIF(D7:AH7,"AHL")/2))+(COUNTIF(D7:AH7,"HPL")/2)+(COUNTIF(D7:AH7,"WHL")/2)))))</f>
        <v>13</v>
      </c>
      <c r="AJ7" s="15">
        <f t="shared" si="2"/>
        <v>0</v>
      </c>
      <c r="AK7" s="16">
        <v>8</v>
      </c>
      <c r="AL7" s="17">
        <f t="shared" si="3"/>
        <v>0</v>
      </c>
      <c r="AM7" s="17">
        <f t="shared" si="4"/>
        <v>0</v>
      </c>
      <c r="AN7" s="22">
        <v>14.5</v>
      </c>
      <c r="AO7" s="19">
        <f>IF(((SUM(COUNTIF(D7:AH7,"CL"),( COUNTIF(D7:AH7, "WHP")/2),( COUNTIF(D7:AH7, "HP")/2)))&lt;=AN7),(SUM(COUNTIF(D7:AH7,"CL"),( COUNTIF(D7:AH7, "WHP")/2),( COUNTIF(D7:AH7, "HP")/2))),AN7)</f>
        <v>0</v>
      </c>
      <c r="AP7" s="19">
        <f t="shared" si="5"/>
        <v>0</v>
      </c>
      <c r="AQ7" s="15">
        <f t="shared" si="6"/>
        <v>0</v>
      </c>
      <c r="AR7" s="15">
        <f t="shared" si="7"/>
        <v>0</v>
      </c>
      <c r="AS7" s="20">
        <f t="shared" si="8"/>
        <v>14.5</v>
      </c>
      <c r="AT7" s="21">
        <f t="shared" si="9"/>
        <v>21</v>
      </c>
      <c r="AU7" s="21">
        <f t="shared" si="10"/>
        <v>0</v>
      </c>
      <c r="AV7" s="21">
        <f t="shared" si="11"/>
        <v>16.5</v>
      </c>
      <c r="AW7" s="21">
        <f t="shared" si="12"/>
        <v>21</v>
      </c>
      <c r="AX7" s="21" t="str">
        <f>IF((AW7=AV1), "Correct", "Error")</f>
        <v>Error</v>
      </c>
    </row>
    <row r="8" spans="1:50" ht="15.75" customHeight="1" x14ac:dyDescent="0.2">
      <c r="A8" s="11">
        <v>3</v>
      </c>
      <c r="B8" s="45" t="s">
        <v>26</v>
      </c>
      <c r="C8" s="39"/>
      <c r="D8" s="12"/>
      <c r="E8" s="13" t="s">
        <v>21</v>
      </c>
      <c r="F8" s="13" t="s">
        <v>21</v>
      </c>
      <c r="G8" s="13" t="s">
        <v>27</v>
      </c>
      <c r="H8" s="13" t="s">
        <v>21</v>
      </c>
      <c r="I8" s="13" t="s">
        <v>21</v>
      </c>
      <c r="J8" s="12"/>
      <c r="K8" s="12"/>
      <c r="L8" s="13" t="s">
        <v>21</v>
      </c>
      <c r="M8" s="13" t="s">
        <v>21</v>
      </c>
      <c r="N8" s="13" t="s">
        <v>28</v>
      </c>
      <c r="O8" s="13" t="s">
        <v>21</v>
      </c>
      <c r="P8" s="13" t="s">
        <v>21</v>
      </c>
      <c r="Q8" s="13" t="s">
        <v>23</v>
      </c>
      <c r="R8" s="12"/>
      <c r="S8" s="13" t="s">
        <v>21</v>
      </c>
      <c r="T8" s="13" t="s">
        <v>21</v>
      </c>
      <c r="U8" s="13" t="s">
        <v>21</v>
      </c>
      <c r="V8" s="13"/>
      <c r="W8" s="13"/>
      <c r="X8" s="12"/>
      <c r="Y8" s="12"/>
      <c r="Z8" s="13"/>
      <c r="AA8" s="13"/>
      <c r="AB8" s="13"/>
      <c r="AC8" s="13"/>
      <c r="AD8" s="13"/>
      <c r="AE8" s="13"/>
      <c r="AF8" s="12"/>
      <c r="AG8" s="13"/>
      <c r="AH8" s="13"/>
      <c r="AI8" s="14">
        <f t="shared" si="13"/>
        <v>11.5</v>
      </c>
      <c r="AJ8" s="15">
        <f t="shared" si="2"/>
        <v>1.5</v>
      </c>
      <c r="AK8" s="16">
        <v>8</v>
      </c>
      <c r="AL8" s="17">
        <f t="shared" si="3"/>
        <v>0</v>
      </c>
      <c r="AM8" s="17">
        <f t="shared" si="4"/>
        <v>0</v>
      </c>
      <c r="AN8" s="18">
        <v>8.5</v>
      </c>
      <c r="AO8" s="19">
        <f>IF(((SUM(COUNTIF(D8:AH8,"CL"),( COUNTIF(D8:AH8, "WHP")/2),( COUNTIF(D8:AH8, "HP")/2)))&lt;=AN8),(SUM(COUNTIF(D8:AH8,"CL"),( COUNTIF(D8:AH8, "WHP")/2),( COUNTIF(D8:AH8, "HP")/2))),AN8)</f>
        <v>1.5</v>
      </c>
      <c r="AP8" s="19">
        <f t="shared" si="5"/>
        <v>0</v>
      </c>
      <c r="AQ8" s="15">
        <f t="shared" si="6"/>
        <v>0</v>
      </c>
      <c r="AR8" s="15">
        <f t="shared" si="7"/>
        <v>0</v>
      </c>
      <c r="AS8" s="20">
        <f t="shared" si="8"/>
        <v>7</v>
      </c>
      <c r="AT8" s="21">
        <f t="shared" si="9"/>
        <v>21</v>
      </c>
      <c r="AU8" s="21">
        <f t="shared" si="10"/>
        <v>0</v>
      </c>
      <c r="AV8" s="21">
        <f t="shared" si="11"/>
        <v>9</v>
      </c>
      <c r="AW8" s="21">
        <f t="shared" si="12"/>
        <v>21</v>
      </c>
      <c r="AX8" s="21" t="str">
        <f>IF((AW8=AV1), "Correct", "Error")</f>
        <v>Error</v>
      </c>
    </row>
    <row r="9" spans="1:50" ht="16.5" customHeight="1" x14ac:dyDescent="0.2">
      <c r="A9" s="11">
        <v>4</v>
      </c>
      <c r="B9" s="45" t="s">
        <v>29</v>
      </c>
      <c r="C9" s="39"/>
      <c r="D9" s="12"/>
      <c r="E9" s="13" t="s">
        <v>25</v>
      </c>
      <c r="F9" s="13" t="s">
        <v>25</v>
      </c>
      <c r="G9" s="13" t="s">
        <v>25</v>
      </c>
      <c r="H9" s="13" t="s">
        <v>25</v>
      </c>
      <c r="I9" s="13" t="s">
        <v>25</v>
      </c>
      <c r="J9" s="12"/>
      <c r="K9" s="12"/>
      <c r="L9" s="13" t="s">
        <v>25</v>
      </c>
      <c r="M9" s="13" t="s">
        <v>25</v>
      </c>
      <c r="N9" s="13" t="s">
        <v>25</v>
      </c>
      <c r="O9" s="13" t="s">
        <v>25</v>
      </c>
      <c r="P9" s="13" t="s">
        <v>25</v>
      </c>
      <c r="Q9" s="13" t="s">
        <v>23</v>
      </c>
      <c r="R9" s="12"/>
      <c r="S9" s="13" t="s">
        <v>25</v>
      </c>
      <c r="T9" s="13" t="s">
        <v>25</v>
      </c>
      <c r="U9" s="13" t="s">
        <v>25</v>
      </c>
      <c r="V9" s="13" t="s">
        <v>25</v>
      </c>
      <c r="W9" s="13" t="s">
        <v>25</v>
      </c>
      <c r="X9" s="12"/>
      <c r="Y9" s="12"/>
      <c r="Z9" s="13" t="s">
        <v>25</v>
      </c>
      <c r="AA9" s="13" t="s">
        <v>25</v>
      </c>
      <c r="AB9" s="13" t="s">
        <v>25</v>
      </c>
      <c r="AC9" s="13" t="s">
        <v>25</v>
      </c>
      <c r="AD9" s="13" t="s">
        <v>25</v>
      </c>
      <c r="AE9" s="13" t="s">
        <v>25</v>
      </c>
      <c r="AF9" s="12"/>
      <c r="AG9" s="13" t="s">
        <v>25</v>
      </c>
      <c r="AH9" s="13"/>
      <c r="AI9" s="14">
        <f t="shared" si="13"/>
        <v>22</v>
      </c>
      <c r="AJ9" s="15">
        <f t="shared" si="2"/>
        <v>0</v>
      </c>
      <c r="AK9" s="16">
        <v>8</v>
      </c>
      <c r="AL9" s="17">
        <f t="shared" si="3"/>
        <v>0</v>
      </c>
      <c r="AM9" s="17">
        <f t="shared" si="4"/>
        <v>0</v>
      </c>
      <c r="AN9" s="22">
        <v>3</v>
      </c>
      <c r="AO9" s="19">
        <f t="shared" ref="AO9:AO40" si="14">IF(((SUM(COUNTIF(D9:AH9,"CL"),( COUNTIF(D9:AH9, "WHP")/2),( COUNTIF(D9:AH9, "HP")/2)))&lt;=AN9),(SUM(COUNTIF(D9:AH9,"CL"),( COUNTIF(D9:AH9, "WHP")/2),( COUNTIF(D9:AH9, "HP")/2))),AN9)</f>
        <v>0</v>
      </c>
      <c r="AP9" s="19">
        <f t="shared" si="5"/>
        <v>0</v>
      </c>
      <c r="AQ9" s="15">
        <f t="shared" si="6"/>
        <v>0</v>
      </c>
      <c r="AR9" s="15">
        <f t="shared" si="7"/>
        <v>0</v>
      </c>
      <c r="AS9" s="20">
        <f t="shared" si="8"/>
        <v>3</v>
      </c>
      <c r="AT9" s="21">
        <f t="shared" si="9"/>
        <v>30</v>
      </c>
      <c r="AU9" s="21">
        <f t="shared" si="10"/>
        <v>0</v>
      </c>
      <c r="AV9" s="21">
        <f t="shared" si="11"/>
        <v>5</v>
      </c>
      <c r="AW9" s="21">
        <f t="shared" si="12"/>
        <v>30</v>
      </c>
      <c r="AX9" s="21" t="str">
        <f>IF((AW9=AV1), "Correct", "Error")</f>
        <v>Correct</v>
      </c>
    </row>
    <row r="10" spans="1:50" ht="16.5" customHeight="1" x14ac:dyDescent="0.2">
      <c r="A10" s="11">
        <v>5</v>
      </c>
      <c r="B10" s="45" t="s">
        <v>30</v>
      </c>
      <c r="C10" s="39"/>
      <c r="D10" s="12"/>
      <c r="E10" s="13" t="s">
        <v>25</v>
      </c>
      <c r="F10" s="13" t="s">
        <v>25</v>
      </c>
      <c r="G10" s="13" t="s">
        <v>27</v>
      </c>
      <c r="H10" s="13" t="s">
        <v>25</v>
      </c>
      <c r="I10" s="13" t="s">
        <v>25</v>
      </c>
      <c r="J10" s="12"/>
      <c r="K10" s="12"/>
      <c r="L10" s="13" t="s">
        <v>25</v>
      </c>
      <c r="M10" s="13" t="s">
        <v>25</v>
      </c>
      <c r="N10" s="13" t="s">
        <v>25</v>
      </c>
      <c r="O10" s="13" t="s">
        <v>25</v>
      </c>
      <c r="P10" s="13" t="s">
        <v>25</v>
      </c>
      <c r="Q10" s="13" t="s">
        <v>23</v>
      </c>
      <c r="R10" s="12"/>
      <c r="S10" s="13" t="s">
        <v>25</v>
      </c>
      <c r="T10" s="13" t="s">
        <v>25</v>
      </c>
      <c r="U10" s="13" t="s">
        <v>25</v>
      </c>
      <c r="V10" s="13" t="s">
        <v>25</v>
      </c>
      <c r="W10" s="13" t="s">
        <v>25</v>
      </c>
      <c r="X10" s="12"/>
      <c r="Y10" s="12"/>
      <c r="Z10" s="13" t="s">
        <v>25</v>
      </c>
      <c r="AA10" s="13" t="s">
        <v>25</v>
      </c>
      <c r="AB10" s="13" t="s">
        <v>25</v>
      </c>
      <c r="AC10" s="13" t="s">
        <v>25</v>
      </c>
      <c r="AD10" s="13" t="s">
        <v>25</v>
      </c>
      <c r="AE10" s="13" t="s">
        <v>25</v>
      </c>
      <c r="AF10" s="12"/>
      <c r="AG10" s="13" t="s">
        <v>25</v>
      </c>
      <c r="AH10" s="13"/>
      <c r="AI10" s="14">
        <f t="shared" si="13"/>
        <v>21</v>
      </c>
      <c r="AJ10" s="15">
        <f t="shared" si="2"/>
        <v>1</v>
      </c>
      <c r="AK10" s="16">
        <v>8</v>
      </c>
      <c r="AL10" s="17">
        <f t="shared" si="3"/>
        <v>0</v>
      </c>
      <c r="AM10" s="17">
        <f t="shared" si="4"/>
        <v>0</v>
      </c>
      <c r="AN10" s="22">
        <v>17.5</v>
      </c>
      <c r="AO10" s="19">
        <f t="shared" si="14"/>
        <v>1</v>
      </c>
      <c r="AP10" s="19">
        <f t="shared" si="5"/>
        <v>0</v>
      </c>
      <c r="AQ10" s="15">
        <f t="shared" si="6"/>
        <v>0</v>
      </c>
      <c r="AR10" s="15">
        <f t="shared" si="7"/>
        <v>0</v>
      </c>
      <c r="AS10" s="20">
        <f t="shared" si="8"/>
        <v>16.5</v>
      </c>
      <c r="AT10" s="21">
        <f t="shared" si="9"/>
        <v>30</v>
      </c>
      <c r="AU10" s="21">
        <f t="shared" si="10"/>
        <v>0</v>
      </c>
      <c r="AV10" s="21">
        <f t="shared" si="11"/>
        <v>18.5</v>
      </c>
      <c r="AW10" s="21">
        <f t="shared" si="12"/>
        <v>30</v>
      </c>
      <c r="AX10" s="21" t="str">
        <f>IF((AW10=AV1), "Correct", "Error")</f>
        <v>Correct</v>
      </c>
    </row>
    <row r="11" spans="1:50" ht="16.5" customHeight="1" x14ac:dyDescent="0.2">
      <c r="A11" s="11">
        <v>6</v>
      </c>
      <c r="B11" s="45" t="s">
        <v>31</v>
      </c>
      <c r="C11" s="39"/>
      <c r="D11" s="12"/>
      <c r="E11" s="13" t="s">
        <v>21</v>
      </c>
      <c r="F11" s="13" t="s">
        <v>25</v>
      </c>
      <c r="G11" s="13" t="s">
        <v>25</v>
      </c>
      <c r="H11" s="13" t="s">
        <v>25</v>
      </c>
      <c r="I11" s="13" t="s">
        <v>25</v>
      </c>
      <c r="J11" s="12"/>
      <c r="K11" s="12"/>
      <c r="L11" s="13" t="s">
        <v>25</v>
      </c>
      <c r="M11" s="13" t="s">
        <v>25</v>
      </c>
      <c r="N11" s="13" t="s">
        <v>25</v>
      </c>
      <c r="O11" s="13" t="s">
        <v>25</v>
      </c>
      <c r="P11" s="13" t="s">
        <v>25</v>
      </c>
      <c r="Q11" s="13" t="s">
        <v>23</v>
      </c>
      <c r="R11" s="12"/>
      <c r="S11" s="13" t="s">
        <v>25</v>
      </c>
      <c r="T11" s="13" t="s">
        <v>25</v>
      </c>
      <c r="U11" s="13" t="s">
        <v>25</v>
      </c>
      <c r="V11" s="13" t="s">
        <v>25</v>
      </c>
      <c r="W11" s="13" t="s">
        <v>25</v>
      </c>
      <c r="X11" s="12"/>
      <c r="Y11" s="12"/>
      <c r="Z11" s="13" t="s">
        <v>25</v>
      </c>
      <c r="AA11" s="13" t="s">
        <v>25</v>
      </c>
      <c r="AB11" s="13" t="s">
        <v>25</v>
      </c>
      <c r="AC11" s="13" t="s">
        <v>25</v>
      </c>
      <c r="AD11" s="13" t="s">
        <v>25</v>
      </c>
      <c r="AE11" s="13" t="s">
        <v>25</v>
      </c>
      <c r="AF11" s="12"/>
      <c r="AG11" s="13" t="s">
        <v>25</v>
      </c>
      <c r="AH11" s="13"/>
      <c r="AI11" s="14">
        <f t="shared" si="13"/>
        <v>22</v>
      </c>
      <c r="AJ11" s="15">
        <f t="shared" si="2"/>
        <v>0</v>
      </c>
      <c r="AK11" s="16">
        <v>8</v>
      </c>
      <c r="AL11" s="17">
        <f t="shared" si="3"/>
        <v>0</v>
      </c>
      <c r="AM11" s="17">
        <f t="shared" si="4"/>
        <v>0</v>
      </c>
      <c r="AN11" s="22">
        <v>10</v>
      </c>
      <c r="AO11" s="19">
        <f t="shared" si="14"/>
        <v>0</v>
      </c>
      <c r="AP11" s="19">
        <f t="shared" si="5"/>
        <v>0</v>
      </c>
      <c r="AQ11" s="15">
        <f t="shared" si="6"/>
        <v>0</v>
      </c>
      <c r="AR11" s="15">
        <f t="shared" si="7"/>
        <v>0</v>
      </c>
      <c r="AS11" s="20">
        <f t="shared" si="8"/>
        <v>10</v>
      </c>
      <c r="AT11" s="21">
        <f>AI11+AK11+AO11+AP11</f>
        <v>30</v>
      </c>
      <c r="AU11" s="21">
        <f t="shared" si="10"/>
        <v>0</v>
      </c>
      <c r="AV11" s="21">
        <f t="shared" si="11"/>
        <v>12</v>
      </c>
      <c r="AW11" s="21">
        <f t="shared" si="12"/>
        <v>30</v>
      </c>
      <c r="AX11" s="21" t="str">
        <f>IF((AW11=AV1), "Correct", "Error")</f>
        <v>Correct</v>
      </c>
    </row>
    <row r="12" spans="1:50" ht="16.5" customHeight="1" x14ac:dyDescent="0.2">
      <c r="A12" s="11">
        <v>7</v>
      </c>
      <c r="B12" s="45" t="s">
        <v>32</v>
      </c>
      <c r="C12" s="39"/>
      <c r="D12" s="12"/>
      <c r="E12" s="13" t="s">
        <v>21</v>
      </c>
      <c r="F12" s="13" t="s">
        <v>21</v>
      </c>
      <c r="G12" s="13" t="s">
        <v>22</v>
      </c>
      <c r="H12" s="13" t="s">
        <v>27</v>
      </c>
      <c r="I12" s="13" t="s">
        <v>27</v>
      </c>
      <c r="J12" s="12"/>
      <c r="K12" s="12"/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23</v>
      </c>
      <c r="R12" s="12"/>
      <c r="S12" s="13" t="s">
        <v>21</v>
      </c>
      <c r="T12" s="13" t="s">
        <v>21</v>
      </c>
      <c r="U12" s="13" t="s">
        <v>21</v>
      </c>
      <c r="V12" s="13"/>
      <c r="W12" s="13"/>
      <c r="X12" s="12"/>
      <c r="Y12" s="12"/>
      <c r="Z12" s="13"/>
      <c r="AA12" s="13"/>
      <c r="AB12" s="13"/>
      <c r="AC12" s="13"/>
      <c r="AD12" s="13"/>
      <c r="AE12" s="13"/>
      <c r="AF12" s="12"/>
      <c r="AG12" s="13"/>
      <c r="AH12" s="13"/>
      <c r="AI12" s="14">
        <f t="shared" si="13"/>
        <v>10</v>
      </c>
      <c r="AJ12" s="15">
        <f t="shared" si="2"/>
        <v>3</v>
      </c>
      <c r="AK12" s="16">
        <v>8</v>
      </c>
      <c r="AL12" s="17">
        <f t="shared" si="3"/>
        <v>0</v>
      </c>
      <c r="AM12" s="17">
        <f t="shared" si="4"/>
        <v>0</v>
      </c>
      <c r="AN12" s="22">
        <v>2</v>
      </c>
      <c r="AO12" s="19">
        <f t="shared" si="14"/>
        <v>2</v>
      </c>
      <c r="AP12" s="19">
        <f t="shared" si="5"/>
        <v>0</v>
      </c>
      <c r="AQ12" s="15">
        <f t="shared" si="6"/>
        <v>1</v>
      </c>
      <c r="AR12" s="15">
        <f t="shared" si="7"/>
        <v>1</v>
      </c>
      <c r="AS12" s="20">
        <f t="shared" si="8"/>
        <v>0</v>
      </c>
      <c r="AT12" s="21">
        <f t="shared" ref="AT12:AT24" si="15">AI12+AK12+AO12</f>
        <v>20</v>
      </c>
      <c r="AU12" s="21">
        <f t="shared" si="10"/>
        <v>0</v>
      </c>
      <c r="AV12" s="21">
        <f t="shared" si="11"/>
        <v>2</v>
      </c>
      <c r="AW12" s="21">
        <f t="shared" si="12"/>
        <v>21</v>
      </c>
      <c r="AX12" s="21" t="str">
        <f>IF((AW12=AV1), "Correct", "Error")</f>
        <v>Error</v>
      </c>
    </row>
    <row r="13" spans="1:50" ht="16.5" customHeight="1" x14ac:dyDescent="0.2">
      <c r="A13" s="11">
        <v>8</v>
      </c>
      <c r="B13" s="45" t="s">
        <v>33</v>
      </c>
      <c r="C13" s="39"/>
      <c r="D13" s="12"/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2"/>
      <c r="K13" s="12"/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23</v>
      </c>
      <c r="R13" s="12"/>
      <c r="S13" s="13" t="s">
        <v>21</v>
      </c>
      <c r="T13" s="13" t="s">
        <v>21</v>
      </c>
      <c r="U13" s="13" t="s">
        <v>21</v>
      </c>
      <c r="V13" s="13" t="s">
        <v>21</v>
      </c>
      <c r="W13" s="13" t="s">
        <v>27</v>
      </c>
      <c r="X13" s="12"/>
      <c r="Y13" s="12"/>
      <c r="Z13" s="13"/>
      <c r="AA13" s="13"/>
      <c r="AB13" s="13"/>
      <c r="AC13" s="13"/>
      <c r="AD13" s="13"/>
      <c r="AE13" s="13"/>
      <c r="AF13" s="12"/>
      <c r="AG13" s="13"/>
      <c r="AH13" s="13"/>
      <c r="AI13" s="14">
        <f t="shared" si="13"/>
        <v>14</v>
      </c>
      <c r="AJ13" s="15">
        <f t="shared" si="2"/>
        <v>1</v>
      </c>
      <c r="AK13" s="16">
        <v>8</v>
      </c>
      <c r="AL13" s="17">
        <f t="shared" si="3"/>
        <v>0</v>
      </c>
      <c r="AM13" s="17">
        <f t="shared" si="4"/>
        <v>0</v>
      </c>
      <c r="AN13" s="22">
        <v>12</v>
      </c>
      <c r="AO13" s="19">
        <f t="shared" si="14"/>
        <v>1</v>
      </c>
      <c r="AP13" s="19">
        <f t="shared" si="5"/>
        <v>0</v>
      </c>
      <c r="AQ13" s="15">
        <f t="shared" si="6"/>
        <v>0</v>
      </c>
      <c r="AR13" s="15">
        <f t="shared" si="7"/>
        <v>0</v>
      </c>
      <c r="AS13" s="20">
        <f t="shared" si="8"/>
        <v>11</v>
      </c>
      <c r="AT13" s="21">
        <f t="shared" si="15"/>
        <v>23</v>
      </c>
      <c r="AU13" s="21">
        <f t="shared" si="10"/>
        <v>0</v>
      </c>
      <c r="AV13" s="21">
        <f t="shared" si="11"/>
        <v>13</v>
      </c>
      <c r="AW13" s="21">
        <f t="shared" si="12"/>
        <v>23</v>
      </c>
      <c r="AX13" s="21" t="str">
        <f>IF((AW13=AV1), "Correct", "Error")</f>
        <v>Error</v>
      </c>
    </row>
    <row r="14" spans="1:50" ht="18" customHeight="1" x14ac:dyDescent="0.2">
      <c r="A14" s="11">
        <v>9</v>
      </c>
      <c r="B14" s="45" t="s">
        <v>34</v>
      </c>
      <c r="C14" s="39"/>
      <c r="D14" s="12"/>
      <c r="E14" s="13" t="s">
        <v>25</v>
      </c>
      <c r="F14" s="13" t="s">
        <v>21</v>
      </c>
      <c r="G14" s="13" t="s">
        <v>21</v>
      </c>
      <c r="H14" s="13" t="s">
        <v>21</v>
      </c>
      <c r="I14" s="13" t="s">
        <v>25</v>
      </c>
      <c r="J14" s="12"/>
      <c r="K14" s="12"/>
      <c r="L14" s="13" t="s">
        <v>25</v>
      </c>
      <c r="M14" s="13" t="s">
        <v>21</v>
      </c>
      <c r="N14" s="13" t="s">
        <v>21</v>
      </c>
      <c r="O14" s="13" t="s">
        <v>21</v>
      </c>
      <c r="P14" s="13" t="s">
        <v>25</v>
      </c>
      <c r="Q14" s="13" t="s">
        <v>35</v>
      </c>
      <c r="R14" s="12"/>
      <c r="S14" s="13" t="s">
        <v>21</v>
      </c>
      <c r="T14" s="13" t="s">
        <v>21</v>
      </c>
      <c r="U14" s="13" t="s">
        <v>27</v>
      </c>
      <c r="V14" s="13" t="s">
        <v>21</v>
      </c>
      <c r="W14" s="13" t="s">
        <v>21</v>
      </c>
      <c r="X14" s="12"/>
      <c r="Y14" s="12"/>
      <c r="Z14" s="13"/>
      <c r="AA14" s="13"/>
      <c r="AB14" s="13"/>
      <c r="AC14" s="13"/>
      <c r="AD14" s="13"/>
      <c r="AE14" s="13"/>
      <c r="AF14" s="12"/>
      <c r="AG14" s="13"/>
      <c r="AH14" s="13"/>
      <c r="AI14" s="14">
        <f t="shared" si="13"/>
        <v>14</v>
      </c>
      <c r="AJ14" s="15">
        <f t="shared" si="2"/>
        <v>1</v>
      </c>
      <c r="AK14" s="16">
        <v>8</v>
      </c>
      <c r="AL14" s="17">
        <f t="shared" si="3"/>
        <v>0</v>
      </c>
      <c r="AM14" s="17">
        <f t="shared" si="4"/>
        <v>1</v>
      </c>
      <c r="AN14" s="22">
        <v>6.5</v>
      </c>
      <c r="AO14" s="19">
        <f t="shared" si="14"/>
        <v>1</v>
      </c>
      <c r="AP14" s="19">
        <f t="shared" si="5"/>
        <v>0</v>
      </c>
      <c r="AQ14" s="15">
        <f t="shared" si="6"/>
        <v>0</v>
      </c>
      <c r="AR14" s="15">
        <f t="shared" si="7"/>
        <v>0</v>
      </c>
      <c r="AS14" s="20">
        <f t="shared" si="8"/>
        <v>5.5</v>
      </c>
      <c r="AT14" s="21">
        <f t="shared" si="15"/>
        <v>23</v>
      </c>
      <c r="AU14" s="21">
        <f t="shared" si="10"/>
        <v>1</v>
      </c>
      <c r="AV14" s="21">
        <f t="shared" si="11"/>
        <v>8.5</v>
      </c>
      <c r="AW14" s="21">
        <f t="shared" si="12"/>
        <v>23</v>
      </c>
      <c r="AX14" s="21" t="str">
        <f>IF((AW14=AV1), "Correct", "Error")</f>
        <v>Error</v>
      </c>
    </row>
    <row r="15" spans="1:50" ht="15.75" customHeight="1" x14ac:dyDescent="0.2">
      <c r="A15" s="11">
        <v>10</v>
      </c>
      <c r="B15" s="45" t="s">
        <v>36</v>
      </c>
      <c r="C15" s="39"/>
      <c r="D15" s="12"/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2"/>
      <c r="K15" s="12"/>
      <c r="L15" s="13" t="s">
        <v>28</v>
      </c>
      <c r="M15" s="13" t="s">
        <v>27</v>
      </c>
      <c r="N15" s="13" t="s">
        <v>21</v>
      </c>
      <c r="O15" s="13" t="s">
        <v>21</v>
      </c>
      <c r="P15" s="13" t="s">
        <v>21</v>
      </c>
      <c r="Q15" s="13" t="s">
        <v>23</v>
      </c>
      <c r="R15" s="12"/>
      <c r="S15" s="13" t="s">
        <v>21</v>
      </c>
      <c r="T15" s="13" t="s">
        <v>21</v>
      </c>
      <c r="U15" s="13" t="s">
        <v>21</v>
      </c>
      <c r="V15" s="13" t="s">
        <v>21</v>
      </c>
      <c r="W15" s="13" t="s">
        <v>21</v>
      </c>
      <c r="X15" s="12"/>
      <c r="Y15" s="12"/>
      <c r="Z15" s="13"/>
      <c r="AA15" s="13"/>
      <c r="AB15" s="13"/>
      <c r="AC15" s="13"/>
      <c r="AD15" s="13"/>
      <c r="AE15" s="13"/>
      <c r="AF15" s="12"/>
      <c r="AG15" s="13"/>
      <c r="AH15" s="13"/>
      <c r="AI15" s="14">
        <f t="shared" si="13"/>
        <v>13.5</v>
      </c>
      <c r="AJ15" s="15">
        <f t="shared" si="2"/>
        <v>1.5</v>
      </c>
      <c r="AK15" s="16">
        <v>8</v>
      </c>
      <c r="AL15" s="17">
        <f t="shared" si="3"/>
        <v>0</v>
      </c>
      <c r="AM15" s="17">
        <f t="shared" si="4"/>
        <v>0</v>
      </c>
      <c r="AN15" s="22">
        <v>2</v>
      </c>
      <c r="AO15" s="19">
        <f t="shared" si="14"/>
        <v>1.5</v>
      </c>
      <c r="AP15" s="19">
        <f t="shared" si="5"/>
        <v>0</v>
      </c>
      <c r="AQ15" s="15">
        <f t="shared" si="6"/>
        <v>0</v>
      </c>
      <c r="AR15" s="15">
        <f t="shared" si="7"/>
        <v>0</v>
      </c>
      <c r="AS15" s="20">
        <f t="shared" si="8"/>
        <v>0.5</v>
      </c>
      <c r="AT15" s="21">
        <f t="shared" si="15"/>
        <v>23</v>
      </c>
      <c r="AU15" s="21">
        <f t="shared" si="10"/>
        <v>0</v>
      </c>
      <c r="AV15" s="21">
        <f t="shared" si="11"/>
        <v>2.5</v>
      </c>
      <c r="AW15" s="21">
        <f t="shared" si="12"/>
        <v>23</v>
      </c>
      <c r="AX15" s="21" t="str">
        <f>IF((AW15=AV1), "Correct", "Error")</f>
        <v>Error</v>
      </c>
    </row>
    <row r="16" spans="1:50" ht="15.75" customHeight="1" x14ac:dyDescent="0.2">
      <c r="A16" s="11">
        <v>11</v>
      </c>
      <c r="B16" s="45" t="s">
        <v>37</v>
      </c>
      <c r="C16" s="39"/>
      <c r="D16" s="12"/>
      <c r="E16" s="13" t="s">
        <v>25</v>
      </c>
      <c r="F16" s="13" t="s">
        <v>25</v>
      </c>
      <c r="G16" s="13" t="s">
        <v>25</v>
      </c>
      <c r="H16" s="13" t="s">
        <v>25</v>
      </c>
      <c r="I16" s="13" t="s">
        <v>25</v>
      </c>
      <c r="J16" s="12"/>
      <c r="K16" s="12"/>
      <c r="L16" s="13" t="s">
        <v>25</v>
      </c>
      <c r="M16" s="13" t="s">
        <v>25</v>
      </c>
      <c r="N16" s="13" t="s">
        <v>25</v>
      </c>
      <c r="O16" s="13" t="s">
        <v>25</v>
      </c>
      <c r="P16" s="13" t="s">
        <v>25</v>
      </c>
      <c r="Q16" s="13" t="s">
        <v>23</v>
      </c>
      <c r="R16" s="12"/>
      <c r="S16" s="13" t="s">
        <v>25</v>
      </c>
      <c r="T16" s="13" t="s">
        <v>25</v>
      </c>
      <c r="U16" s="13" t="s">
        <v>25</v>
      </c>
      <c r="V16" s="13" t="s">
        <v>25</v>
      </c>
      <c r="W16" s="13"/>
      <c r="X16" s="12"/>
      <c r="Y16" s="12"/>
      <c r="Z16" s="13"/>
      <c r="AA16" s="13"/>
      <c r="AB16" s="13"/>
      <c r="AC16" s="13"/>
      <c r="AD16" s="13"/>
      <c r="AE16" s="13"/>
      <c r="AF16" s="12"/>
      <c r="AG16" s="13"/>
      <c r="AH16" s="13"/>
      <c r="AI16" s="14">
        <f t="shared" si="13"/>
        <v>14</v>
      </c>
      <c r="AJ16" s="15">
        <f t="shared" si="2"/>
        <v>0</v>
      </c>
      <c r="AK16" s="16">
        <v>8</v>
      </c>
      <c r="AL16" s="17">
        <f t="shared" si="3"/>
        <v>0</v>
      </c>
      <c r="AM16" s="17">
        <f t="shared" si="4"/>
        <v>0</v>
      </c>
      <c r="AN16" s="22">
        <v>4</v>
      </c>
      <c r="AO16" s="19">
        <f t="shared" si="14"/>
        <v>0</v>
      </c>
      <c r="AP16" s="19">
        <f t="shared" si="5"/>
        <v>0</v>
      </c>
      <c r="AQ16" s="15">
        <f t="shared" si="6"/>
        <v>0</v>
      </c>
      <c r="AR16" s="15">
        <f t="shared" si="7"/>
        <v>0</v>
      </c>
      <c r="AS16" s="20">
        <f t="shared" si="8"/>
        <v>4</v>
      </c>
      <c r="AT16" s="21">
        <f t="shared" si="15"/>
        <v>22</v>
      </c>
      <c r="AU16" s="21">
        <f t="shared" si="10"/>
        <v>0</v>
      </c>
      <c r="AV16" s="21">
        <f t="shared" si="11"/>
        <v>6</v>
      </c>
      <c r="AW16" s="21">
        <f t="shared" si="12"/>
        <v>22</v>
      </c>
      <c r="AX16" s="21" t="str">
        <f>IF((AW16=AV1), "Correct", "Error")</f>
        <v>Error</v>
      </c>
    </row>
    <row r="17" spans="1:50" ht="15.75" customHeight="1" x14ac:dyDescent="0.2">
      <c r="A17" s="11">
        <v>12</v>
      </c>
      <c r="B17" s="45" t="s">
        <v>38</v>
      </c>
      <c r="C17" s="39"/>
      <c r="D17" s="12"/>
      <c r="E17" s="13" t="s">
        <v>28</v>
      </c>
      <c r="F17" s="13" t="s">
        <v>25</v>
      </c>
      <c r="G17" s="13" t="s">
        <v>25</v>
      </c>
      <c r="H17" s="13" t="s">
        <v>25</v>
      </c>
      <c r="I17" s="13" t="s">
        <v>28</v>
      </c>
      <c r="J17" s="12"/>
      <c r="K17" s="12"/>
      <c r="L17" s="13" t="s">
        <v>25</v>
      </c>
      <c r="M17" s="13" t="s">
        <v>25</v>
      </c>
      <c r="N17" s="13" t="s">
        <v>25</v>
      </c>
      <c r="O17" s="13" t="s">
        <v>25</v>
      </c>
      <c r="P17" s="13" t="s">
        <v>25</v>
      </c>
      <c r="Q17" s="13" t="s">
        <v>23</v>
      </c>
      <c r="R17" s="12"/>
      <c r="S17" s="13" t="s">
        <v>25</v>
      </c>
      <c r="T17" s="13" t="s">
        <v>25</v>
      </c>
      <c r="U17" s="13" t="s">
        <v>25</v>
      </c>
      <c r="V17" s="13"/>
      <c r="W17" s="13"/>
      <c r="X17" s="12"/>
      <c r="Y17" s="12"/>
      <c r="Z17" s="13"/>
      <c r="AA17" s="13"/>
      <c r="AB17" s="13"/>
      <c r="AC17" s="13"/>
      <c r="AD17" s="13"/>
      <c r="AE17" s="13"/>
      <c r="AF17" s="12"/>
      <c r="AG17" s="13"/>
      <c r="AH17" s="13"/>
      <c r="AI17" s="14">
        <f t="shared" si="13"/>
        <v>12</v>
      </c>
      <c r="AJ17" s="15">
        <f t="shared" si="2"/>
        <v>1</v>
      </c>
      <c r="AK17" s="16">
        <v>8</v>
      </c>
      <c r="AL17" s="17">
        <f t="shared" si="3"/>
        <v>0</v>
      </c>
      <c r="AM17" s="17">
        <f t="shared" si="4"/>
        <v>0</v>
      </c>
      <c r="AN17" s="22">
        <v>3.5</v>
      </c>
      <c r="AO17" s="19">
        <f t="shared" si="14"/>
        <v>1</v>
      </c>
      <c r="AP17" s="19">
        <f t="shared" si="5"/>
        <v>0</v>
      </c>
      <c r="AQ17" s="15">
        <f t="shared" si="6"/>
        <v>0</v>
      </c>
      <c r="AR17" s="15">
        <f t="shared" si="7"/>
        <v>0</v>
      </c>
      <c r="AS17" s="20">
        <f t="shared" si="8"/>
        <v>2.5</v>
      </c>
      <c r="AT17" s="21">
        <f t="shared" si="15"/>
        <v>21</v>
      </c>
      <c r="AU17" s="21">
        <f t="shared" si="10"/>
        <v>0</v>
      </c>
      <c r="AV17" s="21">
        <f t="shared" si="11"/>
        <v>4.5</v>
      </c>
      <c r="AW17" s="21">
        <f t="shared" si="12"/>
        <v>21</v>
      </c>
      <c r="AX17" s="21" t="str">
        <f>IF((AW17=AV1), "Correct", "Error")</f>
        <v>Error</v>
      </c>
    </row>
    <row r="18" spans="1:50" ht="19.5" customHeight="1" x14ac:dyDescent="0.2">
      <c r="A18" s="11">
        <v>13</v>
      </c>
      <c r="B18" s="45" t="s">
        <v>39</v>
      </c>
      <c r="C18" s="39"/>
      <c r="D18" s="12"/>
      <c r="E18" s="13" t="s">
        <v>25</v>
      </c>
      <c r="F18" s="13" t="s">
        <v>25</v>
      </c>
      <c r="G18" s="13" t="s">
        <v>25</v>
      </c>
      <c r="H18" s="13" t="s">
        <v>25</v>
      </c>
      <c r="I18" s="13" t="s">
        <v>25</v>
      </c>
      <c r="J18" s="12"/>
      <c r="K18" s="12"/>
      <c r="L18" s="13" t="s">
        <v>25</v>
      </c>
      <c r="M18" s="13" t="s">
        <v>25</v>
      </c>
      <c r="N18" s="13" t="s">
        <v>25</v>
      </c>
      <c r="O18" s="13" t="s">
        <v>25</v>
      </c>
      <c r="P18" s="13" t="s">
        <v>25</v>
      </c>
      <c r="Q18" s="13" t="s">
        <v>23</v>
      </c>
      <c r="R18" s="12"/>
      <c r="S18" s="13" t="s">
        <v>25</v>
      </c>
      <c r="T18" s="13" t="s">
        <v>25</v>
      </c>
      <c r="U18" s="13" t="s">
        <v>25</v>
      </c>
      <c r="V18" s="13"/>
      <c r="W18" s="13"/>
      <c r="X18" s="12"/>
      <c r="Y18" s="12"/>
      <c r="Z18" s="13"/>
      <c r="AA18" s="13"/>
      <c r="AB18" s="13"/>
      <c r="AC18" s="13"/>
      <c r="AD18" s="13"/>
      <c r="AE18" s="13"/>
      <c r="AF18" s="12"/>
      <c r="AG18" s="13"/>
      <c r="AH18" s="13"/>
      <c r="AI18" s="14">
        <f t="shared" si="13"/>
        <v>13</v>
      </c>
      <c r="AJ18" s="15">
        <f t="shared" si="2"/>
        <v>0</v>
      </c>
      <c r="AK18" s="16">
        <v>8</v>
      </c>
      <c r="AL18" s="17">
        <f t="shared" si="3"/>
        <v>0</v>
      </c>
      <c r="AM18" s="17">
        <f t="shared" si="4"/>
        <v>0</v>
      </c>
      <c r="AN18" s="22">
        <v>4</v>
      </c>
      <c r="AO18" s="19">
        <f t="shared" si="14"/>
        <v>0</v>
      </c>
      <c r="AP18" s="19">
        <f t="shared" si="5"/>
        <v>0</v>
      </c>
      <c r="AQ18" s="15">
        <f t="shared" si="6"/>
        <v>0</v>
      </c>
      <c r="AR18" s="15">
        <f t="shared" si="7"/>
        <v>0</v>
      </c>
      <c r="AS18" s="20">
        <f t="shared" si="8"/>
        <v>4</v>
      </c>
      <c r="AT18" s="21">
        <f t="shared" si="15"/>
        <v>21</v>
      </c>
      <c r="AU18" s="21">
        <f t="shared" si="10"/>
        <v>0</v>
      </c>
      <c r="AV18" s="21">
        <f t="shared" si="11"/>
        <v>6</v>
      </c>
      <c r="AW18" s="21">
        <f t="shared" si="12"/>
        <v>21</v>
      </c>
      <c r="AX18" s="21" t="str">
        <f>IF((AW18=AV1), "Correct", "Error")</f>
        <v>Error</v>
      </c>
    </row>
    <row r="19" spans="1:50" ht="15.75" customHeight="1" x14ac:dyDescent="0.2">
      <c r="A19" s="11">
        <v>14</v>
      </c>
      <c r="B19" s="45" t="s">
        <v>40</v>
      </c>
      <c r="C19" s="39"/>
      <c r="D19" s="12"/>
      <c r="E19" s="13" t="s">
        <v>25</v>
      </c>
      <c r="F19" s="13" t="s">
        <v>25</v>
      </c>
      <c r="G19" s="13" t="s">
        <v>25</v>
      </c>
      <c r="H19" s="13" t="s">
        <v>25</v>
      </c>
      <c r="I19" s="13" t="s">
        <v>25</v>
      </c>
      <c r="J19" s="12"/>
      <c r="K19" s="12"/>
      <c r="L19" s="13" t="s">
        <v>22</v>
      </c>
      <c r="M19" s="13" t="s">
        <v>22</v>
      </c>
      <c r="N19" s="13" t="s">
        <v>22</v>
      </c>
      <c r="O19" s="23" t="s">
        <v>41</v>
      </c>
      <c r="P19" s="23" t="s">
        <v>41</v>
      </c>
      <c r="Q19" s="23" t="s">
        <v>41</v>
      </c>
      <c r="R19" s="23" t="s">
        <v>41</v>
      </c>
      <c r="S19" s="23" t="s">
        <v>41</v>
      </c>
      <c r="T19" s="23" t="s">
        <v>41</v>
      </c>
      <c r="U19" s="23" t="s">
        <v>41</v>
      </c>
      <c r="V19" s="23" t="s">
        <v>41</v>
      </c>
      <c r="W19" s="23" t="s">
        <v>41</v>
      </c>
      <c r="X19" s="23" t="s">
        <v>41</v>
      </c>
      <c r="Y19" s="23" t="s">
        <v>41</v>
      </c>
      <c r="Z19" s="23" t="s">
        <v>41</v>
      </c>
      <c r="AA19" s="23" t="s">
        <v>41</v>
      </c>
      <c r="AB19" s="23" t="s">
        <v>41</v>
      </c>
      <c r="AC19" s="23" t="s">
        <v>41</v>
      </c>
      <c r="AD19" s="23" t="s">
        <v>41</v>
      </c>
      <c r="AE19" s="23" t="s">
        <v>41</v>
      </c>
      <c r="AF19" s="23" t="s">
        <v>41</v>
      </c>
      <c r="AG19" s="23" t="s">
        <v>41</v>
      </c>
      <c r="AH19" s="13"/>
      <c r="AI19" s="14">
        <f t="shared" si="13"/>
        <v>5</v>
      </c>
      <c r="AJ19" s="15">
        <f t="shared" si="2"/>
        <v>3</v>
      </c>
      <c r="AK19" s="16">
        <v>3</v>
      </c>
      <c r="AL19" s="17">
        <f t="shared" si="3"/>
        <v>19</v>
      </c>
      <c r="AM19" s="17">
        <f t="shared" si="4"/>
        <v>0</v>
      </c>
      <c r="AN19" s="22">
        <v>4</v>
      </c>
      <c r="AO19" s="19">
        <f t="shared" si="14"/>
        <v>0</v>
      </c>
      <c r="AP19" s="19">
        <f t="shared" si="5"/>
        <v>0</v>
      </c>
      <c r="AQ19" s="15">
        <f t="shared" si="6"/>
        <v>3</v>
      </c>
      <c r="AR19" s="15">
        <f t="shared" si="7"/>
        <v>22</v>
      </c>
      <c r="AS19" s="20">
        <f t="shared" si="8"/>
        <v>4</v>
      </c>
      <c r="AT19" s="21">
        <f t="shared" si="15"/>
        <v>8</v>
      </c>
      <c r="AU19" s="21">
        <f t="shared" si="10"/>
        <v>0</v>
      </c>
      <c r="AV19" s="21">
        <f t="shared" si="11"/>
        <v>6</v>
      </c>
      <c r="AW19" s="21">
        <f t="shared" si="12"/>
        <v>30</v>
      </c>
      <c r="AX19" s="21" t="str">
        <f>IF((AW19=AV1), "Correct", "Error")</f>
        <v>Correct</v>
      </c>
    </row>
    <row r="20" spans="1:50" ht="15.75" customHeight="1" x14ac:dyDescent="0.2">
      <c r="A20" s="11">
        <v>15</v>
      </c>
      <c r="B20" s="45" t="s">
        <v>42</v>
      </c>
      <c r="C20" s="39"/>
      <c r="D20" s="12"/>
      <c r="E20" s="13" t="s">
        <v>25</v>
      </c>
      <c r="F20" s="13" t="s">
        <v>25</v>
      </c>
      <c r="G20" s="13" t="s">
        <v>25</v>
      </c>
      <c r="H20" s="13" t="s">
        <v>25</v>
      </c>
      <c r="I20" s="13" t="s">
        <v>25</v>
      </c>
      <c r="J20" s="12"/>
      <c r="K20" s="12"/>
      <c r="L20" s="13" t="s">
        <v>25</v>
      </c>
      <c r="M20" s="13" t="s">
        <v>25</v>
      </c>
      <c r="N20" s="13" t="s">
        <v>25</v>
      </c>
      <c r="O20" s="13"/>
      <c r="P20" s="13"/>
      <c r="Q20" s="13" t="s">
        <v>23</v>
      </c>
      <c r="R20" s="12"/>
      <c r="S20" s="13"/>
      <c r="T20" s="13"/>
      <c r="U20" s="13"/>
      <c r="V20" s="13"/>
      <c r="W20" s="13"/>
      <c r="X20" s="12"/>
      <c r="Y20" s="12"/>
      <c r="Z20" s="13"/>
      <c r="AA20" s="13"/>
      <c r="AB20" s="13"/>
      <c r="AC20" s="13"/>
      <c r="AD20" s="13"/>
      <c r="AE20" s="13"/>
      <c r="AF20" s="12"/>
      <c r="AG20" s="13"/>
      <c r="AH20" s="13"/>
      <c r="AI20" s="14">
        <f t="shared" si="13"/>
        <v>8</v>
      </c>
      <c r="AJ20" s="15">
        <f t="shared" si="2"/>
        <v>0</v>
      </c>
      <c r="AK20" s="16">
        <v>8</v>
      </c>
      <c r="AL20" s="17">
        <f t="shared" si="3"/>
        <v>0</v>
      </c>
      <c r="AM20" s="17">
        <f t="shared" si="4"/>
        <v>0</v>
      </c>
      <c r="AN20" s="24">
        <v>21</v>
      </c>
      <c r="AO20" s="19">
        <f t="shared" si="14"/>
        <v>0</v>
      </c>
      <c r="AP20" s="19">
        <f t="shared" si="5"/>
        <v>0</v>
      </c>
      <c r="AQ20" s="15">
        <f t="shared" si="6"/>
        <v>0</v>
      </c>
      <c r="AR20" s="15">
        <f t="shared" si="7"/>
        <v>0</v>
      </c>
      <c r="AS20" s="20">
        <f t="shared" si="8"/>
        <v>21</v>
      </c>
      <c r="AT20" s="21">
        <f t="shared" si="15"/>
        <v>16</v>
      </c>
      <c r="AU20" s="21">
        <f t="shared" si="10"/>
        <v>0</v>
      </c>
      <c r="AV20" s="21">
        <f t="shared" si="11"/>
        <v>23</v>
      </c>
      <c r="AW20" s="21">
        <f t="shared" si="12"/>
        <v>16</v>
      </c>
      <c r="AX20" s="21" t="str">
        <f>IF((AW20=AV1), "Correct", "Error")</f>
        <v>Error</v>
      </c>
    </row>
    <row r="21" spans="1:50" ht="15.75" customHeight="1" x14ac:dyDescent="0.2">
      <c r="A21" s="11">
        <v>16</v>
      </c>
      <c r="B21" s="45" t="s">
        <v>43</v>
      </c>
      <c r="C21" s="39"/>
      <c r="D21" s="12"/>
      <c r="E21" s="13" t="s">
        <v>25</v>
      </c>
      <c r="F21" s="13" t="s">
        <v>25</v>
      </c>
      <c r="G21" s="13" t="s">
        <v>25</v>
      </c>
      <c r="H21" s="13" t="s">
        <v>25</v>
      </c>
      <c r="I21" s="13" t="s">
        <v>25</v>
      </c>
      <c r="J21" s="12"/>
      <c r="K21" s="12"/>
      <c r="L21" s="13" t="s">
        <v>25</v>
      </c>
      <c r="M21" s="13" t="s">
        <v>25</v>
      </c>
      <c r="N21" s="13" t="s">
        <v>25</v>
      </c>
      <c r="O21" s="13"/>
      <c r="P21" s="13"/>
      <c r="Q21" s="13" t="s">
        <v>23</v>
      </c>
      <c r="R21" s="12"/>
      <c r="S21" s="13"/>
      <c r="T21" s="13"/>
      <c r="U21" s="13"/>
      <c r="V21" s="13"/>
      <c r="W21" s="13"/>
      <c r="X21" s="12"/>
      <c r="Y21" s="12"/>
      <c r="Z21" s="13"/>
      <c r="AA21" s="13"/>
      <c r="AB21" s="13"/>
      <c r="AC21" s="13"/>
      <c r="AD21" s="13"/>
      <c r="AE21" s="13"/>
      <c r="AF21" s="12"/>
      <c r="AG21" s="13"/>
      <c r="AH21" s="13"/>
      <c r="AI21" s="14">
        <f t="shared" si="13"/>
        <v>8</v>
      </c>
      <c r="AJ21" s="15">
        <f t="shared" si="2"/>
        <v>0</v>
      </c>
      <c r="AK21" s="16">
        <v>8</v>
      </c>
      <c r="AL21" s="17">
        <f t="shared" si="3"/>
        <v>0</v>
      </c>
      <c r="AM21" s="17">
        <f t="shared" si="4"/>
        <v>0</v>
      </c>
      <c r="AN21" s="24">
        <v>23.5</v>
      </c>
      <c r="AO21" s="19">
        <f t="shared" si="14"/>
        <v>0</v>
      </c>
      <c r="AP21" s="19">
        <f t="shared" si="5"/>
        <v>0</v>
      </c>
      <c r="AQ21" s="15">
        <f t="shared" si="6"/>
        <v>0</v>
      </c>
      <c r="AR21" s="15">
        <f t="shared" si="7"/>
        <v>0</v>
      </c>
      <c r="AS21" s="20">
        <f t="shared" si="8"/>
        <v>23.5</v>
      </c>
      <c r="AT21" s="21">
        <f t="shared" si="15"/>
        <v>16</v>
      </c>
      <c r="AU21" s="21">
        <f t="shared" si="10"/>
        <v>0</v>
      </c>
      <c r="AV21" s="21">
        <f t="shared" si="11"/>
        <v>25.5</v>
      </c>
      <c r="AW21" s="21">
        <f t="shared" si="12"/>
        <v>16</v>
      </c>
      <c r="AX21" s="21" t="str">
        <f>IF((AW21=AV1), "Correct", "Error")</f>
        <v>Error</v>
      </c>
    </row>
    <row r="22" spans="1:50" ht="15.75" customHeight="1" x14ac:dyDescent="0.2">
      <c r="A22" s="11">
        <v>17</v>
      </c>
      <c r="B22" s="45" t="s">
        <v>44</v>
      </c>
      <c r="C22" s="39"/>
      <c r="D22" s="12"/>
      <c r="E22" s="13" t="s">
        <v>25</v>
      </c>
      <c r="F22" s="13" t="s">
        <v>25</v>
      </c>
      <c r="G22" s="13" t="s">
        <v>25</v>
      </c>
      <c r="H22" s="13" t="s">
        <v>25</v>
      </c>
      <c r="I22" s="13" t="s">
        <v>25</v>
      </c>
      <c r="J22" s="12"/>
      <c r="K22" s="12"/>
      <c r="L22" s="13" t="s">
        <v>25</v>
      </c>
      <c r="M22" s="13" t="s">
        <v>25</v>
      </c>
      <c r="N22" s="13" t="s">
        <v>25</v>
      </c>
      <c r="O22" s="13" t="s">
        <v>21</v>
      </c>
      <c r="P22" s="13" t="s">
        <v>21</v>
      </c>
      <c r="Q22" s="13" t="s">
        <v>23</v>
      </c>
      <c r="R22" s="12"/>
      <c r="S22" s="13" t="s">
        <v>21</v>
      </c>
      <c r="T22" s="13" t="s">
        <v>21</v>
      </c>
      <c r="U22" s="13" t="s">
        <v>21</v>
      </c>
      <c r="V22" s="13" t="s">
        <v>21</v>
      </c>
      <c r="W22" s="13" t="s">
        <v>21</v>
      </c>
      <c r="X22" s="12"/>
      <c r="Y22" s="12"/>
      <c r="Z22" s="13" t="s">
        <v>21</v>
      </c>
      <c r="AA22" s="13" t="s">
        <v>21</v>
      </c>
      <c r="AB22" s="13" t="s">
        <v>21</v>
      </c>
      <c r="AC22" s="13" t="s">
        <v>21</v>
      </c>
      <c r="AD22" s="13" t="s">
        <v>21</v>
      </c>
      <c r="AE22" s="13" t="s">
        <v>21</v>
      </c>
      <c r="AF22" s="12"/>
      <c r="AG22" s="13" t="s">
        <v>21</v>
      </c>
      <c r="AH22" s="13"/>
      <c r="AI22" s="14">
        <f t="shared" si="13"/>
        <v>22</v>
      </c>
      <c r="AJ22" s="15">
        <f t="shared" si="2"/>
        <v>0</v>
      </c>
      <c r="AK22" s="16">
        <v>8</v>
      </c>
      <c r="AL22" s="17">
        <f t="shared" si="3"/>
        <v>0</v>
      </c>
      <c r="AM22" s="17">
        <f t="shared" si="4"/>
        <v>0</v>
      </c>
      <c r="AN22" s="24">
        <v>3</v>
      </c>
      <c r="AO22" s="19">
        <f t="shared" si="14"/>
        <v>0</v>
      </c>
      <c r="AP22" s="19">
        <f t="shared" si="5"/>
        <v>0</v>
      </c>
      <c r="AQ22" s="15">
        <f t="shared" si="6"/>
        <v>0</v>
      </c>
      <c r="AR22" s="15">
        <f t="shared" si="7"/>
        <v>0</v>
      </c>
      <c r="AS22" s="20">
        <f t="shared" si="8"/>
        <v>3</v>
      </c>
      <c r="AT22" s="21">
        <f t="shared" si="15"/>
        <v>30</v>
      </c>
      <c r="AU22" s="21">
        <f t="shared" si="10"/>
        <v>0</v>
      </c>
      <c r="AV22" s="21">
        <f t="shared" si="11"/>
        <v>5</v>
      </c>
      <c r="AW22" s="21">
        <f t="shared" si="12"/>
        <v>30</v>
      </c>
      <c r="AX22" s="21" t="str">
        <f>IF((AW22=AV1), "Correct", "Error")</f>
        <v>Correct</v>
      </c>
    </row>
    <row r="23" spans="1:50" ht="15.75" customHeight="1" x14ac:dyDescent="0.2">
      <c r="A23" s="11">
        <v>18</v>
      </c>
      <c r="B23" s="45" t="s">
        <v>45</v>
      </c>
      <c r="C23" s="39"/>
      <c r="D23" s="12"/>
      <c r="E23" s="13" t="s">
        <v>25</v>
      </c>
      <c r="F23" s="13" t="s">
        <v>25</v>
      </c>
      <c r="G23" s="13" t="s">
        <v>25</v>
      </c>
      <c r="H23" s="13" t="s">
        <v>25</v>
      </c>
      <c r="I23" s="13" t="s">
        <v>25</v>
      </c>
      <c r="J23" s="12"/>
      <c r="K23" s="12"/>
      <c r="L23" s="13" t="s">
        <v>25</v>
      </c>
      <c r="M23" s="13" t="s">
        <v>25</v>
      </c>
      <c r="N23" s="13" t="s">
        <v>25</v>
      </c>
      <c r="O23" s="13" t="s">
        <v>25</v>
      </c>
      <c r="P23" s="13" t="s">
        <v>25</v>
      </c>
      <c r="Q23" s="13" t="s">
        <v>23</v>
      </c>
      <c r="R23" s="12"/>
      <c r="S23" s="13" t="s">
        <v>25</v>
      </c>
      <c r="T23" s="13" t="s">
        <v>25</v>
      </c>
      <c r="U23" s="13" t="s">
        <v>25</v>
      </c>
      <c r="V23" s="13" t="s">
        <v>27</v>
      </c>
      <c r="W23" s="13"/>
      <c r="X23" s="12"/>
      <c r="Y23" s="12"/>
      <c r="Z23" s="13"/>
      <c r="AA23" s="13"/>
      <c r="AB23" s="13"/>
      <c r="AC23" s="13"/>
      <c r="AD23" s="13"/>
      <c r="AE23" s="13"/>
      <c r="AF23" s="12"/>
      <c r="AG23" s="13"/>
      <c r="AH23" s="13"/>
      <c r="AI23" s="14">
        <f t="shared" si="13"/>
        <v>13</v>
      </c>
      <c r="AJ23" s="15">
        <f t="shared" si="2"/>
        <v>1</v>
      </c>
      <c r="AK23" s="16">
        <v>8</v>
      </c>
      <c r="AL23" s="17">
        <f t="shared" si="3"/>
        <v>0</v>
      </c>
      <c r="AM23" s="17">
        <f t="shared" si="4"/>
        <v>0</v>
      </c>
      <c r="AN23" s="25">
        <v>14</v>
      </c>
      <c r="AO23" s="19">
        <f t="shared" si="14"/>
        <v>1</v>
      </c>
      <c r="AP23" s="19">
        <f t="shared" si="5"/>
        <v>0</v>
      </c>
      <c r="AQ23" s="15">
        <f t="shared" si="6"/>
        <v>0</v>
      </c>
      <c r="AR23" s="15">
        <f t="shared" si="7"/>
        <v>0</v>
      </c>
      <c r="AS23" s="20">
        <f t="shared" si="8"/>
        <v>13</v>
      </c>
      <c r="AT23" s="21">
        <f t="shared" si="15"/>
        <v>22</v>
      </c>
      <c r="AU23" s="21">
        <f t="shared" si="10"/>
        <v>0</v>
      </c>
      <c r="AV23" s="21">
        <f t="shared" si="11"/>
        <v>15</v>
      </c>
      <c r="AW23" s="21">
        <f t="shared" si="12"/>
        <v>22</v>
      </c>
      <c r="AX23" s="21" t="str">
        <f>IF((AW23=AV1), "Correct", "Error")</f>
        <v>Error</v>
      </c>
    </row>
    <row r="24" spans="1:50" ht="15.75" customHeight="1" x14ac:dyDescent="0.2">
      <c r="A24" s="11">
        <v>19</v>
      </c>
      <c r="B24" s="45" t="s">
        <v>46</v>
      </c>
      <c r="C24" s="39"/>
      <c r="D24" s="12"/>
      <c r="E24" s="13" t="s">
        <v>25</v>
      </c>
      <c r="F24" s="13" t="s">
        <v>25</v>
      </c>
      <c r="G24" s="13" t="s">
        <v>25</v>
      </c>
      <c r="H24" s="13" t="s">
        <v>25</v>
      </c>
      <c r="I24" s="13" t="s">
        <v>25</v>
      </c>
      <c r="J24" s="12"/>
      <c r="K24" s="12"/>
      <c r="L24" s="13" t="s">
        <v>25</v>
      </c>
      <c r="M24" s="13" t="s">
        <v>27</v>
      </c>
      <c r="N24" s="13" t="s">
        <v>25</v>
      </c>
      <c r="O24" s="13" t="s">
        <v>25</v>
      </c>
      <c r="P24" s="13" t="s">
        <v>25</v>
      </c>
      <c r="Q24" s="13" t="s">
        <v>23</v>
      </c>
      <c r="R24" s="12"/>
      <c r="S24" s="13" t="s">
        <v>25</v>
      </c>
      <c r="T24" s="13" t="s">
        <v>25</v>
      </c>
      <c r="U24" s="13" t="s">
        <v>25</v>
      </c>
      <c r="V24" s="13"/>
      <c r="W24" s="13"/>
      <c r="X24" s="12"/>
      <c r="Y24" s="12"/>
      <c r="Z24" s="13"/>
      <c r="AA24" s="13"/>
      <c r="AB24" s="13"/>
      <c r="AC24" s="13"/>
      <c r="AD24" s="13"/>
      <c r="AE24" s="13"/>
      <c r="AF24" s="12"/>
      <c r="AG24" s="13"/>
      <c r="AH24" s="13"/>
      <c r="AI24" s="14">
        <f t="shared" si="13"/>
        <v>12</v>
      </c>
      <c r="AJ24" s="15">
        <f t="shared" si="2"/>
        <v>1</v>
      </c>
      <c r="AK24" s="16">
        <v>8</v>
      </c>
      <c r="AL24" s="17">
        <f t="shared" si="3"/>
        <v>0</v>
      </c>
      <c r="AM24" s="17">
        <f t="shared" si="4"/>
        <v>0</v>
      </c>
      <c r="AN24" s="25">
        <v>3.5</v>
      </c>
      <c r="AO24" s="19">
        <f t="shared" si="14"/>
        <v>1</v>
      </c>
      <c r="AP24" s="19">
        <f t="shared" si="5"/>
        <v>0</v>
      </c>
      <c r="AQ24" s="15">
        <f t="shared" si="6"/>
        <v>0</v>
      </c>
      <c r="AR24" s="15">
        <f t="shared" si="7"/>
        <v>0</v>
      </c>
      <c r="AS24" s="20">
        <f t="shared" si="8"/>
        <v>2.5</v>
      </c>
      <c r="AT24" s="21">
        <f t="shared" si="15"/>
        <v>21</v>
      </c>
      <c r="AU24" s="21">
        <f t="shared" si="10"/>
        <v>0</v>
      </c>
      <c r="AV24" s="21">
        <f t="shared" si="11"/>
        <v>4.5</v>
      </c>
      <c r="AW24" s="21">
        <f t="shared" si="12"/>
        <v>21</v>
      </c>
      <c r="AX24" s="21" t="str">
        <f>IF((AW24=AV1), "Correct", "Error")</f>
        <v>Error</v>
      </c>
    </row>
    <row r="25" spans="1:50" ht="15.75" customHeight="1" x14ac:dyDescent="0.2">
      <c r="A25" s="11">
        <v>20</v>
      </c>
      <c r="B25" s="45" t="s">
        <v>47</v>
      </c>
      <c r="C25" s="39"/>
      <c r="D25" s="12"/>
      <c r="E25" s="13" t="s">
        <v>25</v>
      </c>
      <c r="F25" s="13" t="s">
        <v>25</v>
      </c>
      <c r="G25" s="13" t="s">
        <v>25</v>
      </c>
      <c r="H25" s="13" t="s">
        <v>25</v>
      </c>
      <c r="I25" s="13" t="s">
        <v>25</v>
      </c>
      <c r="J25" s="12"/>
      <c r="K25" s="12"/>
      <c r="L25" s="13" t="s">
        <v>25</v>
      </c>
      <c r="M25" s="13" t="s">
        <v>25</v>
      </c>
      <c r="N25" s="13" t="s">
        <v>25</v>
      </c>
      <c r="O25" s="13" t="s">
        <v>25</v>
      </c>
      <c r="P25" s="13" t="s">
        <v>25</v>
      </c>
      <c r="Q25" s="13" t="s">
        <v>23</v>
      </c>
      <c r="R25" s="12"/>
      <c r="S25" s="13" t="s">
        <v>25</v>
      </c>
      <c r="T25" s="13" t="s">
        <v>25</v>
      </c>
      <c r="U25" s="13" t="s">
        <v>25</v>
      </c>
      <c r="V25" s="13"/>
      <c r="W25" s="13"/>
      <c r="X25" s="12"/>
      <c r="Y25" s="12"/>
      <c r="Z25" s="13"/>
      <c r="AA25" s="13"/>
      <c r="AB25" s="13"/>
      <c r="AC25" s="13"/>
      <c r="AD25" s="13"/>
      <c r="AE25" s="13"/>
      <c r="AF25" s="12"/>
      <c r="AG25" s="13"/>
      <c r="AH25" s="13"/>
      <c r="AI25" s="14">
        <f t="shared" si="13"/>
        <v>13</v>
      </c>
      <c r="AJ25" s="15">
        <f t="shared" si="2"/>
        <v>0</v>
      </c>
      <c r="AK25" s="16">
        <v>8</v>
      </c>
      <c r="AL25" s="17">
        <f t="shared" si="3"/>
        <v>0</v>
      </c>
      <c r="AM25" s="17">
        <f t="shared" si="4"/>
        <v>0</v>
      </c>
      <c r="AN25" s="25">
        <v>10.5</v>
      </c>
      <c r="AO25" s="19">
        <f t="shared" si="14"/>
        <v>0</v>
      </c>
      <c r="AP25" s="19">
        <f t="shared" si="5"/>
        <v>0</v>
      </c>
      <c r="AQ25" s="15">
        <f t="shared" si="6"/>
        <v>0</v>
      </c>
      <c r="AR25" s="15">
        <f t="shared" si="7"/>
        <v>0</v>
      </c>
      <c r="AS25" s="20">
        <f t="shared" si="8"/>
        <v>10.5</v>
      </c>
      <c r="AT25" s="21">
        <f>AI25+AK25+AO25+AP25</f>
        <v>21</v>
      </c>
      <c r="AU25" s="21">
        <f t="shared" si="10"/>
        <v>0</v>
      </c>
      <c r="AV25" s="21">
        <f t="shared" si="11"/>
        <v>12.5</v>
      </c>
      <c r="AW25" s="21">
        <f t="shared" si="12"/>
        <v>21</v>
      </c>
      <c r="AX25" s="21" t="str">
        <f>IF((AW25=AV1), "Correct", "Error")</f>
        <v>Error</v>
      </c>
    </row>
    <row r="26" spans="1:50" ht="15.75" customHeight="1" x14ac:dyDescent="0.2">
      <c r="A26" s="11">
        <v>21</v>
      </c>
      <c r="B26" s="45" t="s">
        <v>48</v>
      </c>
      <c r="C26" s="39"/>
      <c r="D26" s="12"/>
      <c r="E26" s="13" t="s">
        <v>28</v>
      </c>
      <c r="F26" s="13" t="s">
        <v>28</v>
      </c>
      <c r="G26" s="13" t="s">
        <v>28</v>
      </c>
      <c r="H26" s="13" t="s">
        <v>28</v>
      </c>
      <c r="I26" s="13" t="s">
        <v>49</v>
      </c>
      <c r="J26" s="12"/>
      <c r="K26" s="12"/>
      <c r="L26" s="13" t="s">
        <v>49</v>
      </c>
      <c r="M26" s="13" t="s">
        <v>49</v>
      </c>
      <c r="N26" s="13" t="s">
        <v>49</v>
      </c>
      <c r="O26" s="13" t="s">
        <v>49</v>
      </c>
      <c r="P26" s="13" t="s">
        <v>49</v>
      </c>
      <c r="Q26" s="13" t="s">
        <v>23</v>
      </c>
      <c r="R26" s="12"/>
      <c r="S26" s="13" t="s">
        <v>49</v>
      </c>
      <c r="T26" s="13" t="s">
        <v>25</v>
      </c>
      <c r="U26" s="13" t="s">
        <v>25</v>
      </c>
      <c r="V26" s="13" t="s">
        <v>25</v>
      </c>
      <c r="W26" s="13" t="s">
        <v>25</v>
      </c>
      <c r="X26" s="12"/>
      <c r="Y26" s="12"/>
      <c r="Z26" s="13" t="s">
        <v>25</v>
      </c>
      <c r="AA26" s="13" t="s">
        <v>25</v>
      </c>
      <c r="AB26" s="13" t="s">
        <v>25</v>
      </c>
      <c r="AC26" s="13" t="s">
        <v>25</v>
      </c>
      <c r="AD26" s="13" t="s">
        <v>25</v>
      </c>
      <c r="AE26" s="13" t="s">
        <v>25</v>
      </c>
      <c r="AF26" s="12"/>
      <c r="AG26" s="13" t="s">
        <v>25</v>
      </c>
      <c r="AH26" s="13"/>
      <c r="AI26" s="14">
        <f t="shared" si="13"/>
        <v>16.5</v>
      </c>
      <c r="AJ26" s="15">
        <f t="shared" si="2"/>
        <v>5.5</v>
      </c>
      <c r="AK26" s="16">
        <v>8</v>
      </c>
      <c r="AL26" s="17">
        <f t="shared" si="3"/>
        <v>0</v>
      </c>
      <c r="AM26" s="17">
        <f t="shared" si="4"/>
        <v>0</v>
      </c>
      <c r="AN26" s="25">
        <v>2</v>
      </c>
      <c r="AO26" s="19">
        <f t="shared" si="14"/>
        <v>2</v>
      </c>
      <c r="AP26" s="19">
        <f t="shared" si="5"/>
        <v>0</v>
      </c>
      <c r="AQ26" s="15">
        <f t="shared" si="6"/>
        <v>3.5</v>
      </c>
      <c r="AR26" s="15">
        <f t="shared" si="7"/>
        <v>3.5</v>
      </c>
      <c r="AS26" s="20">
        <f t="shared" si="8"/>
        <v>0</v>
      </c>
      <c r="AT26" s="21">
        <f t="shared" ref="AT26:AT33" si="16">AI26+AK26+AO26</f>
        <v>26.5</v>
      </c>
      <c r="AU26" s="21">
        <f t="shared" si="10"/>
        <v>0</v>
      </c>
      <c r="AV26" s="21">
        <f t="shared" si="11"/>
        <v>2</v>
      </c>
      <c r="AW26" s="21">
        <f t="shared" si="12"/>
        <v>30</v>
      </c>
      <c r="AX26" s="21" t="str">
        <f>IF((AW26=AV1), "Correct", "Error")</f>
        <v>Correct</v>
      </c>
    </row>
    <row r="27" spans="1:50" ht="15.75" customHeight="1" x14ac:dyDescent="0.2">
      <c r="A27" s="11">
        <v>22</v>
      </c>
      <c r="B27" s="45" t="s">
        <v>50</v>
      </c>
      <c r="C27" s="39"/>
      <c r="D27" s="12"/>
      <c r="E27" s="13" t="s">
        <v>25</v>
      </c>
      <c r="F27" s="13" t="s">
        <v>25</v>
      </c>
      <c r="G27" s="13" t="s">
        <v>25</v>
      </c>
      <c r="H27" s="13" t="s">
        <v>25</v>
      </c>
      <c r="I27" s="13" t="s">
        <v>25</v>
      </c>
      <c r="J27" s="12"/>
      <c r="K27" s="12"/>
      <c r="L27" s="13" t="s">
        <v>25</v>
      </c>
      <c r="M27" s="13" t="s">
        <v>25</v>
      </c>
      <c r="N27" s="13" t="s">
        <v>25</v>
      </c>
      <c r="O27" s="13" t="s">
        <v>28</v>
      </c>
      <c r="P27" s="13" t="s">
        <v>28</v>
      </c>
      <c r="Q27" s="13" t="s">
        <v>23</v>
      </c>
      <c r="R27" s="12"/>
      <c r="S27" s="13" t="s">
        <v>25</v>
      </c>
      <c r="T27" s="13" t="s">
        <v>25</v>
      </c>
      <c r="U27" s="13" t="s">
        <v>25</v>
      </c>
      <c r="V27" s="13"/>
      <c r="W27" s="13"/>
      <c r="X27" s="12"/>
      <c r="Y27" s="12"/>
      <c r="Z27" s="13"/>
      <c r="AA27" s="13"/>
      <c r="AB27" s="13"/>
      <c r="AC27" s="13"/>
      <c r="AD27" s="13"/>
      <c r="AE27" s="13"/>
      <c r="AF27" s="12"/>
      <c r="AG27" s="13"/>
      <c r="AH27" s="13"/>
      <c r="AI27" s="14">
        <f t="shared" si="13"/>
        <v>12</v>
      </c>
      <c r="AJ27" s="15">
        <f t="shared" si="2"/>
        <v>1</v>
      </c>
      <c r="AK27" s="16">
        <v>8</v>
      </c>
      <c r="AL27" s="17">
        <f t="shared" si="3"/>
        <v>0</v>
      </c>
      <c r="AM27" s="17">
        <f t="shared" si="4"/>
        <v>0</v>
      </c>
      <c r="AN27" s="25">
        <v>2</v>
      </c>
      <c r="AO27" s="19">
        <f t="shared" si="14"/>
        <v>1</v>
      </c>
      <c r="AP27" s="19">
        <f t="shared" si="5"/>
        <v>0</v>
      </c>
      <c r="AQ27" s="15">
        <f t="shared" si="6"/>
        <v>0</v>
      </c>
      <c r="AR27" s="15">
        <f t="shared" si="7"/>
        <v>0</v>
      </c>
      <c r="AS27" s="20">
        <f t="shared" si="8"/>
        <v>1</v>
      </c>
      <c r="AT27" s="21">
        <f t="shared" si="16"/>
        <v>21</v>
      </c>
      <c r="AU27" s="21">
        <f t="shared" si="10"/>
        <v>0</v>
      </c>
      <c r="AV27" s="21">
        <f t="shared" si="11"/>
        <v>3</v>
      </c>
      <c r="AW27" s="21">
        <f t="shared" si="12"/>
        <v>21</v>
      </c>
      <c r="AX27" s="21" t="str">
        <f>IF((AW27=AV1), "Correct", "Error")</f>
        <v>Error</v>
      </c>
    </row>
    <row r="28" spans="1:50" ht="15.75" customHeight="1" x14ac:dyDescent="0.2">
      <c r="A28" s="11">
        <v>23</v>
      </c>
      <c r="B28" s="45" t="s">
        <v>51</v>
      </c>
      <c r="C28" s="39"/>
      <c r="D28" s="12"/>
      <c r="E28" s="13" t="s">
        <v>25</v>
      </c>
      <c r="F28" s="13" t="s">
        <v>25</v>
      </c>
      <c r="G28" s="13" t="s">
        <v>25</v>
      </c>
      <c r="H28" s="13" t="s">
        <v>25</v>
      </c>
      <c r="I28" s="13" t="s">
        <v>25</v>
      </c>
      <c r="J28" s="12"/>
      <c r="K28" s="12"/>
      <c r="L28" s="13" t="s">
        <v>25</v>
      </c>
      <c r="M28" s="13" t="s">
        <v>25</v>
      </c>
      <c r="N28" s="13" t="s">
        <v>25</v>
      </c>
      <c r="O28" s="13" t="s">
        <v>25</v>
      </c>
      <c r="P28" s="13" t="s">
        <v>25</v>
      </c>
      <c r="Q28" s="13" t="s">
        <v>23</v>
      </c>
      <c r="R28" s="12"/>
      <c r="S28" s="13" t="s">
        <v>25</v>
      </c>
      <c r="T28" s="13" t="s">
        <v>25</v>
      </c>
      <c r="U28" s="13" t="s">
        <v>25</v>
      </c>
      <c r="V28" s="13"/>
      <c r="W28" s="13"/>
      <c r="X28" s="12"/>
      <c r="Y28" s="12"/>
      <c r="Z28" s="13"/>
      <c r="AA28" s="13"/>
      <c r="AB28" s="13"/>
      <c r="AC28" s="13"/>
      <c r="AD28" s="13"/>
      <c r="AE28" s="13"/>
      <c r="AF28" s="12"/>
      <c r="AG28" s="13"/>
      <c r="AH28" s="13"/>
      <c r="AI28" s="14">
        <f t="shared" si="13"/>
        <v>13</v>
      </c>
      <c r="AJ28" s="15">
        <f t="shared" si="2"/>
        <v>0</v>
      </c>
      <c r="AK28" s="16">
        <v>8</v>
      </c>
      <c r="AL28" s="17">
        <f t="shared" si="3"/>
        <v>0</v>
      </c>
      <c r="AM28" s="17">
        <f t="shared" si="4"/>
        <v>0</v>
      </c>
      <c r="AN28" s="25">
        <v>9</v>
      </c>
      <c r="AO28" s="19">
        <f t="shared" si="14"/>
        <v>0</v>
      </c>
      <c r="AP28" s="19">
        <f t="shared" si="5"/>
        <v>0</v>
      </c>
      <c r="AQ28" s="15">
        <f t="shared" si="6"/>
        <v>0</v>
      </c>
      <c r="AR28" s="15">
        <f t="shared" si="7"/>
        <v>0</v>
      </c>
      <c r="AS28" s="20">
        <f t="shared" si="8"/>
        <v>9</v>
      </c>
      <c r="AT28" s="21">
        <f t="shared" si="16"/>
        <v>21</v>
      </c>
      <c r="AU28" s="21">
        <f t="shared" si="10"/>
        <v>0</v>
      </c>
      <c r="AV28" s="21">
        <f t="shared" si="11"/>
        <v>11</v>
      </c>
      <c r="AW28" s="21">
        <f t="shared" si="12"/>
        <v>21</v>
      </c>
      <c r="AX28" s="21" t="str">
        <f>IF((AW28=AV1), "Correct", "Error")</f>
        <v>Error</v>
      </c>
    </row>
    <row r="29" spans="1:50" ht="15.75" customHeight="1" x14ac:dyDescent="0.2">
      <c r="A29" s="11">
        <v>24</v>
      </c>
      <c r="B29" s="45" t="s">
        <v>52</v>
      </c>
      <c r="C29" s="39"/>
      <c r="D29" s="12"/>
      <c r="E29" s="13" t="s">
        <v>21</v>
      </c>
      <c r="F29" s="13" t="s">
        <v>21</v>
      </c>
      <c r="G29" s="13" t="s">
        <v>21</v>
      </c>
      <c r="H29" s="13" t="s">
        <v>21</v>
      </c>
      <c r="I29" s="13" t="s">
        <v>21</v>
      </c>
      <c r="J29" s="12"/>
      <c r="K29" s="12"/>
      <c r="L29" s="13" t="s">
        <v>25</v>
      </c>
      <c r="M29" s="13" t="s">
        <v>25</v>
      </c>
      <c r="N29" s="13" t="s">
        <v>25</v>
      </c>
      <c r="O29" s="13" t="s">
        <v>27</v>
      </c>
      <c r="P29" s="13" t="s">
        <v>25</v>
      </c>
      <c r="Q29" s="13" t="s">
        <v>23</v>
      </c>
      <c r="R29" s="12"/>
      <c r="S29" s="13" t="s">
        <v>25</v>
      </c>
      <c r="T29" s="13" t="s">
        <v>21</v>
      </c>
      <c r="U29" s="13" t="s">
        <v>21</v>
      </c>
      <c r="V29" s="13" t="s">
        <v>21</v>
      </c>
      <c r="W29" s="13"/>
      <c r="X29" s="12"/>
      <c r="Y29" s="12"/>
      <c r="Z29" s="13"/>
      <c r="AA29" s="13"/>
      <c r="AB29" s="13"/>
      <c r="AC29" s="13"/>
      <c r="AD29" s="13"/>
      <c r="AE29" s="13"/>
      <c r="AF29" s="12"/>
      <c r="AG29" s="13"/>
      <c r="AH29" s="13"/>
      <c r="AI29" s="14">
        <f t="shared" si="13"/>
        <v>13</v>
      </c>
      <c r="AJ29" s="15">
        <f t="shared" si="2"/>
        <v>1</v>
      </c>
      <c r="AK29" s="16">
        <v>8</v>
      </c>
      <c r="AL29" s="17">
        <f t="shared" si="3"/>
        <v>0</v>
      </c>
      <c r="AM29" s="17">
        <f t="shared" si="4"/>
        <v>0</v>
      </c>
      <c r="AN29" s="25">
        <v>9.5</v>
      </c>
      <c r="AO29" s="19">
        <f t="shared" si="14"/>
        <v>1</v>
      </c>
      <c r="AP29" s="19">
        <f t="shared" si="5"/>
        <v>0</v>
      </c>
      <c r="AQ29" s="15">
        <f t="shared" si="6"/>
        <v>0</v>
      </c>
      <c r="AR29" s="15">
        <f t="shared" si="7"/>
        <v>0</v>
      </c>
      <c r="AS29" s="20">
        <f t="shared" si="8"/>
        <v>8.5</v>
      </c>
      <c r="AT29" s="21">
        <f t="shared" si="16"/>
        <v>22</v>
      </c>
      <c r="AU29" s="21">
        <f t="shared" si="10"/>
        <v>0</v>
      </c>
      <c r="AV29" s="21">
        <f t="shared" si="11"/>
        <v>10.5</v>
      </c>
      <c r="AW29" s="21">
        <f t="shared" si="12"/>
        <v>22</v>
      </c>
      <c r="AX29" s="21" t="str">
        <f>IF((AW29=AV1), "Correct", "Error")</f>
        <v>Error</v>
      </c>
    </row>
    <row r="30" spans="1:50" ht="15.75" customHeight="1" x14ac:dyDescent="0.2">
      <c r="A30" s="11">
        <v>25</v>
      </c>
      <c r="B30" s="45" t="s">
        <v>53</v>
      </c>
      <c r="C30" s="39"/>
      <c r="D30" s="12"/>
      <c r="E30" s="13" t="s">
        <v>21</v>
      </c>
      <c r="F30" s="13" t="s">
        <v>21</v>
      </c>
      <c r="G30" s="13" t="s">
        <v>21</v>
      </c>
      <c r="H30" s="13" t="s">
        <v>21</v>
      </c>
      <c r="I30" s="13" t="s">
        <v>27</v>
      </c>
      <c r="J30" s="12"/>
      <c r="K30" s="12"/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3" t="s">
        <v>23</v>
      </c>
      <c r="R30" s="12"/>
      <c r="S30" s="13" t="s">
        <v>21</v>
      </c>
      <c r="T30" s="13" t="s">
        <v>21</v>
      </c>
      <c r="U30" s="13" t="s">
        <v>21</v>
      </c>
      <c r="V30" s="13" t="s">
        <v>21</v>
      </c>
      <c r="W30" s="13"/>
      <c r="X30" s="12"/>
      <c r="Y30" s="12"/>
      <c r="Z30" s="13"/>
      <c r="AA30" s="13"/>
      <c r="AB30" s="13"/>
      <c r="AC30" s="13"/>
      <c r="AD30" s="13"/>
      <c r="AE30" s="13"/>
      <c r="AF30" s="12"/>
      <c r="AG30" s="13"/>
      <c r="AH30" s="13"/>
      <c r="AI30" s="14">
        <f t="shared" si="13"/>
        <v>13</v>
      </c>
      <c r="AJ30" s="15">
        <f t="shared" si="2"/>
        <v>1</v>
      </c>
      <c r="AK30" s="16">
        <v>8</v>
      </c>
      <c r="AL30" s="17">
        <f t="shared" si="3"/>
        <v>0</v>
      </c>
      <c r="AM30" s="17">
        <f t="shared" si="4"/>
        <v>0</v>
      </c>
      <c r="AN30" s="25">
        <v>17</v>
      </c>
      <c r="AO30" s="19">
        <f t="shared" si="14"/>
        <v>1</v>
      </c>
      <c r="AP30" s="19">
        <f t="shared" si="5"/>
        <v>0</v>
      </c>
      <c r="AQ30" s="15">
        <f t="shared" si="6"/>
        <v>0</v>
      </c>
      <c r="AR30" s="15">
        <f t="shared" si="7"/>
        <v>0</v>
      </c>
      <c r="AS30" s="20">
        <f t="shared" si="8"/>
        <v>16</v>
      </c>
      <c r="AT30" s="21">
        <f t="shared" si="16"/>
        <v>22</v>
      </c>
      <c r="AU30" s="21">
        <f t="shared" si="10"/>
        <v>0</v>
      </c>
      <c r="AV30" s="21">
        <f t="shared" si="11"/>
        <v>18</v>
      </c>
      <c r="AW30" s="21">
        <f t="shared" si="12"/>
        <v>22</v>
      </c>
      <c r="AX30" s="21" t="str">
        <f>IF((AW30=AV1), "Correct", "Error")</f>
        <v>Error</v>
      </c>
    </row>
    <row r="31" spans="1:50" ht="15.75" customHeight="1" x14ac:dyDescent="0.2">
      <c r="A31" s="11">
        <v>26</v>
      </c>
      <c r="B31" s="45" t="s">
        <v>54</v>
      </c>
      <c r="C31" s="39"/>
      <c r="D31" s="12"/>
      <c r="E31" s="13" t="s">
        <v>25</v>
      </c>
      <c r="F31" s="13" t="s">
        <v>25</v>
      </c>
      <c r="G31" s="13" t="s">
        <v>25</v>
      </c>
      <c r="H31" s="13" t="s">
        <v>25</v>
      </c>
      <c r="I31" s="13" t="s">
        <v>25</v>
      </c>
      <c r="J31" s="12"/>
      <c r="K31" s="12"/>
      <c r="L31" s="13" t="s">
        <v>21</v>
      </c>
      <c r="M31" s="13" t="s">
        <v>21</v>
      </c>
      <c r="N31" s="13" t="s">
        <v>21</v>
      </c>
      <c r="O31" s="13" t="s">
        <v>21</v>
      </c>
      <c r="P31" s="13" t="s">
        <v>21</v>
      </c>
      <c r="Q31" s="13" t="s">
        <v>23</v>
      </c>
      <c r="R31" s="12"/>
      <c r="S31" s="13" t="s">
        <v>21</v>
      </c>
      <c r="T31" s="13" t="s">
        <v>21</v>
      </c>
      <c r="U31" s="13" t="s">
        <v>21</v>
      </c>
      <c r="V31" s="13"/>
      <c r="W31" s="13"/>
      <c r="X31" s="12"/>
      <c r="Y31" s="12"/>
      <c r="Z31" s="13"/>
      <c r="AA31" s="13"/>
      <c r="AB31" s="13"/>
      <c r="AC31" s="13"/>
      <c r="AD31" s="13"/>
      <c r="AE31" s="13"/>
      <c r="AF31" s="12"/>
      <c r="AG31" s="13"/>
      <c r="AH31" s="13"/>
      <c r="AI31" s="14">
        <f t="shared" si="13"/>
        <v>13</v>
      </c>
      <c r="AJ31" s="15">
        <f t="shared" si="2"/>
        <v>0</v>
      </c>
      <c r="AK31" s="16">
        <v>8</v>
      </c>
      <c r="AL31" s="17">
        <f t="shared" si="3"/>
        <v>0</v>
      </c>
      <c r="AM31" s="17">
        <f t="shared" si="4"/>
        <v>0</v>
      </c>
      <c r="AN31" s="25">
        <v>7</v>
      </c>
      <c r="AO31" s="19">
        <f t="shared" si="14"/>
        <v>0</v>
      </c>
      <c r="AP31" s="19">
        <f t="shared" si="5"/>
        <v>0</v>
      </c>
      <c r="AQ31" s="15">
        <f t="shared" si="6"/>
        <v>0</v>
      </c>
      <c r="AR31" s="15">
        <f t="shared" si="7"/>
        <v>0</v>
      </c>
      <c r="AS31" s="20">
        <f t="shared" si="8"/>
        <v>7</v>
      </c>
      <c r="AT31" s="21">
        <f t="shared" si="16"/>
        <v>21</v>
      </c>
      <c r="AU31" s="21">
        <f t="shared" si="10"/>
        <v>0</v>
      </c>
      <c r="AV31" s="21">
        <f t="shared" si="11"/>
        <v>9</v>
      </c>
      <c r="AW31" s="21">
        <f t="shared" si="12"/>
        <v>21</v>
      </c>
      <c r="AX31" s="21" t="str">
        <f>IF((AW31=AV1), "Correct", "Error")</f>
        <v>Error</v>
      </c>
    </row>
    <row r="32" spans="1:50" ht="15.75" customHeight="1" x14ac:dyDescent="0.2">
      <c r="A32" s="11">
        <v>27</v>
      </c>
      <c r="B32" s="45" t="s">
        <v>55</v>
      </c>
      <c r="C32" s="39"/>
      <c r="D32" s="12"/>
      <c r="E32" s="13" t="s">
        <v>25</v>
      </c>
      <c r="F32" s="13" t="s">
        <v>25</v>
      </c>
      <c r="G32" s="13" t="s">
        <v>25</v>
      </c>
      <c r="H32" s="13" t="s">
        <v>25</v>
      </c>
      <c r="I32" s="13" t="s">
        <v>25</v>
      </c>
      <c r="J32" s="12"/>
      <c r="K32" s="12"/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3" t="s">
        <v>23</v>
      </c>
      <c r="R32" s="12"/>
      <c r="S32" s="13" t="s">
        <v>21</v>
      </c>
      <c r="T32" s="13" t="s">
        <v>21</v>
      </c>
      <c r="U32" s="13" t="s">
        <v>21</v>
      </c>
      <c r="V32" s="13"/>
      <c r="W32" s="13"/>
      <c r="X32" s="12"/>
      <c r="Y32" s="12"/>
      <c r="Z32" s="13"/>
      <c r="AA32" s="13"/>
      <c r="AB32" s="13"/>
      <c r="AC32" s="13"/>
      <c r="AD32" s="13"/>
      <c r="AE32" s="13"/>
      <c r="AF32" s="12"/>
      <c r="AG32" s="13"/>
      <c r="AH32" s="13"/>
      <c r="AI32" s="14">
        <f t="shared" si="13"/>
        <v>13</v>
      </c>
      <c r="AJ32" s="15">
        <f t="shared" si="2"/>
        <v>0</v>
      </c>
      <c r="AK32" s="16">
        <v>8</v>
      </c>
      <c r="AL32" s="17">
        <f t="shared" si="3"/>
        <v>0</v>
      </c>
      <c r="AM32" s="17">
        <f t="shared" si="4"/>
        <v>0</v>
      </c>
      <c r="AN32" s="25">
        <v>5</v>
      </c>
      <c r="AO32" s="19">
        <f t="shared" si="14"/>
        <v>0</v>
      </c>
      <c r="AP32" s="19">
        <f t="shared" si="5"/>
        <v>0</v>
      </c>
      <c r="AQ32" s="15">
        <f t="shared" si="6"/>
        <v>0</v>
      </c>
      <c r="AR32" s="15">
        <f t="shared" si="7"/>
        <v>0</v>
      </c>
      <c r="AS32" s="20">
        <f t="shared" si="8"/>
        <v>5</v>
      </c>
      <c r="AT32" s="21">
        <f t="shared" si="16"/>
        <v>21</v>
      </c>
      <c r="AU32" s="21">
        <f t="shared" si="10"/>
        <v>0</v>
      </c>
      <c r="AV32" s="21">
        <f t="shared" si="11"/>
        <v>7</v>
      </c>
      <c r="AW32" s="21">
        <f t="shared" si="12"/>
        <v>21</v>
      </c>
      <c r="AX32" s="21" t="str">
        <f>IF((AW32=AV1), "Correct", "Error")</f>
        <v>Error</v>
      </c>
    </row>
    <row r="33" spans="1:50" ht="15.75" customHeight="1" x14ac:dyDescent="0.2">
      <c r="A33" s="11">
        <v>28</v>
      </c>
      <c r="B33" s="45" t="s">
        <v>56</v>
      </c>
      <c r="C33" s="39"/>
      <c r="D33" s="12"/>
      <c r="E33" s="13" t="s">
        <v>25</v>
      </c>
      <c r="F33" s="13" t="s">
        <v>25</v>
      </c>
      <c r="G33" s="13" t="s">
        <v>25</v>
      </c>
      <c r="H33" s="13" t="s">
        <v>25</v>
      </c>
      <c r="I33" s="13" t="s">
        <v>25</v>
      </c>
      <c r="J33" s="12"/>
      <c r="K33" s="12"/>
      <c r="L33" s="13" t="s">
        <v>25</v>
      </c>
      <c r="M33" s="13" t="s">
        <v>25</v>
      </c>
      <c r="N33" s="13" t="s">
        <v>25</v>
      </c>
      <c r="O33" s="13" t="s">
        <v>25</v>
      </c>
      <c r="P33" s="13" t="s">
        <v>25</v>
      </c>
      <c r="Q33" s="13" t="s">
        <v>23</v>
      </c>
      <c r="R33" s="12"/>
      <c r="S33" s="13" t="s">
        <v>25</v>
      </c>
      <c r="T33" s="13" t="s">
        <v>25</v>
      </c>
      <c r="U33" s="13" t="s">
        <v>25</v>
      </c>
      <c r="V33" s="13"/>
      <c r="W33" s="13"/>
      <c r="X33" s="12"/>
      <c r="Y33" s="12"/>
      <c r="Z33" s="13"/>
      <c r="AA33" s="13"/>
      <c r="AB33" s="13"/>
      <c r="AC33" s="13"/>
      <c r="AD33" s="13"/>
      <c r="AE33" s="13"/>
      <c r="AF33" s="12"/>
      <c r="AG33" s="13"/>
      <c r="AH33" s="13"/>
      <c r="AI33" s="14">
        <f t="shared" si="13"/>
        <v>13</v>
      </c>
      <c r="AJ33" s="15">
        <f t="shared" si="2"/>
        <v>0</v>
      </c>
      <c r="AK33" s="16">
        <v>8</v>
      </c>
      <c r="AL33" s="17">
        <f t="shared" si="3"/>
        <v>0</v>
      </c>
      <c r="AM33" s="17">
        <f t="shared" si="4"/>
        <v>0</v>
      </c>
      <c r="AN33" s="25">
        <v>3.5</v>
      </c>
      <c r="AO33" s="19">
        <f t="shared" si="14"/>
        <v>0</v>
      </c>
      <c r="AP33" s="19">
        <f t="shared" si="5"/>
        <v>0</v>
      </c>
      <c r="AQ33" s="15">
        <f t="shared" si="6"/>
        <v>0</v>
      </c>
      <c r="AR33" s="15">
        <f t="shared" si="7"/>
        <v>0</v>
      </c>
      <c r="AS33" s="20">
        <f t="shared" si="8"/>
        <v>3.5</v>
      </c>
      <c r="AT33" s="21">
        <f t="shared" si="16"/>
        <v>21</v>
      </c>
      <c r="AU33" s="21">
        <f t="shared" si="10"/>
        <v>0</v>
      </c>
      <c r="AV33" s="21">
        <f t="shared" si="11"/>
        <v>5.5</v>
      </c>
      <c r="AW33" s="21">
        <f t="shared" si="12"/>
        <v>21</v>
      </c>
      <c r="AX33" s="21" t="str">
        <f>IF((AW33=AV1), "Correct", "Error")</f>
        <v>Error</v>
      </c>
    </row>
    <row r="34" spans="1:50" ht="15.75" customHeight="1" x14ac:dyDescent="0.2">
      <c r="A34" s="11">
        <v>29</v>
      </c>
      <c r="B34" s="45" t="s">
        <v>57</v>
      </c>
      <c r="C34" s="39"/>
      <c r="D34" s="12"/>
      <c r="E34" s="13" t="s">
        <v>25</v>
      </c>
      <c r="F34" s="13" t="s">
        <v>25</v>
      </c>
      <c r="G34" s="13" t="s">
        <v>25</v>
      </c>
      <c r="H34" s="13" t="s">
        <v>25</v>
      </c>
      <c r="I34" s="13" t="s">
        <v>25</v>
      </c>
      <c r="J34" s="12"/>
      <c r="K34" s="12"/>
      <c r="L34" s="13" t="s">
        <v>25</v>
      </c>
      <c r="M34" s="13" t="s">
        <v>25</v>
      </c>
      <c r="N34" s="13" t="s">
        <v>25</v>
      </c>
      <c r="O34" s="13" t="s">
        <v>25</v>
      </c>
      <c r="P34" s="13" t="s">
        <v>25</v>
      </c>
      <c r="Q34" s="13" t="s">
        <v>23</v>
      </c>
      <c r="R34" s="12"/>
      <c r="S34" s="13" t="s">
        <v>25</v>
      </c>
      <c r="T34" s="13" t="s">
        <v>25</v>
      </c>
      <c r="U34" s="13" t="s">
        <v>25</v>
      </c>
      <c r="V34" s="13"/>
      <c r="W34" s="13"/>
      <c r="X34" s="12"/>
      <c r="Y34" s="12"/>
      <c r="Z34" s="13"/>
      <c r="AA34" s="13"/>
      <c r="AB34" s="13"/>
      <c r="AC34" s="13"/>
      <c r="AD34" s="13"/>
      <c r="AE34" s="13"/>
      <c r="AF34" s="12"/>
      <c r="AG34" s="13"/>
      <c r="AH34" s="13"/>
      <c r="AI34" s="14">
        <f t="shared" si="13"/>
        <v>13</v>
      </c>
      <c r="AJ34" s="15">
        <f t="shared" si="2"/>
        <v>0</v>
      </c>
      <c r="AK34" s="16">
        <v>8</v>
      </c>
      <c r="AL34" s="17">
        <f t="shared" si="3"/>
        <v>0</v>
      </c>
      <c r="AM34" s="17">
        <f t="shared" si="4"/>
        <v>0</v>
      </c>
      <c r="AN34" s="25">
        <v>6</v>
      </c>
      <c r="AO34" s="19">
        <f t="shared" si="14"/>
        <v>0</v>
      </c>
      <c r="AP34" s="19">
        <f t="shared" si="5"/>
        <v>0</v>
      </c>
      <c r="AQ34" s="15">
        <f t="shared" si="6"/>
        <v>0</v>
      </c>
      <c r="AR34" s="15">
        <f t="shared" si="7"/>
        <v>0</v>
      </c>
      <c r="AS34" s="20">
        <f t="shared" si="8"/>
        <v>6</v>
      </c>
      <c r="AT34" s="21">
        <f>AI34+AK34+AO34+AP34</f>
        <v>21</v>
      </c>
      <c r="AU34" s="21">
        <f t="shared" si="10"/>
        <v>0</v>
      </c>
      <c r="AV34" s="21">
        <f t="shared" si="11"/>
        <v>8</v>
      </c>
      <c r="AW34" s="21">
        <f t="shared" si="12"/>
        <v>21</v>
      </c>
      <c r="AX34" s="21" t="str">
        <f>IF((AW34=AV1), "Correct", "Error")</f>
        <v>Error</v>
      </c>
    </row>
    <row r="35" spans="1:50" ht="15.75" customHeight="1" x14ac:dyDescent="0.2">
      <c r="A35" s="11">
        <v>30</v>
      </c>
      <c r="B35" s="45" t="s">
        <v>58</v>
      </c>
      <c r="C35" s="39"/>
      <c r="D35" s="12"/>
      <c r="E35" s="13" t="s">
        <v>25</v>
      </c>
      <c r="F35" s="13" t="s">
        <v>25</v>
      </c>
      <c r="G35" s="13" t="s">
        <v>25</v>
      </c>
      <c r="H35" s="13" t="s">
        <v>25</v>
      </c>
      <c r="I35" s="13" t="s">
        <v>25</v>
      </c>
      <c r="J35" s="12"/>
      <c r="K35" s="12"/>
      <c r="L35" s="13" t="s">
        <v>25</v>
      </c>
      <c r="M35" s="13" t="s">
        <v>25</v>
      </c>
      <c r="N35" s="13" t="s">
        <v>25</v>
      </c>
      <c r="O35" s="13" t="s">
        <v>25</v>
      </c>
      <c r="P35" s="13" t="s">
        <v>25</v>
      </c>
      <c r="Q35" s="13" t="s">
        <v>23</v>
      </c>
      <c r="R35" s="12"/>
      <c r="S35" s="13" t="s">
        <v>25</v>
      </c>
      <c r="T35" s="13" t="s">
        <v>25</v>
      </c>
      <c r="U35" s="13" t="s">
        <v>25</v>
      </c>
      <c r="V35" s="13"/>
      <c r="W35" s="13"/>
      <c r="X35" s="12"/>
      <c r="Y35" s="12"/>
      <c r="Z35" s="13"/>
      <c r="AA35" s="13"/>
      <c r="AB35" s="13"/>
      <c r="AC35" s="13"/>
      <c r="AD35" s="13"/>
      <c r="AE35" s="13"/>
      <c r="AF35" s="12"/>
      <c r="AG35" s="13"/>
      <c r="AH35" s="13"/>
      <c r="AI35" s="14">
        <f t="shared" si="13"/>
        <v>13</v>
      </c>
      <c r="AJ35" s="15">
        <f t="shared" si="2"/>
        <v>0</v>
      </c>
      <c r="AK35" s="16">
        <v>8</v>
      </c>
      <c r="AL35" s="17">
        <f t="shared" si="3"/>
        <v>0</v>
      </c>
      <c r="AM35" s="17">
        <f t="shared" si="4"/>
        <v>0</v>
      </c>
      <c r="AN35" s="25">
        <v>3</v>
      </c>
      <c r="AO35" s="19">
        <f t="shared" si="14"/>
        <v>0</v>
      </c>
      <c r="AP35" s="19">
        <f t="shared" si="5"/>
        <v>0</v>
      </c>
      <c r="AQ35" s="15">
        <f t="shared" si="6"/>
        <v>0</v>
      </c>
      <c r="AR35" s="15">
        <f t="shared" si="7"/>
        <v>0</v>
      </c>
      <c r="AS35" s="20">
        <f t="shared" si="8"/>
        <v>3</v>
      </c>
      <c r="AT35" s="21">
        <f t="shared" ref="AT35:AT40" si="17">AI35+AK35+AO35</f>
        <v>21</v>
      </c>
      <c r="AU35" s="21">
        <f t="shared" si="10"/>
        <v>0</v>
      </c>
      <c r="AV35" s="21">
        <f t="shared" si="11"/>
        <v>5</v>
      </c>
      <c r="AW35" s="21">
        <f t="shared" si="12"/>
        <v>21</v>
      </c>
      <c r="AX35" s="21" t="str">
        <f>IF((AW35=AV1), "Correct", "Error")</f>
        <v>Error</v>
      </c>
    </row>
    <row r="36" spans="1:50" ht="15.75" customHeight="1" x14ac:dyDescent="0.2">
      <c r="A36" s="11">
        <v>31</v>
      </c>
      <c r="B36" s="45" t="s">
        <v>59</v>
      </c>
      <c r="C36" s="39"/>
      <c r="D36" s="12"/>
      <c r="E36" s="13" t="s">
        <v>25</v>
      </c>
      <c r="F36" s="13" t="s">
        <v>25</v>
      </c>
      <c r="G36" s="13" t="s">
        <v>25</v>
      </c>
      <c r="H36" s="13" t="s">
        <v>25</v>
      </c>
      <c r="I36" s="13" t="s">
        <v>28</v>
      </c>
      <c r="J36" s="12"/>
      <c r="K36" s="12"/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3" t="s">
        <v>23</v>
      </c>
      <c r="R36" s="12"/>
      <c r="S36" s="13" t="s">
        <v>21</v>
      </c>
      <c r="T36" s="13" t="s">
        <v>21</v>
      </c>
      <c r="U36" s="13" t="s">
        <v>21</v>
      </c>
      <c r="V36" s="13"/>
      <c r="W36" s="13"/>
      <c r="X36" s="12"/>
      <c r="Y36" s="12"/>
      <c r="Z36" s="13"/>
      <c r="AA36" s="13"/>
      <c r="AB36" s="13"/>
      <c r="AC36" s="13"/>
      <c r="AD36" s="13"/>
      <c r="AE36" s="13"/>
      <c r="AF36" s="12"/>
      <c r="AG36" s="13"/>
      <c r="AH36" s="13"/>
      <c r="AI36" s="14">
        <f t="shared" si="13"/>
        <v>12.5</v>
      </c>
      <c r="AJ36" s="15">
        <f t="shared" si="2"/>
        <v>0.5</v>
      </c>
      <c r="AK36" s="16">
        <v>8</v>
      </c>
      <c r="AL36" s="17">
        <f t="shared" si="3"/>
        <v>0</v>
      </c>
      <c r="AM36" s="17">
        <f t="shared" si="4"/>
        <v>0</v>
      </c>
      <c r="AN36" s="25">
        <v>14.5</v>
      </c>
      <c r="AO36" s="19">
        <f t="shared" si="14"/>
        <v>0.5</v>
      </c>
      <c r="AP36" s="19">
        <f t="shared" si="5"/>
        <v>0</v>
      </c>
      <c r="AQ36" s="15">
        <f t="shared" si="6"/>
        <v>0</v>
      </c>
      <c r="AR36" s="15">
        <f t="shared" si="7"/>
        <v>0</v>
      </c>
      <c r="AS36" s="20">
        <f t="shared" si="8"/>
        <v>14</v>
      </c>
      <c r="AT36" s="21">
        <f t="shared" si="17"/>
        <v>21</v>
      </c>
      <c r="AU36" s="21">
        <f t="shared" si="10"/>
        <v>0</v>
      </c>
      <c r="AV36" s="21">
        <f t="shared" si="11"/>
        <v>16</v>
      </c>
      <c r="AW36" s="21">
        <f t="shared" si="12"/>
        <v>21</v>
      </c>
      <c r="AX36" s="21" t="str">
        <f>IF((AW36=AV1), "Correct", "Error")</f>
        <v>Error</v>
      </c>
    </row>
    <row r="37" spans="1:50" ht="15.75" customHeight="1" x14ac:dyDescent="0.2">
      <c r="A37" s="11">
        <v>32</v>
      </c>
      <c r="B37" s="45" t="s">
        <v>60</v>
      </c>
      <c r="C37" s="39"/>
      <c r="D37" s="12"/>
      <c r="E37" s="13" t="s">
        <v>25</v>
      </c>
      <c r="F37" s="13" t="s">
        <v>25</v>
      </c>
      <c r="G37" s="13" t="s">
        <v>25</v>
      </c>
      <c r="H37" s="13" t="s">
        <v>25</v>
      </c>
      <c r="I37" s="13" t="s">
        <v>25</v>
      </c>
      <c r="J37" s="12"/>
      <c r="K37" s="12"/>
      <c r="L37" s="13" t="s">
        <v>25</v>
      </c>
      <c r="M37" s="13" t="s">
        <v>25</v>
      </c>
      <c r="N37" s="13" t="s">
        <v>25</v>
      </c>
      <c r="O37" s="13" t="s">
        <v>25</v>
      </c>
      <c r="P37" s="13" t="s">
        <v>25</v>
      </c>
      <c r="Q37" s="13" t="s">
        <v>23</v>
      </c>
      <c r="R37" s="12"/>
      <c r="S37" s="13" t="s">
        <v>25</v>
      </c>
      <c r="T37" s="13" t="s">
        <v>25</v>
      </c>
      <c r="U37" s="13" t="s">
        <v>25</v>
      </c>
      <c r="V37" s="23" t="s">
        <v>41</v>
      </c>
      <c r="W37" s="23" t="s">
        <v>41</v>
      </c>
      <c r="X37" s="23" t="s">
        <v>41</v>
      </c>
      <c r="Y37" s="23" t="s">
        <v>41</v>
      </c>
      <c r="Z37" s="23" t="s">
        <v>41</v>
      </c>
      <c r="AA37" s="23" t="s">
        <v>41</v>
      </c>
      <c r="AB37" s="23" t="s">
        <v>41</v>
      </c>
      <c r="AC37" s="23" t="s">
        <v>41</v>
      </c>
      <c r="AD37" s="23" t="s">
        <v>41</v>
      </c>
      <c r="AE37" s="23" t="s">
        <v>41</v>
      </c>
      <c r="AF37" s="23" t="s">
        <v>41</v>
      </c>
      <c r="AG37" s="23" t="s">
        <v>41</v>
      </c>
      <c r="AH37" s="13"/>
      <c r="AI37" s="14">
        <f t="shared" si="13"/>
        <v>13</v>
      </c>
      <c r="AJ37" s="15">
        <f t="shared" si="2"/>
        <v>0</v>
      </c>
      <c r="AK37" s="16">
        <v>5</v>
      </c>
      <c r="AL37" s="17">
        <f t="shared" si="3"/>
        <v>12</v>
      </c>
      <c r="AM37" s="17">
        <f t="shared" si="4"/>
        <v>0</v>
      </c>
      <c r="AN37" s="25">
        <v>0</v>
      </c>
      <c r="AO37" s="19">
        <f t="shared" si="14"/>
        <v>0</v>
      </c>
      <c r="AP37" s="19">
        <f t="shared" si="5"/>
        <v>0</v>
      </c>
      <c r="AQ37" s="15">
        <f t="shared" si="6"/>
        <v>0</v>
      </c>
      <c r="AR37" s="15">
        <f t="shared" si="7"/>
        <v>12</v>
      </c>
      <c r="AS37" s="20">
        <f t="shared" si="8"/>
        <v>0</v>
      </c>
      <c r="AT37" s="21">
        <f t="shared" si="17"/>
        <v>18</v>
      </c>
      <c r="AU37" s="21">
        <f t="shared" si="10"/>
        <v>0</v>
      </c>
      <c r="AV37" s="21">
        <f t="shared" si="11"/>
        <v>2</v>
      </c>
      <c r="AW37" s="21">
        <f t="shared" si="12"/>
        <v>30</v>
      </c>
      <c r="AX37" s="21" t="str">
        <f>IF((AW37=AV1), "Correct", "Error")</f>
        <v>Correct</v>
      </c>
    </row>
    <row r="38" spans="1:50" ht="15.75" customHeight="1" x14ac:dyDescent="0.2">
      <c r="A38" s="11">
        <v>33</v>
      </c>
      <c r="B38" s="45" t="s">
        <v>61</v>
      </c>
      <c r="C38" s="39"/>
      <c r="D38" s="12"/>
      <c r="E38" s="13" t="s">
        <v>25</v>
      </c>
      <c r="F38" s="13" t="s">
        <v>25</v>
      </c>
      <c r="G38" s="13" t="s">
        <v>27</v>
      </c>
      <c r="H38" s="13" t="s">
        <v>28</v>
      </c>
      <c r="I38" s="13" t="s">
        <v>25</v>
      </c>
      <c r="J38" s="12"/>
      <c r="K38" s="12"/>
      <c r="L38" s="13" t="s">
        <v>25</v>
      </c>
      <c r="M38" s="13" t="s">
        <v>25</v>
      </c>
      <c r="N38" s="13" t="s">
        <v>25</v>
      </c>
      <c r="O38" s="13" t="s">
        <v>25</v>
      </c>
      <c r="P38" s="13" t="s">
        <v>25</v>
      </c>
      <c r="Q38" s="13" t="s">
        <v>23</v>
      </c>
      <c r="R38" s="12"/>
      <c r="S38" s="13" t="s">
        <v>25</v>
      </c>
      <c r="T38" s="13" t="s">
        <v>25</v>
      </c>
      <c r="U38" s="13" t="s">
        <v>28</v>
      </c>
      <c r="V38" s="13"/>
      <c r="W38" s="13"/>
      <c r="X38" s="12"/>
      <c r="Y38" s="12"/>
      <c r="Z38" s="13"/>
      <c r="AA38" s="13"/>
      <c r="AB38" s="13"/>
      <c r="AC38" s="13"/>
      <c r="AD38" s="13"/>
      <c r="AE38" s="13"/>
      <c r="AF38" s="12"/>
      <c r="AG38" s="13"/>
      <c r="AH38" s="13"/>
      <c r="AI38" s="14">
        <f t="shared" si="13"/>
        <v>11</v>
      </c>
      <c r="AJ38" s="15">
        <f t="shared" si="2"/>
        <v>2</v>
      </c>
      <c r="AK38" s="16">
        <v>8</v>
      </c>
      <c r="AL38" s="17">
        <f t="shared" si="3"/>
        <v>0</v>
      </c>
      <c r="AM38" s="17">
        <f t="shared" si="4"/>
        <v>0</v>
      </c>
      <c r="AN38" s="25">
        <v>3</v>
      </c>
      <c r="AO38" s="19">
        <f t="shared" si="14"/>
        <v>2</v>
      </c>
      <c r="AP38" s="19">
        <f t="shared" si="5"/>
        <v>0</v>
      </c>
      <c r="AQ38" s="15">
        <f t="shared" si="6"/>
        <v>0</v>
      </c>
      <c r="AR38" s="15">
        <f t="shared" si="7"/>
        <v>0</v>
      </c>
      <c r="AS38" s="20">
        <f t="shared" si="8"/>
        <v>1</v>
      </c>
      <c r="AT38" s="21">
        <f t="shared" si="17"/>
        <v>21</v>
      </c>
      <c r="AU38" s="21">
        <f t="shared" si="10"/>
        <v>0</v>
      </c>
      <c r="AV38" s="21">
        <f t="shared" si="11"/>
        <v>3</v>
      </c>
      <c r="AW38" s="21">
        <f t="shared" si="12"/>
        <v>21</v>
      </c>
      <c r="AX38" s="21" t="str">
        <f>IF((AW38=AV1), "Correct", "Error")</f>
        <v>Error</v>
      </c>
    </row>
    <row r="39" spans="1:50" ht="15.75" customHeight="1" x14ac:dyDescent="0.2">
      <c r="A39" s="11">
        <v>34</v>
      </c>
      <c r="B39" s="45" t="s">
        <v>62</v>
      </c>
      <c r="C39" s="39"/>
      <c r="D39" s="12"/>
      <c r="E39" s="13" t="s">
        <v>25</v>
      </c>
      <c r="F39" s="13" t="s">
        <v>25</v>
      </c>
      <c r="G39" s="13" t="s">
        <v>25</v>
      </c>
      <c r="H39" s="13" t="s">
        <v>25</v>
      </c>
      <c r="I39" s="13" t="s">
        <v>25</v>
      </c>
      <c r="J39" s="12"/>
      <c r="K39" s="12"/>
      <c r="L39" s="13" t="s">
        <v>25</v>
      </c>
      <c r="M39" s="13" t="s">
        <v>25</v>
      </c>
      <c r="N39" s="13" t="s">
        <v>25</v>
      </c>
      <c r="O39" s="13" t="s">
        <v>25</v>
      </c>
      <c r="P39" s="13" t="s">
        <v>25</v>
      </c>
      <c r="Q39" s="13" t="s">
        <v>23</v>
      </c>
      <c r="R39" s="12"/>
      <c r="S39" s="13" t="s">
        <v>25</v>
      </c>
      <c r="T39" s="13" t="s">
        <v>25</v>
      </c>
      <c r="U39" s="13" t="s">
        <v>25</v>
      </c>
      <c r="V39" s="13"/>
      <c r="W39" s="13"/>
      <c r="X39" s="12"/>
      <c r="Y39" s="12"/>
      <c r="Z39" s="13"/>
      <c r="AA39" s="13"/>
      <c r="AB39" s="13"/>
      <c r="AC39" s="13"/>
      <c r="AD39" s="13"/>
      <c r="AE39" s="13"/>
      <c r="AF39" s="12"/>
      <c r="AG39" s="13"/>
      <c r="AH39" s="13"/>
      <c r="AI39" s="14">
        <f t="shared" si="13"/>
        <v>13</v>
      </c>
      <c r="AJ39" s="15">
        <f t="shared" si="2"/>
        <v>0</v>
      </c>
      <c r="AK39" s="16">
        <v>8</v>
      </c>
      <c r="AL39" s="17">
        <f t="shared" si="3"/>
        <v>0</v>
      </c>
      <c r="AM39" s="17">
        <f t="shared" si="4"/>
        <v>0</v>
      </c>
      <c r="AN39" s="25">
        <v>10</v>
      </c>
      <c r="AO39" s="19">
        <f t="shared" si="14"/>
        <v>0</v>
      </c>
      <c r="AP39" s="19">
        <f t="shared" si="5"/>
        <v>0</v>
      </c>
      <c r="AQ39" s="15">
        <f t="shared" si="6"/>
        <v>0</v>
      </c>
      <c r="AR39" s="15">
        <f t="shared" si="7"/>
        <v>0</v>
      </c>
      <c r="AS39" s="20">
        <f t="shared" si="8"/>
        <v>10</v>
      </c>
      <c r="AT39" s="21">
        <f t="shared" si="17"/>
        <v>21</v>
      </c>
      <c r="AU39" s="21">
        <f t="shared" si="10"/>
        <v>0</v>
      </c>
      <c r="AV39" s="21">
        <f t="shared" si="11"/>
        <v>12</v>
      </c>
      <c r="AW39" s="21">
        <f t="shared" si="12"/>
        <v>21</v>
      </c>
      <c r="AX39" s="21" t="str">
        <f>IF((AW39=AV1), "Correct", "Error")</f>
        <v>Error</v>
      </c>
    </row>
    <row r="40" spans="1:50" ht="15.75" customHeight="1" x14ac:dyDescent="0.2">
      <c r="A40" s="11">
        <v>35</v>
      </c>
      <c r="B40" s="45" t="s">
        <v>63</v>
      </c>
      <c r="C40" s="39"/>
      <c r="D40" s="23" t="s">
        <v>41</v>
      </c>
      <c r="E40" s="23" t="s">
        <v>41</v>
      </c>
      <c r="F40" s="23" t="s">
        <v>41</v>
      </c>
      <c r="G40" s="23" t="s">
        <v>41</v>
      </c>
      <c r="H40" s="23" t="s">
        <v>41</v>
      </c>
      <c r="I40" s="23" t="s">
        <v>41</v>
      </c>
      <c r="J40" s="23" t="s">
        <v>41</v>
      </c>
      <c r="K40" s="23" t="s">
        <v>41</v>
      </c>
      <c r="L40" s="23" t="s">
        <v>41</v>
      </c>
      <c r="M40" s="23" t="s">
        <v>41</v>
      </c>
      <c r="N40" s="23" t="s">
        <v>41</v>
      </c>
      <c r="O40" s="23" t="s">
        <v>41</v>
      </c>
      <c r="P40" s="23" t="s">
        <v>41</v>
      </c>
      <c r="Q40" s="23" t="s">
        <v>41</v>
      </c>
      <c r="R40" s="23" t="s">
        <v>41</v>
      </c>
      <c r="S40" s="23" t="s">
        <v>41</v>
      </c>
      <c r="T40" s="13" t="s">
        <v>25</v>
      </c>
      <c r="U40" s="13" t="s">
        <v>25</v>
      </c>
      <c r="V40" s="13" t="s">
        <v>21</v>
      </c>
      <c r="W40" s="13" t="s">
        <v>21</v>
      </c>
      <c r="X40" s="12"/>
      <c r="Y40" s="12"/>
      <c r="Z40" s="13" t="s">
        <v>21</v>
      </c>
      <c r="AA40" s="13" t="s">
        <v>21</v>
      </c>
      <c r="AB40" s="13" t="s">
        <v>21</v>
      </c>
      <c r="AC40" s="13" t="s">
        <v>21</v>
      </c>
      <c r="AD40" s="13" t="s">
        <v>21</v>
      </c>
      <c r="AE40" s="13" t="s">
        <v>21</v>
      </c>
      <c r="AF40" s="12"/>
      <c r="AG40" s="13" t="s">
        <v>21</v>
      </c>
      <c r="AH40" s="13"/>
      <c r="AI40" s="14">
        <f t="shared" si="13"/>
        <v>11</v>
      </c>
      <c r="AJ40" s="15">
        <f t="shared" si="2"/>
        <v>0</v>
      </c>
      <c r="AK40" s="16">
        <v>3</v>
      </c>
      <c r="AL40" s="17">
        <f t="shared" si="3"/>
        <v>16</v>
      </c>
      <c r="AM40" s="17">
        <f t="shared" si="4"/>
        <v>0</v>
      </c>
      <c r="AN40" s="25">
        <v>4</v>
      </c>
      <c r="AO40" s="19">
        <f t="shared" si="14"/>
        <v>0</v>
      </c>
      <c r="AP40" s="19">
        <f t="shared" si="5"/>
        <v>0</v>
      </c>
      <c r="AQ40" s="15">
        <f t="shared" si="6"/>
        <v>0</v>
      </c>
      <c r="AR40" s="15">
        <f t="shared" si="7"/>
        <v>16</v>
      </c>
      <c r="AS40" s="20">
        <f t="shared" si="8"/>
        <v>4</v>
      </c>
      <c r="AT40" s="21">
        <f t="shared" si="17"/>
        <v>14</v>
      </c>
      <c r="AU40" s="21">
        <f t="shared" si="10"/>
        <v>0</v>
      </c>
      <c r="AV40" s="21">
        <f t="shared" si="11"/>
        <v>6</v>
      </c>
      <c r="AW40" s="21">
        <f t="shared" si="12"/>
        <v>30</v>
      </c>
      <c r="AX40" s="21" t="str">
        <f>IF((AW40=AV1), "Correct", "Error")</f>
        <v>Correct</v>
      </c>
    </row>
    <row r="41" spans="1:50" ht="15.75" customHeight="1" x14ac:dyDescent="0.2">
      <c r="A41" s="26"/>
      <c r="B41" s="44"/>
      <c r="C41" s="43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8"/>
      <c r="AI41" s="29"/>
      <c r="AJ41" s="29"/>
      <c r="AK41" s="30"/>
      <c r="AL41" s="30"/>
      <c r="AM41" s="30"/>
      <c r="AN41" s="30"/>
      <c r="AO41" s="30"/>
      <c r="AP41" s="30"/>
      <c r="AQ41" s="30"/>
      <c r="AR41" s="30"/>
      <c r="AS41" s="30"/>
      <c r="AT41" s="31"/>
      <c r="AU41" s="31"/>
      <c r="AV41" s="31"/>
      <c r="AW41" s="31"/>
      <c r="AX41" s="31"/>
    </row>
    <row r="42" spans="1:50" ht="15.75" customHeight="1" x14ac:dyDescent="0.2">
      <c r="A42" s="26"/>
      <c r="B42" s="42"/>
      <c r="C42" s="43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8"/>
      <c r="AK42" s="30"/>
      <c r="AL42" s="30"/>
      <c r="AM42" s="27"/>
      <c r="AN42" s="27"/>
      <c r="AO42" s="27"/>
      <c r="AP42" s="27"/>
      <c r="AQ42" s="27"/>
      <c r="AR42" s="27"/>
      <c r="AS42" s="27"/>
      <c r="AT42" s="33"/>
      <c r="AU42" s="33"/>
      <c r="AV42" s="33"/>
      <c r="AW42" s="33"/>
      <c r="AX42" s="33"/>
    </row>
    <row r="43" spans="1:50" ht="15.75" customHeight="1" x14ac:dyDescent="0.2">
      <c r="A43" s="26"/>
      <c r="B43" s="32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  <c r="AK43" s="30"/>
      <c r="AL43" s="30"/>
      <c r="AM43" s="27"/>
      <c r="AN43" s="27"/>
      <c r="AO43" s="27"/>
      <c r="AP43" s="27"/>
      <c r="AQ43" s="27"/>
      <c r="AR43" s="27"/>
      <c r="AS43" s="27"/>
      <c r="AT43" s="33"/>
      <c r="AU43" s="33"/>
      <c r="AV43" s="33"/>
      <c r="AW43" s="33"/>
      <c r="AX43" s="33"/>
    </row>
    <row r="44" spans="1:50" ht="15.75" customHeight="1" x14ac:dyDescent="0.2">
      <c r="A44" s="26"/>
      <c r="B44" s="32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8"/>
      <c r="U44" s="75" t="s">
        <v>64</v>
      </c>
      <c r="V44" s="74" t="s">
        <v>89</v>
      </c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40"/>
      <c r="AN44" s="27"/>
      <c r="AO44" s="27"/>
      <c r="AP44" s="27"/>
      <c r="AQ44" s="27"/>
      <c r="AR44" s="27"/>
      <c r="AS44" s="27"/>
      <c r="AT44" s="33"/>
      <c r="AU44" s="33"/>
      <c r="AV44" s="33"/>
      <c r="AW44" s="33"/>
      <c r="AX44" s="33"/>
    </row>
    <row r="45" spans="1:50" ht="15.75" customHeight="1" x14ac:dyDescent="0.2">
      <c r="A45" s="26"/>
      <c r="B45" s="32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8"/>
      <c r="U45" s="76" t="s">
        <v>27</v>
      </c>
      <c r="V45" s="38" t="s">
        <v>65</v>
      </c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40"/>
      <c r="AN45" s="27"/>
      <c r="AO45" s="27"/>
      <c r="AP45" s="27"/>
      <c r="AQ45" s="27"/>
      <c r="AR45" s="27"/>
      <c r="AS45" s="27"/>
      <c r="AT45" s="33"/>
      <c r="AU45" s="33"/>
      <c r="AV45" s="33"/>
      <c r="AW45" s="33"/>
      <c r="AX45" s="33"/>
    </row>
    <row r="46" spans="1:50" ht="15.75" customHeight="1" x14ac:dyDescent="0.2">
      <c r="A46" s="26"/>
      <c r="B46" s="32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34"/>
      <c r="Q46" s="28"/>
      <c r="R46" s="28"/>
      <c r="S46" s="28"/>
      <c r="T46" s="28"/>
      <c r="U46" s="76" t="s">
        <v>66</v>
      </c>
      <c r="V46" s="38" t="s">
        <v>67</v>
      </c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40"/>
      <c r="AN46" s="27"/>
      <c r="AO46" s="27"/>
      <c r="AP46" s="27"/>
      <c r="AQ46" s="27"/>
      <c r="AR46" s="27"/>
      <c r="AS46" s="27"/>
      <c r="AT46" s="33"/>
      <c r="AU46" s="33"/>
      <c r="AV46" s="33"/>
      <c r="AW46" s="33"/>
      <c r="AX46" s="33"/>
    </row>
    <row r="47" spans="1:50" ht="15.75" customHeight="1" x14ac:dyDescent="0.2">
      <c r="A47" s="26"/>
      <c r="B47" s="32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34"/>
      <c r="Q47" s="28"/>
      <c r="R47" s="28"/>
      <c r="S47" s="28"/>
      <c r="T47" s="28"/>
      <c r="U47" s="77" t="s">
        <v>22</v>
      </c>
      <c r="V47" s="38" t="s">
        <v>68</v>
      </c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40"/>
      <c r="AN47" s="27"/>
      <c r="AO47" s="27"/>
      <c r="AP47" s="27"/>
      <c r="AQ47" s="27"/>
      <c r="AR47" s="27"/>
      <c r="AS47" s="27"/>
      <c r="AT47" s="33"/>
      <c r="AU47" s="33"/>
      <c r="AV47" s="33"/>
      <c r="AW47" s="33"/>
      <c r="AX47" s="33"/>
    </row>
    <row r="48" spans="1:50" ht="15.75" customHeight="1" x14ac:dyDescent="0.2">
      <c r="A48" s="26"/>
      <c r="B48" s="32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34"/>
      <c r="Q48" s="28"/>
      <c r="R48" s="28"/>
      <c r="S48" s="28"/>
      <c r="T48" s="28"/>
      <c r="U48" s="77" t="s">
        <v>69</v>
      </c>
      <c r="V48" s="38" t="s">
        <v>70</v>
      </c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40"/>
      <c r="AN48" s="27"/>
      <c r="AO48" s="27"/>
      <c r="AP48" s="27"/>
      <c r="AQ48" s="27"/>
      <c r="AR48" s="27"/>
      <c r="AS48" s="27"/>
      <c r="AT48" s="33"/>
      <c r="AU48" s="33"/>
      <c r="AV48" s="33"/>
      <c r="AW48" s="33"/>
      <c r="AX48" s="33"/>
    </row>
    <row r="49" spans="1:50" ht="15.75" customHeight="1" x14ac:dyDescent="0.2">
      <c r="A49" s="26"/>
      <c r="B49" s="32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78" t="s">
        <v>17</v>
      </c>
      <c r="V49" s="38" t="s">
        <v>71</v>
      </c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40"/>
      <c r="AN49" s="27"/>
      <c r="AO49" s="27"/>
      <c r="AP49" s="27"/>
      <c r="AQ49" s="27"/>
      <c r="AR49" s="27"/>
      <c r="AS49" s="27"/>
      <c r="AT49" s="33"/>
      <c r="AU49" s="33"/>
      <c r="AV49" s="33"/>
      <c r="AW49" s="33"/>
      <c r="AX49" s="33"/>
    </row>
    <row r="50" spans="1:50" ht="15.75" customHeight="1" x14ac:dyDescent="0.2">
      <c r="A50" s="35"/>
      <c r="B50" s="36"/>
      <c r="U50" s="79" t="s">
        <v>72</v>
      </c>
      <c r="V50" s="38" t="s">
        <v>73</v>
      </c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40"/>
    </row>
    <row r="51" spans="1:50" ht="15.75" customHeight="1" x14ac:dyDescent="0.2">
      <c r="A51" s="35"/>
      <c r="B51" s="36"/>
      <c r="U51" s="79" t="s">
        <v>74</v>
      </c>
      <c r="V51" s="38" t="s">
        <v>75</v>
      </c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40"/>
    </row>
    <row r="52" spans="1:50" ht="15.75" customHeight="1" x14ac:dyDescent="0.2">
      <c r="A52" s="35"/>
      <c r="B52" s="36"/>
      <c r="U52" s="80" t="s">
        <v>35</v>
      </c>
      <c r="V52" s="38" t="s">
        <v>76</v>
      </c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40"/>
    </row>
    <row r="53" spans="1:50" ht="15.75" customHeight="1" x14ac:dyDescent="0.2">
      <c r="A53" s="35"/>
      <c r="B53" s="36"/>
      <c r="U53" s="80" t="s">
        <v>77</v>
      </c>
      <c r="V53" s="38" t="s">
        <v>78</v>
      </c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40"/>
    </row>
    <row r="54" spans="1:50" ht="15.75" customHeight="1" x14ac:dyDescent="0.2">
      <c r="A54" s="35"/>
      <c r="B54" s="36"/>
      <c r="U54" s="81" t="s">
        <v>25</v>
      </c>
      <c r="V54" s="41" t="s">
        <v>79</v>
      </c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40"/>
    </row>
    <row r="55" spans="1:50" ht="15.75" customHeight="1" x14ac:dyDescent="0.2">
      <c r="A55" s="35"/>
      <c r="B55" s="36"/>
      <c r="U55" s="81" t="s">
        <v>28</v>
      </c>
      <c r="V55" s="41" t="s">
        <v>80</v>
      </c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40"/>
    </row>
    <row r="56" spans="1:50" ht="15.75" customHeight="1" x14ac:dyDescent="0.2">
      <c r="A56" s="35"/>
      <c r="B56" s="36"/>
      <c r="U56" s="81" t="s">
        <v>49</v>
      </c>
      <c r="V56" s="41" t="s">
        <v>81</v>
      </c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40"/>
    </row>
    <row r="57" spans="1:50" ht="15.75" customHeight="1" x14ac:dyDescent="0.2">
      <c r="A57" s="26"/>
      <c r="B57" s="32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82" t="s">
        <v>41</v>
      </c>
      <c r="V57" s="38" t="s">
        <v>82</v>
      </c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40"/>
      <c r="AM57" s="37"/>
      <c r="AN57" s="27"/>
      <c r="AO57" s="27"/>
      <c r="AP57" s="27"/>
      <c r="AQ57" s="27"/>
      <c r="AR57" s="27"/>
      <c r="AS57" s="27"/>
      <c r="AT57" s="33"/>
      <c r="AU57" s="33"/>
      <c r="AV57" s="33"/>
      <c r="AW57" s="33"/>
      <c r="AX57" s="33"/>
    </row>
    <row r="58" spans="1:50" ht="15.75" customHeight="1" x14ac:dyDescent="0.2">
      <c r="A58" s="26"/>
      <c r="B58" s="32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75" t="s">
        <v>83</v>
      </c>
      <c r="V58" s="38" t="s">
        <v>84</v>
      </c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40"/>
      <c r="AN58" s="27"/>
      <c r="AO58" s="27"/>
      <c r="AP58" s="27"/>
      <c r="AQ58" s="27"/>
      <c r="AR58" s="27"/>
      <c r="AS58" s="27"/>
      <c r="AT58" s="33"/>
      <c r="AU58" s="33"/>
      <c r="AV58" s="33"/>
      <c r="AW58" s="33"/>
      <c r="AX58" s="33"/>
    </row>
    <row r="59" spans="1:50" ht="15.75" customHeight="1" x14ac:dyDescent="0.2">
      <c r="A59" s="26"/>
      <c r="B59" s="32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75" t="s">
        <v>85</v>
      </c>
      <c r="V59" s="38" t="s">
        <v>86</v>
      </c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40"/>
      <c r="AN59" s="27"/>
      <c r="AO59" s="27"/>
      <c r="AP59" s="27"/>
      <c r="AQ59" s="27"/>
      <c r="AR59" s="27"/>
      <c r="AS59" s="27"/>
      <c r="AT59" s="33"/>
      <c r="AU59" s="33"/>
      <c r="AV59" s="33"/>
      <c r="AW59" s="33"/>
      <c r="AX59" s="33"/>
    </row>
    <row r="60" spans="1:50" ht="15.75" customHeight="1" x14ac:dyDescent="0.2">
      <c r="A60" s="35"/>
      <c r="B60" s="36"/>
      <c r="U60" s="75" t="s">
        <v>87</v>
      </c>
      <c r="V60" s="38" t="s">
        <v>88</v>
      </c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40"/>
    </row>
    <row r="61" spans="1:50" ht="15.75" customHeight="1" x14ac:dyDescent="0.2">
      <c r="B61" s="36"/>
      <c r="AK61" s="27"/>
    </row>
    <row r="62" spans="1:50" ht="15.75" customHeight="1" x14ac:dyDescent="0.2">
      <c r="B62" s="36"/>
      <c r="AG62" s="27"/>
      <c r="AH62" s="27"/>
      <c r="AI62" s="27"/>
      <c r="AJ62" s="27"/>
      <c r="AK62" s="27"/>
      <c r="AL62" s="27"/>
    </row>
    <row r="63" spans="1:50" ht="15.75" customHeight="1" x14ac:dyDescent="0.2">
      <c r="B63" s="36"/>
      <c r="AG63" s="27"/>
      <c r="AH63" s="27"/>
      <c r="AI63" s="27"/>
      <c r="AJ63" s="27"/>
      <c r="AK63" s="27"/>
      <c r="AL63" s="27"/>
    </row>
    <row r="64" spans="1:50" ht="15.75" customHeight="1" x14ac:dyDescent="0.2">
      <c r="B64" s="36"/>
      <c r="AG64" s="27"/>
      <c r="AH64" s="27"/>
      <c r="AI64" s="27"/>
      <c r="AJ64" s="27"/>
      <c r="AK64" s="27"/>
      <c r="AL64" s="27"/>
    </row>
    <row r="65" spans="2:38" ht="15.75" customHeight="1" x14ac:dyDescent="0.2">
      <c r="B65" s="36"/>
      <c r="AG65" s="27"/>
      <c r="AH65" s="27"/>
      <c r="AI65" s="27"/>
      <c r="AJ65" s="27"/>
      <c r="AK65" s="27"/>
      <c r="AL65" s="27"/>
    </row>
    <row r="66" spans="2:38" ht="15.75" customHeight="1" x14ac:dyDescent="0.2">
      <c r="B66" s="36"/>
      <c r="AG66" s="27"/>
      <c r="AH66" s="27"/>
      <c r="AI66" s="27"/>
      <c r="AJ66" s="27"/>
      <c r="AK66" s="27"/>
      <c r="AL66" s="27"/>
    </row>
    <row r="67" spans="2:38" ht="15.75" customHeight="1" x14ac:dyDescent="0.2">
      <c r="B67" s="36"/>
      <c r="AG67" s="27"/>
      <c r="AH67" s="27"/>
      <c r="AI67" s="27"/>
      <c r="AJ67" s="27"/>
      <c r="AK67" s="27"/>
      <c r="AL67" s="27"/>
    </row>
    <row r="68" spans="2:38" ht="15.75" customHeight="1" x14ac:dyDescent="0.2">
      <c r="B68" s="36"/>
      <c r="AG68" s="27"/>
      <c r="AH68" s="27"/>
      <c r="AI68" s="27"/>
      <c r="AJ68" s="27"/>
      <c r="AK68" s="27"/>
      <c r="AL68" s="27"/>
    </row>
    <row r="69" spans="2:38" ht="15.75" customHeight="1" x14ac:dyDescent="0.2">
      <c r="B69" s="36"/>
      <c r="AG69" s="27"/>
      <c r="AH69" s="27"/>
      <c r="AI69" s="27"/>
      <c r="AJ69" s="27"/>
      <c r="AK69" s="27"/>
      <c r="AL69" s="27"/>
    </row>
    <row r="70" spans="2:38" ht="15.75" customHeight="1" x14ac:dyDescent="0.2">
      <c r="B70" s="36"/>
      <c r="AG70" s="27"/>
      <c r="AH70" s="27"/>
      <c r="AI70" s="27"/>
      <c r="AJ70" s="27"/>
      <c r="AK70" s="27"/>
      <c r="AL70" s="27"/>
    </row>
    <row r="71" spans="2:38" ht="15.75" customHeight="1" x14ac:dyDescent="0.2">
      <c r="B71" s="36"/>
      <c r="AG71" s="27"/>
      <c r="AH71" s="27"/>
      <c r="AI71" s="27"/>
      <c r="AJ71" s="27"/>
      <c r="AK71" s="27"/>
      <c r="AL71" s="27"/>
    </row>
    <row r="72" spans="2:38" ht="15.75" customHeight="1" x14ac:dyDescent="0.2">
      <c r="B72" s="36"/>
      <c r="AG72" s="27"/>
      <c r="AH72" s="27"/>
      <c r="AI72" s="27"/>
      <c r="AJ72" s="27"/>
      <c r="AK72" s="27"/>
      <c r="AL72" s="27"/>
    </row>
    <row r="73" spans="2:38" ht="15.75" customHeight="1" x14ac:dyDescent="0.2">
      <c r="B73" s="36"/>
      <c r="AG73" s="27"/>
      <c r="AH73" s="27"/>
      <c r="AI73" s="27"/>
      <c r="AJ73" s="27"/>
      <c r="AK73" s="27"/>
      <c r="AL73" s="27"/>
    </row>
    <row r="74" spans="2:38" ht="15.75" customHeight="1" x14ac:dyDescent="0.2">
      <c r="B74" s="36"/>
      <c r="AG74" s="27"/>
      <c r="AH74" s="27"/>
      <c r="AI74" s="27"/>
      <c r="AJ74" s="27"/>
      <c r="AK74" s="27"/>
      <c r="AL74" s="27"/>
    </row>
    <row r="75" spans="2:38" ht="15.75" customHeight="1" x14ac:dyDescent="0.2">
      <c r="B75" s="36"/>
      <c r="AG75" s="27"/>
      <c r="AH75" s="27"/>
      <c r="AI75" s="27"/>
      <c r="AJ75" s="27"/>
      <c r="AK75" s="27"/>
      <c r="AL75" s="27"/>
    </row>
    <row r="76" spans="2:38" ht="15.75" customHeight="1" x14ac:dyDescent="0.2">
      <c r="B76" s="36"/>
      <c r="AG76" s="27"/>
      <c r="AH76" s="27"/>
      <c r="AI76" s="27"/>
      <c r="AJ76" s="27"/>
      <c r="AK76" s="27"/>
      <c r="AL76" s="27"/>
    </row>
    <row r="77" spans="2:38" ht="15.75" customHeight="1" x14ac:dyDescent="0.2">
      <c r="B77" s="36"/>
      <c r="AG77" s="27"/>
      <c r="AH77" s="27"/>
      <c r="AI77" s="27"/>
      <c r="AJ77" s="27"/>
      <c r="AK77" s="27"/>
      <c r="AL77" s="27"/>
    </row>
    <row r="78" spans="2:38" ht="15.75" customHeight="1" x14ac:dyDescent="0.2">
      <c r="B78" s="36"/>
      <c r="AG78" s="27"/>
      <c r="AH78" s="27"/>
      <c r="AI78" s="27"/>
      <c r="AJ78" s="27"/>
      <c r="AK78" s="27"/>
      <c r="AL78" s="27"/>
    </row>
    <row r="79" spans="2:38" ht="15.75" customHeight="1" x14ac:dyDescent="0.2">
      <c r="B79" s="36"/>
      <c r="AG79" s="27"/>
      <c r="AH79" s="27"/>
      <c r="AI79" s="27"/>
      <c r="AJ79" s="27"/>
      <c r="AK79" s="27"/>
      <c r="AL79" s="27"/>
    </row>
    <row r="80" spans="2:38" ht="15.75" customHeight="1" x14ac:dyDescent="0.2">
      <c r="B80" s="36"/>
      <c r="AG80" s="27"/>
      <c r="AH80" s="27"/>
      <c r="AI80" s="27"/>
      <c r="AJ80" s="27"/>
      <c r="AK80" s="27"/>
      <c r="AL80" s="27"/>
    </row>
    <row r="81" spans="2:38" ht="15.75" customHeight="1" x14ac:dyDescent="0.2">
      <c r="B81" s="36"/>
      <c r="AG81" s="27"/>
      <c r="AH81" s="27"/>
      <c r="AI81" s="27"/>
      <c r="AJ81" s="27"/>
      <c r="AK81" s="27"/>
      <c r="AL81" s="27"/>
    </row>
    <row r="82" spans="2:38" ht="15.75" customHeight="1" x14ac:dyDescent="0.2">
      <c r="B82" s="36"/>
      <c r="AG82" s="27"/>
      <c r="AH82" s="27"/>
      <c r="AI82" s="27"/>
      <c r="AJ82" s="27"/>
      <c r="AK82" s="27"/>
      <c r="AL82" s="27"/>
    </row>
    <row r="83" spans="2:38" ht="15.75" customHeight="1" x14ac:dyDescent="0.2">
      <c r="B83" s="36"/>
      <c r="AG83" s="27"/>
      <c r="AH83" s="27"/>
      <c r="AI83" s="27"/>
      <c r="AJ83" s="27"/>
      <c r="AK83" s="27"/>
      <c r="AL83" s="27"/>
    </row>
    <row r="84" spans="2:38" ht="15.75" customHeight="1" x14ac:dyDescent="0.2">
      <c r="B84" s="36"/>
      <c r="AG84" s="27"/>
      <c r="AH84" s="27"/>
      <c r="AI84" s="27"/>
      <c r="AJ84" s="27"/>
      <c r="AK84" s="27"/>
      <c r="AL84" s="27"/>
    </row>
    <row r="85" spans="2:38" ht="15.75" customHeight="1" x14ac:dyDescent="0.2">
      <c r="B85" s="36"/>
      <c r="AG85" s="27"/>
      <c r="AH85" s="27"/>
      <c r="AI85" s="27"/>
      <c r="AJ85" s="27"/>
      <c r="AK85" s="27"/>
      <c r="AL85" s="27"/>
    </row>
    <row r="86" spans="2:38" ht="15.75" customHeight="1" x14ac:dyDescent="0.2">
      <c r="B86" s="36"/>
      <c r="AG86" s="27"/>
      <c r="AH86" s="27"/>
      <c r="AI86" s="27"/>
      <c r="AJ86" s="27"/>
      <c r="AK86" s="27"/>
      <c r="AL86" s="27"/>
    </row>
    <row r="87" spans="2:38" ht="15.75" customHeight="1" x14ac:dyDescent="0.2">
      <c r="B87" s="36"/>
      <c r="AG87" s="27"/>
      <c r="AH87" s="27"/>
      <c r="AI87" s="27"/>
      <c r="AJ87" s="27"/>
      <c r="AK87" s="27"/>
      <c r="AL87" s="27"/>
    </row>
    <row r="88" spans="2:38" ht="15.75" customHeight="1" x14ac:dyDescent="0.2">
      <c r="B88" s="36"/>
      <c r="AG88" s="27"/>
      <c r="AH88" s="27"/>
      <c r="AI88" s="27"/>
      <c r="AJ88" s="27"/>
      <c r="AK88" s="27"/>
      <c r="AL88" s="27"/>
    </row>
    <row r="89" spans="2:38" ht="15.75" customHeight="1" x14ac:dyDescent="0.2">
      <c r="B89" s="36"/>
      <c r="AG89" s="27"/>
      <c r="AH89" s="27"/>
      <c r="AI89" s="27"/>
      <c r="AJ89" s="27"/>
      <c r="AK89" s="27"/>
      <c r="AL89" s="27"/>
    </row>
    <row r="90" spans="2:38" ht="15.75" customHeight="1" x14ac:dyDescent="0.2">
      <c r="B90" s="36"/>
      <c r="AG90" s="27"/>
      <c r="AH90" s="27"/>
      <c r="AI90" s="27"/>
      <c r="AJ90" s="27"/>
      <c r="AK90" s="27"/>
      <c r="AL90" s="27"/>
    </row>
    <row r="91" spans="2:38" ht="15.75" customHeight="1" x14ac:dyDescent="0.2">
      <c r="B91" s="36"/>
      <c r="AG91" s="27"/>
      <c r="AH91" s="27"/>
      <c r="AI91" s="27"/>
      <c r="AJ91" s="27"/>
      <c r="AK91" s="27"/>
      <c r="AL91" s="27"/>
    </row>
    <row r="92" spans="2:38" ht="15.75" customHeight="1" x14ac:dyDescent="0.2">
      <c r="B92" s="36"/>
      <c r="AG92" s="27"/>
      <c r="AH92" s="27"/>
      <c r="AI92" s="27"/>
      <c r="AJ92" s="27"/>
      <c r="AK92" s="27"/>
      <c r="AL92" s="27"/>
    </row>
    <row r="93" spans="2:38" ht="15.75" customHeight="1" x14ac:dyDescent="0.2">
      <c r="B93" s="36"/>
      <c r="AG93" s="27"/>
      <c r="AH93" s="27"/>
      <c r="AI93" s="27"/>
      <c r="AJ93" s="27"/>
      <c r="AK93" s="27"/>
      <c r="AL93" s="27"/>
    </row>
    <row r="94" spans="2:38" ht="15.75" customHeight="1" x14ac:dyDescent="0.2">
      <c r="B94" s="36"/>
      <c r="AG94" s="27"/>
      <c r="AH94" s="27"/>
      <c r="AI94" s="27"/>
      <c r="AJ94" s="27"/>
      <c r="AK94" s="27"/>
      <c r="AL94" s="27"/>
    </row>
    <row r="95" spans="2:38" ht="15.75" customHeight="1" x14ac:dyDescent="0.2">
      <c r="B95" s="36"/>
      <c r="AG95" s="27"/>
      <c r="AH95" s="27"/>
      <c r="AI95" s="27"/>
      <c r="AJ95" s="27"/>
      <c r="AK95" s="27"/>
      <c r="AL95" s="27"/>
    </row>
    <row r="96" spans="2:38" ht="15.75" customHeight="1" x14ac:dyDescent="0.2">
      <c r="B96" s="36"/>
      <c r="AG96" s="27"/>
      <c r="AH96" s="27"/>
      <c r="AI96" s="27"/>
      <c r="AJ96" s="27"/>
      <c r="AK96" s="27"/>
      <c r="AL96" s="27"/>
    </row>
    <row r="97" spans="2:38" ht="15.75" customHeight="1" x14ac:dyDescent="0.2">
      <c r="B97" s="36"/>
      <c r="AG97" s="27"/>
      <c r="AH97" s="27"/>
      <c r="AI97" s="27"/>
      <c r="AJ97" s="27"/>
      <c r="AK97" s="27"/>
      <c r="AL97" s="27"/>
    </row>
    <row r="98" spans="2:38" ht="15.75" customHeight="1" x14ac:dyDescent="0.2">
      <c r="B98" s="36"/>
      <c r="AG98" s="27"/>
      <c r="AH98" s="27"/>
      <c r="AI98" s="27"/>
      <c r="AJ98" s="27"/>
      <c r="AK98" s="27"/>
      <c r="AL98" s="27"/>
    </row>
    <row r="99" spans="2:38" ht="15.75" customHeight="1" x14ac:dyDescent="0.2">
      <c r="B99" s="36"/>
      <c r="AG99" s="27"/>
      <c r="AH99" s="27"/>
      <c r="AI99" s="27"/>
      <c r="AJ99" s="27"/>
      <c r="AK99" s="27"/>
      <c r="AL99" s="27"/>
    </row>
    <row r="100" spans="2:38" ht="15.75" customHeight="1" x14ac:dyDescent="0.2">
      <c r="B100" s="36"/>
      <c r="AG100" s="27"/>
      <c r="AH100" s="27"/>
      <c r="AI100" s="27"/>
      <c r="AJ100" s="27"/>
      <c r="AK100" s="27"/>
      <c r="AL100" s="27"/>
    </row>
    <row r="101" spans="2:38" ht="15.75" customHeight="1" x14ac:dyDescent="0.2">
      <c r="B101" s="36"/>
      <c r="AG101" s="27"/>
      <c r="AH101" s="27"/>
      <c r="AI101" s="27"/>
      <c r="AJ101" s="27"/>
      <c r="AK101" s="27"/>
      <c r="AL101" s="27"/>
    </row>
    <row r="102" spans="2:38" ht="15.75" customHeight="1" x14ac:dyDescent="0.2">
      <c r="B102" s="36"/>
      <c r="AG102" s="27"/>
      <c r="AH102" s="27"/>
      <c r="AI102" s="27"/>
      <c r="AJ102" s="27"/>
      <c r="AK102" s="27"/>
      <c r="AL102" s="27"/>
    </row>
    <row r="103" spans="2:38" ht="15.75" customHeight="1" x14ac:dyDescent="0.2">
      <c r="B103" s="36"/>
      <c r="AG103" s="27"/>
      <c r="AH103" s="27"/>
      <c r="AI103" s="27"/>
      <c r="AJ103" s="27"/>
      <c r="AK103" s="27"/>
      <c r="AL103" s="27"/>
    </row>
    <row r="104" spans="2:38" ht="15.75" customHeight="1" x14ac:dyDescent="0.2">
      <c r="B104" s="36"/>
      <c r="AG104" s="27"/>
      <c r="AH104" s="27"/>
      <c r="AI104" s="27"/>
      <c r="AJ104" s="27"/>
      <c r="AK104" s="27"/>
      <c r="AL104" s="27"/>
    </row>
    <row r="105" spans="2:38" ht="15.75" customHeight="1" x14ac:dyDescent="0.2">
      <c r="B105" s="36"/>
      <c r="AG105" s="27"/>
      <c r="AH105" s="27"/>
      <c r="AI105" s="27"/>
      <c r="AJ105" s="27"/>
      <c r="AK105" s="27"/>
      <c r="AL105" s="27"/>
    </row>
    <row r="106" spans="2:38" ht="15.75" customHeight="1" x14ac:dyDescent="0.2">
      <c r="B106" s="36"/>
      <c r="AG106" s="27"/>
      <c r="AH106" s="27"/>
      <c r="AI106" s="27"/>
      <c r="AJ106" s="27"/>
      <c r="AK106" s="27"/>
      <c r="AL106" s="27"/>
    </row>
    <row r="107" spans="2:38" ht="15.75" customHeight="1" x14ac:dyDescent="0.2">
      <c r="B107" s="36"/>
      <c r="AG107" s="27"/>
      <c r="AH107" s="27"/>
      <c r="AI107" s="27"/>
      <c r="AJ107" s="27"/>
      <c r="AK107" s="27"/>
      <c r="AL107" s="27"/>
    </row>
    <row r="108" spans="2:38" ht="15.75" customHeight="1" x14ac:dyDescent="0.2">
      <c r="B108" s="36"/>
      <c r="AG108" s="27"/>
      <c r="AH108" s="27"/>
      <c r="AI108" s="27"/>
      <c r="AJ108" s="27"/>
      <c r="AK108" s="27"/>
      <c r="AL108" s="27"/>
    </row>
    <row r="109" spans="2:38" ht="15.75" customHeight="1" x14ac:dyDescent="0.2">
      <c r="B109" s="36"/>
      <c r="AG109" s="27"/>
      <c r="AH109" s="27"/>
      <c r="AI109" s="27"/>
      <c r="AJ109" s="27"/>
      <c r="AK109" s="27"/>
      <c r="AL109" s="27"/>
    </row>
    <row r="110" spans="2:38" ht="15.75" customHeight="1" x14ac:dyDescent="0.2">
      <c r="B110" s="36"/>
      <c r="AG110" s="27"/>
      <c r="AH110" s="27"/>
      <c r="AI110" s="27"/>
      <c r="AJ110" s="27"/>
      <c r="AK110" s="27"/>
      <c r="AL110" s="27"/>
    </row>
    <row r="111" spans="2:38" ht="15.75" customHeight="1" x14ac:dyDescent="0.2">
      <c r="B111" s="36"/>
      <c r="AG111" s="27"/>
      <c r="AH111" s="27"/>
      <c r="AI111" s="27"/>
      <c r="AJ111" s="27"/>
      <c r="AK111" s="27"/>
      <c r="AL111" s="27"/>
    </row>
    <row r="112" spans="2:38" ht="15.75" customHeight="1" x14ac:dyDescent="0.2">
      <c r="B112" s="36"/>
      <c r="AG112" s="27"/>
      <c r="AH112" s="27"/>
      <c r="AI112" s="27"/>
      <c r="AJ112" s="27"/>
      <c r="AK112" s="27"/>
      <c r="AL112" s="27"/>
    </row>
    <row r="113" spans="2:38" ht="15.75" customHeight="1" x14ac:dyDescent="0.2">
      <c r="B113" s="36"/>
      <c r="AG113" s="27"/>
      <c r="AH113" s="27"/>
      <c r="AI113" s="27"/>
      <c r="AJ113" s="27"/>
      <c r="AK113" s="27"/>
      <c r="AL113" s="27"/>
    </row>
    <row r="114" spans="2:38" ht="15.75" customHeight="1" x14ac:dyDescent="0.2">
      <c r="B114" s="36"/>
      <c r="AG114" s="27"/>
      <c r="AH114" s="27"/>
      <c r="AI114" s="27"/>
      <c r="AJ114" s="27"/>
      <c r="AK114" s="27"/>
      <c r="AL114" s="27"/>
    </row>
    <row r="115" spans="2:38" ht="15.75" customHeight="1" x14ac:dyDescent="0.2">
      <c r="B115" s="36"/>
      <c r="AG115" s="27"/>
      <c r="AH115" s="27"/>
      <c r="AI115" s="27"/>
      <c r="AJ115" s="27"/>
      <c r="AK115" s="27"/>
      <c r="AL115" s="27"/>
    </row>
    <row r="116" spans="2:38" ht="15.75" customHeight="1" x14ac:dyDescent="0.2">
      <c r="B116" s="36"/>
      <c r="AG116" s="27"/>
      <c r="AH116" s="27"/>
      <c r="AI116" s="27"/>
      <c r="AJ116" s="27"/>
      <c r="AK116" s="27"/>
      <c r="AL116" s="27"/>
    </row>
    <row r="117" spans="2:38" ht="15.75" customHeight="1" x14ac:dyDescent="0.2">
      <c r="B117" s="36"/>
      <c r="AG117" s="27"/>
      <c r="AH117" s="27"/>
      <c r="AI117" s="27"/>
      <c r="AJ117" s="27"/>
      <c r="AK117" s="27"/>
      <c r="AL117" s="27"/>
    </row>
    <row r="118" spans="2:38" ht="15.75" customHeight="1" x14ac:dyDescent="0.2">
      <c r="B118" s="36"/>
      <c r="AG118" s="27"/>
      <c r="AH118" s="27"/>
      <c r="AI118" s="27"/>
      <c r="AJ118" s="27"/>
      <c r="AK118" s="27"/>
      <c r="AL118" s="27"/>
    </row>
    <row r="119" spans="2:38" ht="15.75" customHeight="1" x14ac:dyDescent="0.2">
      <c r="B119" s="36"/>
      <c r="AG119" s="27"/>
      <c r="AH119" s="27"/>
      <c r="AI119" s="27"/>
      <c r="AJ119" s="27"/>
      <c r="AK119" s="27"/>
      <c r="AL119" s="27"/>
    </row>
    <row r="120" spans="2:38" ht="15.75" customHeight="1" x14ac:dyDescent="0.2">
      <c r="B120" s="36"/>
      <c r="AG120" s="27"/>
      <c r="AH120" s="27"/>
      <c r="AI120" s="27"/>
      <c r="AJ120" s="27"/>
      <c r="AK120" s="27"/>
      <c r="AL120" s="27"/>
    </row>
    <row r="121" spans="2:38" ht="15.75" customHeight="1" x14ac:dyDescent="0.2">
      <c r="B121" s="36"/>
      <c r="AG121" s="27"/>
      <c r="AH121" s="27"/>
      <c r="AI121" s="27"/>
      <c r="AJ121" s="27"/>
      <c r="AK121" s="27"/>
      <c r="AL121" s="27"/>
    </row>
    <row r="122" spans="2:38" ht="15.75" customHeight="1" x14ac:dyDescent="0.2">
      <c r="B122" s="36"/>
      <c r="AG122" s="27"/>
      <c r="AH122" s="27"/>
      <c r="AI122" s="27"/>
      <c r="AJ122" s="27"/>
      <c r="AK122" s="27"/>
      <c r="AL122" s="27"/>
    </row>
    <row r="123" spans="2:38" ht="15.75" customHeight="1" x14ac:dyDescent="0.2">
      <c r="B123" s="36"/>
      <c r="AG123" s="27"/>
      <c r="AH123" s="27"/>
      <c r="AI123" s="27"/>
      <c r="AJ123" s="27"/>
      <c r="AK123" s="27"/>
      <c r="AL123" s="27"/>
    </row>
    <row r="124" spans="2:38" ht="15.75" customHeight="1" x14ac:dyDescent="0.2">
      <c r="B124" s="36"/>
      <c r="AG124" s="27"/>
      <c r="AH124" s="27"/>
      <c r="AI124" s="27"/>
      <c r="AJ124" s="27"/>
      <c r="AK124" s="27"/>
      <c r="AL124" s="27"/>
    </row>
    <row r="125" spans="2:38" ht="15.75" customHeight="1" x14ac:dyDescent="0.2">
      <c r="B125" s="36"/>
      <c r="AG125" s="27"/>
      <c r="AH125" s="27"/>
      <c r="AI125" s="27"/>
      <c r="AJ125" s="27"/>
      <c r="AK125" s="27"/>
      <c r="AL125" s="27"/>
    </row>
    <row r="126" spans="2:38" ht="15.75" customHeight="1" x14ac:dyDescent="0.2">
      <c r="B126" s="36"/>
      <c r="AG126" s="27"/>
      <c r="AH126" s="27"/>
      <c r="AI126" s="27"/>
      <c r="AJ126" s="27"/>
      <c r="AK126" s="27"/>
      <c r="AL126" s="27"/>
    </row>
    <row r="127" spans="2:38" ht="15.75" customHeight="1" x14ac:dyDescent="0.2">
      <c r="B127" s="36"/>
      <c r="AG127" s="27"/>
      <c r="AH127" s="27"/>
      <c r="AI127" s="27"/>
      <c r="AJ127" s="27"/>
      <c r="AK127" s="27"/>
      <c r="AL127" s="27"/>
    </row>
    <row r="128" spans="2:38" ht="15.75" customHeight="1" x14ac:dyDescent="0.2">
      <c r="B128" s="36"/>
      <c r="AG128" s="27"/>
      <c r="AH128" s="27"/>
      <c r="AI128" s="27"/>
      <c r="AJ128" s="27"/>
      <c r="AK128" s="27"/>
      <c r="AL128" s="27"/>
    </row>
    <row r="129" spans="2:38" ht="15.75" customHeight="1" x14ac:dyDescent="0.2">
      <c r="B129" s="36"/>
      <c r="AG129" s="27"/>
      <c r="AH129" s="27"/>
      <c r="AI129" s="27"/>
      <c r="AJ129" s="27"/>
      <c r="AK129" s="27"/>
      <c r="AL129" s="27"/>
    </row>
    <row r="130" spans="2:38" ht="15.75" customHeight="1" x14ac:dyDescent="0.2">
      <c r="B130" s="36"/>
      <c r="AG130" s="27"/>
      <c r="AH130" s="27"/>
      <c r="AI130" s="27"/>
      <c r="AJ130" s="27"/>
      <c r="AK130" s="27"/>
      <c r="AL130" s="27"/>
    </row>
    <row r="131" spans="2:38" ht="15.75" customHeight="1" x14ac:dyDescent="0.2">
      <c r="B131" s="36"/>
      <c r="AG131" s="27"/>
      <c r="AH131" s="27"/>
      <c r="AI131" s="27"/>
      <c r="AJ131" s="27"/>
      <c r="AK131" s="27"/>
      <c r="AL131" s="27"/>
    </row>
    <row r="132" spans="2:38" ht="15.75" customHeight="1" x14ac:dyDescent="0.2">
      <c r="B132" s="36"/>
      <c r="AG132" s="27"/>
      <c r="AH132" s="27"/>
      <c r="AI132" s="27"/>
      <c r="AJ132" s="27"/>
      <c r="AK132" s="27"/>
      <c r="AL132" s="27"/>
    </row>
    <row r="133" spans="2:38" ht="15.75" customHeight="1" x14ac:dyDescent="0.2">
      <c r="B133" s="36"/>
      <c r="AG133" s="27"/>
      <c r="AH133" s="27"/>
      <c r="AI133" s="27"/>
      <c r="AJ133" s="27"/>
      <c r="AK133" s="27"/>
      <c r="AL133" s="27"/>
    </row>
    <row r="134" spans="2:38" ht="15.75" customHeight="1" x14ac:dyDescent="0.2">
      <c r="B134" s="36"/>
      <c r="AG134" s="27"/>
      <c r="AH134" s="27"/>
      <c r="AI134" s="27"/>
      <c r="AJ134" s="27"/>
      <c r="AK134" s="27"/>
      <c r="AL134" s="27"/>
    </row>
    <row r="135" spans="2:38" ht="15.75" customHeight="1" x14ac:dyDescent="0.2">
      <c r="B135" s="36"/>
      <c r="AG135" s="27"/>
      <c r="AH135" s="27"/>
      <c r="AI135" s="27"/>
      <c r="AJ135" s="27"/>
      <c r="AK135" s="27"/>
      <c r="AL135" s="27"/>
    </row>
    <row r="136" spans="2:38" ht="15.75" customHeight="1" x14ac:dyDescent="0.2">
      <c r="B136" s="36"/>
      <c r="AG136" s="27"/>
      <c r="AH136" s="27"/>
      <c r="AI136" s="27"/>
      <c r="AJ136" s="27"/>
      <c r="AK136" s="27"/>
      <c r="AL136" s="27"/>
    </row>
    <row r="137" spans="2:38" ht="15.75" customHeight="1" x14ac:dyDescent="0.2">
      <c r="B137" s="36"/>
      <c r="AG137" s="27"/>
      <c r="AH137" s="27"/>
      <c r="AI137" s="27"/>
      <c r="AJ137" s="27"/>
      <c r="AK137" s="27"/>
      <c r="AL137" s="27"/>
    </row>
    <row r="138" spans="2:38" ht="15.75" customHeight="1" x14ac:dyDescent="0.2">
      <c r="B138" s="36"/>
      <c r="AG138" s="27"/>
      <c r="AH138" s="27"/>
      <c r="AI138" s="27"/>
      <c r="AJ138" s="27"/>
      <c r="AK138" s="27"/>
      <c r="AL138" s="27"/>
    </row>
    <row r="139" spans="2:38" ht="15.75" customHeight="1" x14ac:dyDescent="0.2">
      <c r="B139" s="36"/>
      <c r="AG139" s="27"/>
      <c r="AH139" s="27"/>
      <c r="AI139" s="27"/>
      <c r="AJ139" s="27"/>
      <c r="AK139" s="27"/>
      <c r="AL139" s="27"/>
    </row>
    <row r="140" spans="2:38" ht="15.75" customHeight="1" x14ac:dyDescent="0.2">
      <c r="B140" s="36"/>
      <c r="AG140" s="27"/>
      <c r="AH140" s="27"/>
      <c r="AI140" s="27"/>
      <c r="AJ140" s="27"/>
      <c r="AK140" s="27"/>
      <c r="AL140" s="27"/>
    </row>
    <row r="141" spans="2:38" ht="15.75" customHeight="1" x14ac:dyDescent="0.2">
      <c r="B141" s="36"/>
      <c r="AG141" s="27"/>
      <c r="AH141" s="27"/>
      <c r="AI141" s="27"/>
      <c r="AJ141" s="27"/>
      <c r="AK141" s="27"/>
      <c r="AL141" s="27"/>
    </row>
    <row r="142" spans="2:38" ht="15.75" customHeight="1" x14ac:dyDescent="0.2">
      <c r="B142" s="36"/>
      <c r="AG142" s="27"/>
      <c r="AH142" s="27"/>
      <c r="AI142" s="27"/>
      <c r="AJ142" s="27"/>
      <c r="AK142" s="27"/>
      <c r="AL142" s="27"/>
    </row>
    <row r="143" spans="2:38" ht="15.75" customHeight="1" x14ac:dyDescent="0.2">
      <c r="B143" s="36"/>
      <c r="AG143" s="27"/>
      <c r="AH143" s="27"/>
      <c r="AI143" s="27"/>
      <c r="AJ143" s="27"/>
      <c r="AK143" s="27"/>
      <c r="AL143" s="27"/>
    </row>
    <row r="144" spans="2:38" ht="15.75" customHeight="1" x14ac:dyDescent="0.2">
      <c r="B144" s="36"/>
      <c r="AG144" s="27"/>
      <c r="AH144" s="27"/>
      <c r="AI144" s="27"/>
      <c r="AJ144" s="27"/>
      <c r="AK144" s="27"/>
      <c r="AL144" s="27"/>
    </row>
    <row r="145" spans="2:38" ht="15.75" customHeight="1" x14ac:dyDescent="0.2">
      <c r="B145" s="36"/>
      <c r="AG145" s="27"/>
      <c r="AH145" s="27"/>
      <c r="AI145" s="27"/>
      <c r="AJ145" s="27"/>
      <c r="AK145" s="27"/>
      <c r="AL145" s="27"/>
    </row>
    <row r="146" spans="2:38" ht="15.75" customHeight="1" x14ac:dyDescent="0.2">
      <c r="B146" s="36"/>
      <c r="AG146" s="27"/>
      <c r="AH146" s="27"/>
      <c r="AI146" s="27"/>
      <c r="AJ146" s="27"/>
      <c r="AK146" s="27"/>
      <c r="AL146" s="27"/>
    </row>
    <row r="147" spans="2:38" ht="15.75" customHeight="1" x14ac:dyDescent="0.2">
      <c r="B147" s="36"/>
      <c r="AG147" s="27"/>
      <c r="AH147" s="27"/>
      <c r="AI147" s="27"/>
      <c r="AJ147" s="27"/>
      <c r="AK147" s="27"/>
      <c r="AL147" s="27"/>
    </row>
    <row r="148" spans="2:38" ht="15.75" customHeight="1" x14ac:dyDescent="0.2">
      <c r="B148" s="36"/>
      <c r="AG148" s="27"/>
      <c r="AH148" s="27"/>
      <c r="AI148" s="27"/>
      <c r="AJ148" s="27"/>
      <c r="AK148" s="27"/>
      <c r="AL148" s="27"/>
    </row>
    <row r="149" spans="2:38" ht="15.75" customHeight="1" x14ac:dyDescent="0.2">
      <c r="B149" s="36"/>
      <c r="AG149" s="27"/>
      <c r="AH149" s="27"/>
      <c r="AI149" s="27"/>
      <c r="AJ149" s="27"/>
      <c r="AK149" s="27"/>
      <c r="AL149" s="27"/>
    </row>
    <row r="150" spans="2:38" ht="15.75" customHeight="1" x14ac:dyDescent="0.2">
      <c r="B150" s="36"/>
      <c r="AG150" s="27"/>
      <c r="AH150" s="27"/>
      <c r="AI150" s="27"/>
      <c r="AJ150" s="27"/>
      <c r="AK150" s="27"/>
      <c r="AL150" s="27"/>
    </row>
    <row r="151" spans="2:38" ht="15.75" customHeight="1" x14ac:dyDescent="0.2">
      <c r="B151" s="36"/>
      <c r="AG151" s="27"/>
      <c r="AH151" s="27"/>
      <c r="AI151" s="27"/>
      <c r="AJ151" s="27"/>
      <c r="AK151" s="27"/>
      <c r="AL151" s="27"/>
    </row>
    <row r="152" spans="2:38" ht="15.75" customHeight="1" x14ac:dyDescent="0.2">
      <c r="B152" s="36"/>
      <c r="AG152" s="27"/>
      <c r="AH152" s="27"/>
      <c r="AI152" s="27"/>
      <c r="AJ152" s="27"/>
      <c r="AK152" s="27"/>
      <c r="AL152" s="27"/>
    </row>
    <row r="153" spans="2:38" ht="15.75" customHeight="1" x14ac:dyDescent="0.2">
      <c r="B153" s="36"/>
      <c r="AG153" s="27"/>
      <c r="AH153" s="27"/>
      <c r="AI153" s="27"/>
      <c r="AJ153" s="27"/>
      <c r="AK153" s="27"/>
      <c r="AL153" s="27"/>
    </row>
    <row r="154" spans="2:38" ht="15.75" customHeight="1" x14ac:dyDescent="0.2">
      <c r="B154" s="36"/>
      <c r="AG154" s="27"/>
      <c r="AH154" s="27"/>
      <c r="AI154" s="27"/>
      <c r="AJ154" s="27"/>
      <c r="AK154" s="27"/>
      <c r="AL154" s="27"/>
    </row>
    <row r="155" spans="2:38" ht="15.75" customHeight="1" x14ac:dyDescent="0.2">
      <c r="B155" s="36"/>
      <c r="AK155" s="27"/>
      <c r="AL155" s="27"/>
    </row>
    <row r="156" spans="2:38" ht="15.75" customHeight="1" x14ac:dyDescent="0.2">
      <c r="B156" s="36"/>
      <c r="AK156" s="27"/>
      <c r="AL156" s="27"/>
    </row>
    <row r="157" spans="2:38" ht="15.75" customHeight="1" x14ac:dyDescent="0.2">
      <c r="B157" s="36"/>
      <c r="AK157" s="27"/>
      <c r="AL157" s="27"/>
    </row>
    <row r="158" spans="2:38" ht="15.75" customHeight="1" x14ac:dyDescent="0.2">
      <c r="B158" s="36"/>
      <c r="AK158" s="27"/>
      <c r="AL158" s="27"/>
    </row>
    <row r="159" spans="2:38" ht="15.75" customHeight="1" x14ac:dyDescent="0.2">
      <c r="B159" s="36"/>
      <c r="AK159" s="27"/>
      <c r="AL159" s="27"/>
    </row>
    <row r="160" spans="2:38" ht="15.75" customHeight="1" x14ac:dyDescent="0.2">
      <c r="B160" s="36"/>
      <c r="AK160" s="27"/>
      <c r="AL160" s="27"/>
    </row>
    <row r="161" spans="2:38" ht="15.75" customHeight="1" x14ac:dyDescent="0.2">
      <c r="B161" s="36"/>
      <c r="AK161" s="27"/>
      <c r="AL161" s="27"/>
    </row>
    <row r="162" spans="2:38" ht="15.75" customHeight="1" x14ac:dyDescent="0.2">
      <c r="B162" s="36"/>
      <c r="AK162" s="27"/>
      <c r="AL162" s="27"/>
    </row>
    <row r="163" spans="2:38" ht="15.75" customHeight="1" x14ac:dyDescent="0.2">
      <c r="B163" s="36"/>
      <c r="AK163" s="27"/>
      <c r="AL163" s="27"/>
    </row>
    <row r="164" spans="2:38" ht="15.75" customHeight="1" x14ac:dyDescent="0.2">
      <c r="B164" s="36"/>
      <c r="AK164" s="27"/>
      <c r="AL164" s="27"/>
    </row>
    <row r="165" spans="2:38" ht="15.75" customHeight="1" x14ac:dyDescent="0.2">
      <c r="B165" s="36"/>
      <c r="AK165" s="27"/>
      <c r="AL165" s="27"/>
    </row>
    <row r="166" spans="2:38" ht="15.75" customHeight="1" x14ac:dyDescent="0.2">
      <c r="B166" s="36"/>
      <c r="AK166" s="27"/>
      <c r="AL166" s="27"/>
    </row>
    <row r="167" spans="2:38" ht="15.75" customHeight="1" x14ac:dyDescent="0.2">
      <c r="B167" s="36"/>
      <c r="AK167" s="27"/>
      <c r="AL167" s="27"/>
    </row>
    <row r="168" spans="2:38" ht="15.75" customHeight="1" x14ac:dyDescent="0.2">
      <c r="B168" s="36"/>
      <c r="AK168" s="27"/>
      <c r="AL168" s="27"/>
    </row>
    <row r="169" spans="2:38" ht="15.75" customHeight="1" x14ac:dyDescent="0.2">
      <c r="B169" s="36"/>
      <c r="AK169" s="27"/>
      <c r="AL169" s="27"/>
    </row>
    <row r="170" spans="2:38" ht="15.75" customHeight="1" x14ac:dyDescent="0.2">
      <c r="B170" s="36"/>
      <c r="AK170" s="27"/>
      <c r="AL170" s="27"/>
    </row>
    <row r="171" spans="2:38" ht="15.75" customHeight="1" x14ac:dyDescent="0.2">
      <c r="B171" s="36"/>
      <c r="AK171" s="27"/>
      <c r="AL171" s="27"/>
    </row>
    <row r="172" spans="2:38" ht="15.75" customHeight="1" x14ac:dyDescent="0.2">
      <c r="B172" s="36"/>
      <c r="AK172" s="27"/>
      <c r="AL172" s="27"/>
    </row>
    <row r="173" spans="2:38" ht="15.75" customHeight="1" x14ac:dyDescent="0.2">
      <c r="B173" s="36"/>
      <c r="AK173" s="27"/>
      <c r="AL173" s="27"/>
    </row>
    <row r="174" spans="2:38" ht="15.75" customHeight="1" x14ac:dyDescent="0.2">
      <c r="B174" s="36"/>
      <c r="AK174" s="27"/>
      <c r="AL174" s="27"/>
    </row>
    <row r="175" spans="2:38" ht="15.75" customHeight="1" x14ac:dyDescent="0.2">
      <c r="B175" s="36"/>
      <c r="AK175" s="27"/>
      <c r="AL175" s="27"/>
    </row>
    <row r="176" spans="2:38" ht="15.75" customHeight="1" x14ac:dyDescent="0.2">
      <c r="B176" s="36"/>
      <c r="AK176" s="27"/>
      <c r="AL176" s="27"/>
    </row>
    <row r="177" spans="2:38" ht="15.75" customHeight="1" x14ac:dyDescent="0.2">
      <c r="B177" s="36"/>
      <c r="AK177" s="27"/>
      <c r="AL177" s="27"/>
    </row>
    <row r="178" spans="2:38" ht="15.75" customHeight="1" x14ac:dyDescent="0.2">
      <c r="B178" s="36"/>
      <c r="AK178" s="27"/>
      <c r="AL178" s="27"/>
    </row>
    <row r="179" spans="2:38" ht="15.75" customHeight="1" x14ac:dyDescent="0.2">
      <c r="B179" s="36"/>
      <c r="AK179" s="27"/>
      <c r="AL179" s="27"/>
    </row>
    <row r="180" spans="2:38" ht="15.75" customHeight="1" x14ac:dyDescent="0.2">
      <c r="B180" s="36"/>
      <c r="AK180" s="27"/>
      <c r="AL180" s="27"/>
    </row>
    <row r="181" spans="2:38" ht="15.75" customHeight="1" x14ac:dyDescent="0.2">
      <c r="B181" s="36"/>
      <c r="AK181" s="27"/>
      <c r="AL181" s="27"/>
    </row>
    <row r="182" spans="2:38" ht="15.75" customHeight="1" x14ac:dyDescent="0.2">
      <c r="B182" s="36"/>
      <c r="AK182" s="27"/>
      <c r="AL182" s="27"/>
    </row>
    <row r="183" spans="2:38" ht="15.75" customHeight="1" x14ac:dyDescent="0.2">
      <c r="B183" s="36"/>
      <c r="AK183" s="27"/>
      <c r="AL183" s="27"/>
    </row>
    <row r="184" spans="2:38" ht="15.75" customHeight="1" x14ac:dyDescent="0.2">
      <c r="B184" s="36"/>
      <c r="AK184" s="27"/>
      <c r="AL184" s="27"/>
    </row>
    <row r="185" spans="2:38" ht="15.75" customHeight="1" x14ac:dyDescent="0.2">
      <c r="B185" s="36"/>
      <c r="AK185" s="27"/>
      <c r="AL185" s="27"/>
    </row>
    <row r="186" spans="2:38" ht="15.75" customHeight="1" x14ac:dyDescent="0.2">
      <c r="B186" s="36"/>
      <c r="AK186" s="27"/>
      <c r="AL186" s="27"/>
    </row>
    <row r="187" spans="2:38" ht="15.75" customHeight="1" x14ac:dyDescent="0.2">
      <c r="B187" s="36"/>
      <c r="AK187" s="27"/>
      <c r="AL187" s="27"/>
    </row>
    <row r="188" spans="2:38" ht="15.75" customHeight="1" x14ac:dyDescent="0.2">
      <c r="B188" s="36"/>
      <c r="AK188" s="27"/>
      <c r="AL188" s="27"/>
    </row>
    <row r="189" spans="2:38" ht="15.75" customHeight="1" x14ac:dyDescent="0.2">
      <c r="B189" s="36"/>
      <c r="AK189" s="27"/>
      <c r="AL189" s="27"/>
    </row>
    <row r="190" spans="2:38" ht="15.75" customHeight="1" x14ac:dyDescent="0.2">
      <c r="B190" s="36"/>
      <c r="AK190" s="27"/>
      <c r="AL190" s="27"/>
    </row>
    <row r="191" spans="2:38" ht="15.75" customHeight="1" x14ac:dyDescent="0.2">
      <c r="B191" s="36"/>
      <c r="AK191" s="27"/>
      <c r="AL191" s="27"/>
    </row>
    <row r="192" spans="2:38" ht="15.75" customHeight="1" x14ac:dyDescent="0.2">
      <c r="B192" s="36"/>
      <c r="AK192" s="27"/>
      <c r="AL192" s="27"/>
    </row>
    <row r="193" spans="2:38" ht="15.75" customHeight="1" x14ac:dyDescent="0.2">
      <c r="B193" s="36"/>
      <c r="AK193" s="27"/>
      <c r="AL193" s="27"/>
    </row>
    <row r="194" spans="2:38" ht="15.75" customHeight="1" x14ac:dyDescent="0.2">
      <c r="B194" s="36"/>
      <c r="AK194" s="27"/>
      <c r="AL194" s="27"/>
    </row>
    <row r="195" spans="2:38" ht="15.75" customHeight="1" x14ac:dyDescent="0.2">
      <c r="B195" s="36"/>
      <c r="AK195" s="27"/>
      <c r="AL195" s="27"/>
    </row>
    <row r="196" spans="2:38" ht="15.75" customHeight="1" x14ac:dyDescent="0.2">
      <c r="B196" s="36"/>
      <c r="AK196" s="27"/>
      <c r="AL196" s="27"/>
    </row>
    <row r="197" spans="2:38" ht="15.75" customHeight="1" x14ac:dyDescent="0.2">
      <c r="B197" s="36"/>
      <c r="AK197" s="27"/>
      <c r="AL197" s="27"/>
    </row>
    <row r="198" spans="2:38" ht="15.75" customHeight="1" x14ac:dyDescent="0.2">
      <c r="B198" s="36"/>
      <c r="AK198" s="27"/>
      <c r="AL198" s="27"/>
    </row>
    <row r="199" spans="2:38" ht="15.75" customHeight="1" x14ac:dyDescent="0.2">
      <c r="B199" s="36"/>
      <c r="AK199" s="27"/>
      <c r="AL199" s="27"/>
    </row>
    <row r="200" spans="2:38" ht="15.75" customHeight="1" x14ac:dyDescent="0.2">
      <c r="B200" s="36"/>
      <c r="AK200" s="27"/>
      <c r="AL200" s="27"/>
    </row>
    <row r="201" spans="2:38" ht="15.75" customHeight="1" x14ac:dyDescent="0.2">
      <c r="B201" s="36"/>
      <c r="AK201" s="27"/>
      <c r="AL201" s="27"/>
    </row>
    <row r="202" spans="2:38" ht="15.75" customHeight="1" x14ac:dyDescent="0.2">
      <c r="B202" s="36"/>
      <c r="AK202" s="27"/>
      <c r="AL202" s="27"/>
    </row>
    <row r="203" spans="2:38" ht="15.75" customHeight="1" x14ac:dyDescent="0.2">
      <c r="B203" s="36"/>
      <c r="AK203" s="27"/>
      <c r="AL203" s="27"/>
    </row>
    <row r="204" spans="2:38" ht="15.75" customHeight="1" x14ac:dyDescent="0.2">
      <c r="B204" s="36"/>
      <c r="AK204" s="27"/>
      <c r="AL204" s="27"/>
    </row>
    <row r="205" spans="2:38" ht="15.75" customHeight="1" x14ac:dyDescent="0.2">
      <c r="B205" s="36"/>
      <c r="AK205" s="27"/>
      <c r="AL205" s="27"/>
    </row>
    <row r="206" spans="2:38" ht="15.75" customHeight="1" x14ac:dyDescent="0.2">
      <c r="B206" s="36"/>
      <c r="AK206" s="27"/>
      <c r="AL206" s="27"/>
    </row>
    <row r="207" spans="2:38" ht="15.75" customHeight="1" x14ac:dyDescent="0.2">
      <c r="B207" s="36"/>
      <c r="AK207" s="27"/>
      <c r="AL207" s="27"/>
    </row>
    <row r="208" spans="2:38" ht="15.75" customHeight="1" x14ac:dyDescent="0.2">
      <c r="B208" s="36"/>
      <c r="AK208" s="27"/>
      <c r="AL208" s="27"/>
    </row>
    <row r="209" spans="2:38" ht="15.75" customHeight="1" x14ac:dyDescent="0.2">
      <c r="B209" s="36"/>
      <c r="AK209" s="27"/>
      <c r="AL209" s="27"/>
    </row>
    <row r="210" spans="2:38" ht="15.75" customHeight="1" x14ac:dyDescent="0.2">
      <c r="B210" s="36"/>
      <c r="AK210" s="27"/>
      <c r="AL210" s="27"/>
    </row>
    <row r="211" spans="2:38" ht="15.75" customHeight="1" x14ac:dyDescent="0.2">
      <c r="B211" s="36"/>
      <c r="AK211" s="27"/>
      <c r="AL211" s="27"/>
    </row>
    <row r="212" spans="2:38" ht="15.75" customHeight="1" x14ac:dyDescent="0.2">
      <c r="B212" s="36"/>
      <c r="AK212" s="27"/>
      <c r="AL212" s="27"/>
    </row>
    <row r="213" spans="2:38" ht="15.75" customHeight="1" x14ac:dyDescent="0.2">
      <c r="B213" s="36"/>
      <c r="AK213" s="27"/>
      <c r="AL213" s="27"/>
    </row>
    <row r="214" spans="2:38" ht="15.75" customHeight="1" x14ac:dyDescent="0.2">
      <c r="B214" s="36"/>
      <c r="AK214" s="27"/>
      <c r="AL214" s="27"/>
    </row>
    <row r="215" spans="2:38" ht="15.75" customHeight="1" x14ac:dyDescent="0.2">
      <c r="B215" s="36"/>
      <c r="AK215" s="27"/>
      <c r="AL215" s="27"/>
    </row>
    <row r="216" spans="2:38" ht="15.75" customHeight="1" x14ac:dyDescent="0.2">
      <c r="B216" s="36"/>
      <c r="AK216" s="27"/>
      <c r="AL216" s="27"/>
    </row>
    <row r="217" spans="2:38" ht="15.75" customHeight="1" x14ac:dyDescent="0.2">
      <c r="B217" s="36"/>
      <c r="AK217" s="27"/>
      <c r="AL217" s="27"/>
    </row>
    <row r="218" spans="2:38" ht="15.75" customHeight="1" x14ac:dyDescent="0.2">
      <c r="B218" s="36"/>
      <c r="AK218" s="27"/>
      <c r="AL218" s="27"/>
    </row>
    <row r="219" spans="2:38" ht="15.75" customHeight="1" x14ac:dyDescent="0.2">
      <c r="B219" s="36"/>
      <c r="AK219" s="27"/>
      <c r="AL219" s="27"/>
    </row>
    <row r="220" spans="2:38" ht="15.75" customHeight="1" x14ac:dyDescent="0.2">
      <c r="B220" s="36"/>
      <c r="AK220" s="27"/>
      <c r="AL220" s="27"/>
    </row>
    <row r="221" spans="2:38" ht="15.75" customHeight="1" x14ac:dyDescent="0.2">
      <c r="B221" s="36"/>
      <c r="AK221" s="27"/>
      <c r="AL221" s="27"/>
    </row>
    <row r="222" spans="2:38" ht="15.75" customHeight="1" x14ac:dyDescent="0.2">
      <c r="B222" s="36"/>
      <c r="AK222" s="27"/>
      <c r="AL222" s="27"/>
    </row>
    <row r="223" spans="2:38" ht="15.75" customHeight="1" x14ac:dyDescent="0.2">
      <c r="B223" s="36"/>
      <c r="AK223" s="27"/>
      <c r="AL223" s="27"/>
    </row>
    <row r="224" spans="2:38" ht="15.75" customHeight="1" x14ac:dyDescent="0.2">
      <c r="B224" s="36"/>
      <c r="AK224" s="27"/>
      <c r="AL224" s="27"/>
    </row>
    <row r="225" spans="2:38" ht="15.75" customHeight="1" x14ac:dyDescent="0.2">
      <c r="B225" s="36"/>
      <c r="AK225" s="27"/>
      <c r="AL225" s="27"/>
    </row>
    <row r="226" spans="2:38" ht="15.75" customHeight="1" x14ac:dyDescent="0.2">
      <c r="B226" s="36"/>
      <c r="AK226" s="27"/>
      <c r="AL226" s="27"/>
    </row>
    <row r="227" spans="2:38" ht="15.75" customHeight="1" x14ac:dyDescent="0.2">
      <c r="B227" s="36"/>
      <c r="AK227" s="27"/>
      <c r="AL227" s="27"/>
    </row>
    <row r="228" spans="2:38" ht="15.75" customHeight="1" x14ac:dyDescent="0.2">
      <c r="B228" s="36"/>
      <c r="AK228" s="27"/>
      <c r="AL228" s="27"/>
    </row>
    <row r="229" spans="2:38" ht="15.75" customHeight="1" x14ac:dyDescent="0.2">
      <c r="B229" s="36"/>
      <c r="AK229" s="27"/>
      <c r="AL229" s="27"/>
    </row>
    <row r="230" spans="2:38" ht="15.75" customHeight="1" x14ac:dyDescent="0.2">
      <c r="B230" s="36"/>
      <c r="AK230" s="27"/>
      <c r="AL230" s="27"/>
    </row>
    <row r="231" spans="2:38" ht="15.75" customHeight="1" x14ac:dyDescent="0.2">
      <c r="B231" s="36"/>
      <c r="AK231" s="27"/>
      <c r="AL231" s="27"/>
    </row>
    <row r="232" spans="2:38" ht="15.75" customHeight="1" x14ac:dyDescent="0.2">
      <c r="B232" s="36"/>
      <c r="AK232" s="27"/>
      <c r="AL232" s="27"/>
    </row>
    <row r="233" spans="2:38" ht="15.75" customHeight="1" x14ac:dyDescent="0.2">
      <c r="B233" s="36"/>
      <c r="AK233" s="27"/>
      <c r="AL233" s="27"/>
    </row>
    <row r="234" spans="2:38" ht="15.75" customHeight="1" x14ac:dyDescent="0.2">
      <c r="B234" s="36"/>
      <c r="AK234" s="27"/>
      <c r="AL234" s="27"/>
    </row>
    <row r="235" spans="2:38" ht="15.75" customHeight="1" x14ac:dyDescent="0.2">
      <c r="B235" s="36"/>
      <c r="AK235" s="27"/>
      <c r="AL235" s="27"/>
    </row>
    <row r="236" spans="2:38" ht="15.75" customHeight="1" x14ac:dyDescent="0.2">
      <c r="B236" s="36"/>
      <c r="AK236" s="27"/>
      <c r="AL236" s="27"/>
    </row>
    <row r="237" spans="2:38" ht="15.75" customHeight="1" x14ac:dyDescent="0.2">
      <c r="B237" s="36"/>
      <c r="AK237" s="27"/>
      <c r="AL237" s="27"/>
    </row>
    <row r="238" spans="2:38" ht="15.75" customHeight="1" x14ac:dyDescent="0.2">
      <c r="B238" s="36"/>
      <c r="AK238" s="27"/>
      <c r="AL238" s="27"/>
    </row>
    <row r="239" spans="2:38" ht="15.75" customHeight="1" x14ac:dyDescent="0.2">
      <c r="B239" s="36"/>
      <c r="AK239" s="27"/>
      <c r="AL239" s="27"/>
    </row>
    <row r="240" spans="2:38" ht="15.75" customHeight="1" x14ac:dyDescent="0.2">
      <c r="B240" s="36"/>
      <c r="AK240" s="27"/>
      <c r="AL240" s="27"/>
    </row>
    <row r="241" spans="2:38" ht="15.75" customHeight="1" x14ac:dyDescent="0.2">
      <c r="B241" s="36"/>
      <c r="AK241" s="27"/>
      <c r="AL241" s="27"/>
    </row>
    <row r="242" spans="2:38" ht="15.75" customHeight="1" x14ac:dyDescent="0.2">
      <c r="B242" s="36"/>
      <c r="AK242" s="27"/>
      <c r="AL242" s="27"/>
    </row>
    <row r="243" spans="2:38" ht="15.75" customHeight="1" x14ac:dyDescent="0.2">
      <c r="B243" s="36"/>
      <c r="AK243" s="27"/>
      <c r="AL243" s="27"/>
    </row>
    <row r="244" spans="2:38" ht="15.75" customHeight="1" x14ac:dyDescent="0.2">
      <c r="B244" s="36"/>
      <c r="AK244" s="27"/>
      <c r="AL244" s="27"/>
    </row>
    <row r="245" spans="2:38" ht="15.75" customHeight="1" x14ac:dyDescent="0.2">
      <c r="B245" s="36"/>
      <c r="AK245" s="27"/>
      <c r="AL245" s="27"/>
    </row>
    <row r="246" spans="2:38" ht="15.75" customHeight="1" x14ac:dyDescent="0.2">
      <c r="B246" s="36"/>
      <c r="AK246" s="27"/>
      <c r="AL246" s="27"/>
    </row>
    <row r="247" spans="2:38" ht="15.75" customHeight="1" x14ac:dyDescent="0.2">
      <c r="B247" s="36"/>
      <c r="AK247" s="27"/>
      <c r="AL247" s="27"/>
    </row>
    <row r="248" spans="2:38" ht="15.75" customHeight="1" x14ac:dyDescent="0.2">
      <c r="B248" s="36"/>
      <c r="AK248" s="27"/>
      <c r="AL248" s="27"/>
    </row>
    <row r="249" spans="2:38" ht="15.75" customHeight="1" x14ac:dyDescent="0.2">
      <c r="AK249" s="27"/>
      <c r="AL249" s="27"/>
    </row>
    <row r="250" spans="2:38" ht="15.75" customHeight="1" x14ac:dyDescent="0.2">
      <c r="AK250" s="27"/>
      <c r="AL250" s="27"/>
    </row>
    <row r="251" spans="2:38" ht="15.75" customHeight="1" x14ac:dyDescent="0.2">
      <c r="AK251" s="27"/>
      <c r="AL251" s="27"/>
    </row>
    <row r="252" spans="2:38" ht="15.75" customHeight="1" x14ac:dyDescent="0.2">
      <c r="AK252" s="27"/>
      <c r="AL252" s="27"/>
    </row>
    <row r="253" spans="2:38" ht="15.75" customHeight="1" x14ac:dyDescent="0.2">
      <c r="AK253" s="27"/>
      <c r="AL253" s="27"/>
    </row>
    <row r="254" spans="2:38" ht="15.75" customHeight="1" x14ac:dyDescent="0.2">
      <c r="AK254" s="27"/>
      <c r="AL254" s="27"/>
    </row>
    <row r="255" spans="2:38" ht="15.75" customHeight="1" x14ac:dyDescent="0.2">
      <c r="AK255" s="27"/>
      <c r="AL255" s="27"/>
    </row>
    <row r="256" spans="2:38" ht="15.75" customHeight="1" x14ac:dyDescent="0.2">
      <c r="AK256" s="27"/>
      <c r="AL256" s="27"/>
    </row>
    <row r="257" spans="37:38" ht="15.75" customHeight="1" x14ac:dyDescent="0.2">
      <c r="AK257" s="27"/>
      <c r="AL257" s="27"/>
    </row>
    <row r="258" spans="37:38" ht="15.75" customHeight="1" x14ac:dyDescent="0.2">
      <c r="AK258" s="27"/>
      <c r="AL258" s="27"/>
    </row>
    <row r="259" spans="37:38" ht="15.75" customHeight="1" x14ac:dyDescent="0.2">
      <c r="AK259" s="27"/>
      <c r="AL259" s="27"/>
    </row>
    <row r="260" spans="37:38" ht="15.75" customHeight="1" x14ac:dyDescent="0.2">
      <c r="AK260" s="27"/>
      <c r="AL260" s="27"/>
    </row>
    <row r="261" spans="37:38" ht="15.75" customHeight="1" x14ac:dyDescent="0.2">
      <c r="AK261" s="27"/>
      <c r="AL261" s="27"/>
    </row>
    <row r="262" spans="37:38" ht="15.75" customHeight="1" x14ac:dyDescent="0.2">
      <c r="AK262" s="27"/>
      <c r="AL262" s="27"/>
    </row>
    <row r="263" spans="37:38" ht="15.75" customHeight="1" x14ac:dyDescent="0.2">
      <c r="AK263" s="27"/>
      <c r="AL263" s="27"/>
    </row>
    <row r="264" spans="37:38" ht="15.75" customHeight="1" x14ac:dyDescent="0.2">
      <c r="AK264" s="27"/>
      <c r="AL264" s="27"/>
    </row>
    <row r="265" spans="37:38" ht="15.75" customHeight="1" x14ac:dyDescent="0.2">
      <c r="AK265" s="27"/>
      <c r="AL265" s="27"/>
    </row>
    <row r="266" spans="37:38" ht="15.75" customHeight="1" x14ac:dyDescent="0.2">
      <c r="AK266" s="27"/>
      <c r="AL266" s="27"/>
    </row>
    <row r="267" spans="37:38" ht="15.75" customHeight="1" x14ac:dyDescent="0.2">
      <c r="AK267" s="27"/>
      <c r="AL267" s="27"/>
    </row>
    <row r="268" spans="37:38" ht="15.75" customHeight="1" x14ac:dyDescent="0.2">
      <c r="AK268" s="27"/>
      <c r="AL268" s="27"/>
    </row>
    <row r="269" spans="37:38" ht="15.75" customHeight="1" x14ac:dyDescent="0.2">
      <c r="AK269" s="27"/>
      <c r="AL269" s="27"/>
    </row>
    <row r="270" spans="37:38" ht="15.75" customHeight="1" x14ac:dyDescent="0.2">
      <c r="AK270" s="27"/>
      <c r="AL270" s="27"/>
    </row>
    <row r="271" spans="37:38" ht="15.75" customHeight="1" x14ac:dyDescent="0.2">
      <c r="AK271" s="27"/>
      <c r="AL271" s="27"/>
    </row>
    <row r="272" spans="37:38" ht="15.75" customHeight="1" x14ac:dyDescent="0.2">
      <c r="AK272" s="27"/>
      <c r="AL272" s="27"/>
    </row>
    <row r="273" spans="37:38" ht="15.75" customHeight="1" x14ac:dyDescent="0.2">
      <c r="AK273" s="27"/>
      <c r="AL273" s="27"/>
    </row>
    <row r="274" spans="37:38" ht="15.75" customHeight="1" x14ac:dyDescent="0.2">
      <c r="AK274" s="27"/>
      <c r="AL274" s="27"/>
    </row>
    <row r="275" spans="37:38" ht="15.75" customHeight="1" x14ac:dyDescent="0.2">
      <c r="AK275" s="27"/>
      <c r="AL275" s="27"/>
    </row>
    <row r="276" spans="37:38" ht="15.75" customHeight="1" x14ac:dyDescent="0.2">
      <c r="AK276" s="27"/>
      <c r="AL276" s="27"/>
    </row>
    <row r="277" spans="37:38" ht="15.75" customHeight="1" x14ac:dyDescent="0.2">
      <c r="AK277" s="27"/>
      <c r="AL277" s="27"/>
    </row>
    <row r="278" spans="37:38" ht="15.75" customHeight="1" x14ac:dyDescent="0.2">
      <c r="AK278" s="27"/>
      <c r="AL278" s="27"/>
    </row>
    <row r="279" spans="37:38" ht="15.75" customHeight="1" x14ac:dyDescent="0.2">
      <c r="AK279" s="27"/>
      <c r="AL279" s="27"/>
    </row>
    <row r="280" spans="37:38" ht="15.75" customHeight="1" x14ac:dyDescent="0.2">
      <c r="AK280" s="27"/>
      <c r="AL280" s="27"/>
    </row>
    <row r="281" spans="37:38" ht="15.75" customHeight="1" x14ac:dyDescent="0.2">
      <c r="AK281" s="27"/>
      <c r="AL281" s="27"/>
    </row>
    <row r="282" spans="37:38" ht="15.75" customHeight="1" x14ac:dyDescent="0.2">
      <c r="AK282" s="27"/>
      <c r="AL282" s="27"/>
    </row>
    <row r="283" spans="37:38" ht="15.75" customHeight="1" x14ac:dyDescent="0.2">
      <c r="AK283" s="27"/>
      <c r="AL283" s="27"/>
    </row>
    <row r="284" spans="37:38" ht="15.75" customHeight="1" x14ac:dyDescent="0.2">
      <c r="AK284" s="27"/>
      <c r="AL284" s="27"/>
    </row>
    <row r="285" spans="37:38" ht="15.75" customHeight="1" x14ac:dyDescent="0.2">
      <c r="AK285" s="27"/>
      <c r="AL285" s="27"/>
    </row>
    <row r="286" spans="37:38" ht="15.75" customHeight="1" x14ac:dyDescent="0.2">
      <c r="AK286" s="27"/>
      <c r="AL286" s="27"/>
    </row>
    <row r="287" spans="37:38" ht="15.75" customHeight="1" x14ac:dyDescent="0.2">
      <c r="AK287" s="27"/>
      <c r="AL287" s="27"/>
    </row>
    <row r="288" spans="37:38" ht="15.75" customHeight="1" x14ac:dyDescent="0.2">
      <c r="AK288" s="27"/>
      <c r="AL288" s="27"/>
    </row>
    <row r="289" spans="37:38" ht="15.75" customHeight="1" x14ac:dyDescent="0.2">
      <c r="AK289" s="27"/>
      <c r="AL289" s="27"/>
    </row>
    <row r="290" spans="37:38" ht="15.75" customHeight="1" x14ac:dyDescent="0.2">
      <c r="AK290" s="27"/>
      <c r="AL290" s="27"/>
    </row>
    <row r="291" spans="37:38" ht="15.75" customHeight="1" x14ac:dyDescent="0.2">
      <c r="AK291" s="27"/>
      <c r="AL291" s="27"/>
    </row>
    <row r="292" spans="37:38" ht="15.75" customHeight="1" x14ac:dyDescent="0.2">
      <c r="AK292" s="27"/>
      <c r="AL292" s="27"/>
    </row>
    <row r="293" spans="37:38" ht="15.75" customHeight="1" x14ac:dyDescent="0.2">
      <c r="AK293" s="27"/>
      <c r="AL293" s="27"/>
    </row>
    <row r="294" spans="37:38" ht="15.75" customHeight="1" x14ac:dyDescent="0.2">
      <c r="AK294" s="27"/>
      <c r="AL294" s="27"/>
    </row>
    <row r="295" spans="37:38" ht="15.75" customHeight="1" x14ac:dyDescent="0.2">
      <c r="AK295" s="27"/>
      <c r="AL295" s="27"/>
    </row>
    <row r="296" spans="37:38" ht="15.75" customHeight="1" x14ac:dyDescent="0.2">
      <c r="AK296" s="27"/>
      <c r="AL296" s="27"/>
    </row>
    <row r="297" spans="37:38" ht="15.75" customHeight="1" x14ac:dyDescent="0.2">
      <c r="AK297" s="27"/>
      <c r="AL297" s="27"/>
    </row>
    <row r="298" spans="37:38" ht="15.75" customHeight="1" x14ac:dyDescent="0.2">
      <c r="AK298" s="27"/>
      <c r="AL298" s="27"/>
    </row>
    <row r="299" spans="37:38" ht="15.75" customHeight="1" x14ac:dyDescent="0.2">
      <c r="AK299" s="27"/>
      <c r="AL299" s="27"/>
    </row>
    <row r="300" spans="37:38" ht="15.75" customHeight="1" x14ac:dyDescent="0.2">
      <c r="AK300" s="27"/>
      <c r="AL300" s="27"/>
    </row>
    <row r="301" spans="37:38" ht="15.75" customHeight="1" x14ac:dyDescent="0.2">
      <c r="AK301" s="27"/>
      <c r="AL301" s="27"/>
    </row>
    <row r="302" spans="37:38" ht="15.75" customHeight="1" x14ac:dyDescent="0.2">
      <c r="AK302" s="27"/>
      <c r="AL302" s="27"/>
    </row>
    <row r="303" spans="37:38" ht="15.75" customHeight="1" x14ac:dyDescent="0.2">
      <c r="AK303" s="27"/>
      <c r="AL303" s="27"/>
    </row>
    <row r="304" spans="37:38" ht="15.75" customHeight="1" x14ac:dyDescent="0.2">
      <c r="AK304" s="27"/>
      <c r="AL304" s="27"/>
    </row>
    <row r="305" spans="37:38" ht="15.75" customHeight="1" x14ac:dyDescent="0.2">
      <c r="AK305" s="27"/>
      <c r="AL305" s="27"/>
    </row>
    <row r="306" spans="37:38" ht="15.75" customHeight="1" x14ac:dyDescent="0.2">
      <c r="AK306" s="27"/>
      <c r="AL306" s="27"/>
    </row>
    <row r="307" spans="37:38" ht="15.75" customHeight="1" x14ac:dyDescent="0.2">
      <c r="AK307" s="27"/>
      <c r="AL307" s="27"/>
    </row>
    <row r="308" spans="37:38" ht="15.75" customHeight="1" x14ac:dyDescent="0.2">
      <c r="AK308" s="27"/>
      <c r="AL308" s="27"/>
    </row>
    <row r="309" spans="37:38" ht="15.75" customHeight="1" x14ac:dyDescent="0.2">
      <c r="AK309" s="27"/>
      <c r="AL309" s="27"/>
    </row>
    <row r="310" spans="37:38" ht="15.75" customHeight="1" x14ac:dyDescent="0.2">
      <c r="AK310" s="27"/>
      <c r="AL310" s="27"/>
    </row>
    <row r="311" spans="37:38" ht="15.75" customHeight="1" x14ac:dyDescent="0.2">
      <c r="AK311" s="27"/>
      <c r="AL311" s="27"/>
    </row>
    <row r="312" spans="37:38" ht="15.75" customHeight="1" x14ac:dyDescent="0.2">
      <c r="AK312" s="27"/>
      <c r="AL312" s="27"/>
    </row>
    <row r="313" spans="37:38" ht="15.75" customHeight="1" x14ac:dyDescent="0.2">
      <c r="AK313" s="27"/>
      <c r="AL313" s="27"/>
    </row>
    <row r="314" spans="37:38" ht="15.75" customHeight="1" x14ac:dyDescent="0.2">
      <c r="AK314" s="27"/>
      <c r="AL314" s="27"/>
    </row>
    <row r="315" spans="37:38" ht="15.75" customHeight="1" x14ac:dyDescent="0.2">
      <c r="AK315" s="27"/>
      <c r="AL315" s="27"/>
    </row>
    <row r="316" spans="37:38" ht="15.75" customHeight="1" x14ac:dyDescent="0.2">
      <c r="AK316" s="27"/>
      <c r="AL316" s="27"/>
    </row>
    <row r="317" spans="37:38" ht="15.75" customHeight="1" x14ac:dyDescent="0.2">
      <c r="AK317" s="27"/>
      <c r="AL317" s="27"/>
    </row>
    <row r="318" spans="37:38" ht="15.75" customHeight="1" x14ac:dyDescent="0.2">
      <c r="AK318" s="27"/>
      <c r="AL318" s="27"/>
    </row>
    <row r="319" spans="37:38" ht="15.75" customHeight="1" x14ac:dyDescent="0.2">
      <c r="AK319" s="27"/>
      <c r="AL319" s="27"/>
    </row>
    <row r="320" spans="37:38" ht="15.75" customHeight="1" x14ac:dyDescent="0.2">
      <c r="AK320" s="27"/>
      <c r="AL320" s="27"/>
    </row>
    <row r="321" spans="37:38" ht="15.75" customHeight="1" x14ac:dyDescent="0.2">
      <c r="AK321" s="27"/>
      <c r="AL321" s="27"/>
    </row>
    <row r="322" spans="37:38" ht="15.75" customHeight="1" x14ac:dyDescent="0.2">
      <c r="AK322" s="27"/>
      <c r="AL322" s="27"/>
    </row>
    <row r="323" spans="37:38" ht="15.75" customHeight="1" x14ac:dyDescent="0.2">
      <c r="AK323" s="27"/>
      <c r="AL323" s="27"/>
    </row>
    <row r="324" spans="37:38" ht="15.75" customHeight="1" x14ac:dyDescent="0.2">
      <c r="AK324" s="27"/>
      <c r="AL324" s="27"/>
    </row>
    <row r="325" spans="37:38" ht="15.75" customHeight="1" x14ac:dyDescent="0.2">
      <c r="AK325" s="27"/>
      <c r="AL325" s="27"/>
    </row>
    <row r="326" spans="37:38" ht="15.75" customHeight="1" x14ac:dyDescent="0.2">
      <c r="AK326" s="27"/>
      <c r="AL326" s="27"/>
    </row>
    <row r="327" spans="37:38" ht="15.75" customHeight="1" x14ac:dyDescent="0.2">
      <c r="AK327" s="27"/>
      <c r="AL327" s="27"/>
    </row>
    <row r="328" spans="37:38" ht="15.75" customHeight="1" x14ac:dyDescent="0.2">
      <c r="AK328" s="27"/>
      <c r="AL328" s="27"/>
    </row>
    <row r="329" spans="37:38" ht="15.75" customHeight="1" x14ac:dyDescent="0.2">
      <c r="AK329" s="27"/>
      <c r="AL329" s="27"/>
    </row>
    <row r="330" spans="37:38" ht="15.75" customHeight="1" x14ac:dyDescent="0.2">
      <c r="AK330" s="27"/>
      <c r="AL330" s="27"/>
    </row>
    <row r="331" spans="37:38" ht="15.75" customHeight="1" x14ac:dyDescent="0.2">
      <c r="AK331" s="27"/>
      <c r="AL331" s="27"/>
    </row>
    <row r="332" spans="37:38" ht="15.75" customHeight="1" x14ac:dyDescent="0.2">
      <c r="AK332" s="27"/>
      <c r="AL332" s="27"/>
    </row>
    <row r="333" spans="37:38" ht="15.75" customHeight="1" x14ac:dyDescent="0.2">
      <c r="AK333" s="27"/>
      <c r="AL333" s="27"/>
    </row>
    <row r="334" spans="37:38" ht="15.75" customHeight="1" x14ac:dyDescent="0.2">
      <c r="AK334" s="27"/>
      <c r="AL334" s="27"/>
    </row>
    <row r="335" spans="37:38" ht="15.75" customHeight="1" x14ac:dyDescent="0.2">
      <c r="AK335" s="27"/>
      <c r="AL335" s="27"/>
    </row>
    <row r="336" spans="37:38" ht="15.75" customHeight="1" x14ac:dyDescent="0.2">
      <c r="AK336" s="27"/>
      <c r="AL336" s="27"/>
    </row>
    <row r="337" spans="37:38" ht="15.75" customHeight="1" x14ac:dyDescent="0.2">
      <c r="AK337" s="27"/>
      <c r="AL337" s="27"/>
    </row>
    <row r="338" spans="37:38" ht="15.75" customHeight="1" x14ac:dyDescent="0.2">
      <c r="AK338" s="27"/>
      <c r="AL338" s="27"/>
    </row>
    <row r="339" spans="37:38" ht="15.75" customHeight="1" x14ac:dyDescent="0.2">
      <c r="AK339" s="27"/>
      <c r="AL339" s="27"/>
    </row>
    <row r="340" spans="37:38" ht="15.75" customHeight="1" x14ac:dyDescent="0.2">
      <c r="AK340" s="27"/>
      <c r="AL340" s="27"/>
    </row>
    <row r="341" spans="37:38" ht="15.75" customHeight="1" x14ac:dyDescent="0.2">
      <c r="AK341" s="27"/>
      <c r="AL341" s="27"/>
    </row>
    <row r="342" spans="37:38" ht="15.75" customHeight="1" x14ac:dyDescent="0.2">
      <c r="AK342" s="27"/>
      <c r="AL342" s="27"/>
    </row>
    <row r="343" spans="37:38" ht="15.75" customHeight="1" x14ac:dyDescent="0.2">
      <c r="AK343" s="27"/>
      <c r="AL343" s="27"/>
    </row>
    <row r="344" spans="37:38" ht="15.75" customHeight="1" x14ac:dyDescent="0.2">
      <c r="AK344" s="27"/>
      <c r="AL344" s="27"/>
    </row>
    <row r="345" spans="37:38" ht="15.75" customHeight="1" x14ac:dyDescent="0.2">
      <c r="AK345" s="27"/>
      <c r="AL345" s="27"/>
    </row>
    <row r="346" spans="37:38" ht="15.75" customHeight="1" x14ac:dyDescent="0.2">
      <c r="AK346" s="27"/>
      <c r="AL346" s="27"/>
    </row>
    <row r="347" spans="37:38" ht="15.75" customHeight="1" x14ac:dyDescent="0.2">
      <c r="AK347" s="27"/>
      <c r="AL347" s="27"/>
    </row>
    <row r="348" spans="37:38" ht="15.75" customHeight="1" x14ac:dyDescent="0.2">
      <c r="AK348" s="27"/>
      <c r="AL348" s="27"/>
    </row>
    <row r="349" spans="37:38" ht="15.75" customHeight="1" x14ac:dyDescent="0.2">
      <c r="AK349" s="27"/>
      <c r="AL349" s="27"/>
    </row>
    <row r="350" spans="37:38" ht="15.75" customHeight="1" x14ac:dyDescent="0.2">
      <c r="AK350" s="27"/>
      <c r="AL350" s="27"/>
    </row>
    <row r="351" spans="37:38" ht="15.75" customHeight="1" x14ac:dyDescent="0.2">
      <c r="AK351" s="27"/>
      <c r="AL351" s="27"/>
    </row>
    <row r="352" spans="37:38" ht="15.75" customHeight="1" x14ac:dyDescent="0.2">
      <c r="AK352" s="27"/>
      <c r="AL352" s="27"/>
    </row>
    <row r="353" spans="37:38" ht="15.75" customHeight="1" x14ac:dyDescent="0.2">
      <c r="AK353" s="27"/>
      <c r="AL353" s="27"/>
    </row>
    <row r="354" spans="37:38" ht="15.75" customHeight="1" x14ac:dyDescent="0.2">
      <c r="AK354" s="27"/>
      <c r="AL354" s="27"/>
    </row>
    <row r="355" spans="37:38" ht="15.75" customHeight="1" x14ac:dyDescent="0.2">
      <c r="AK355" s="27"/>
      <c r="AL355" s="27"/>
    </row>
    <row r="356" spans="37:38" ht="15.75" customHeight="1" x14ac:dyDescent="0.2">
      <c r="AK356" s="27"/>
      <c r="AL356" s="27"/>
    </row>
    <row r="357" spans="37:38" ht="15.75" customHeight="1" x14ac:dyDescent="0.2">
      <c r="AK357" s="27"/>
      <c r="AL357" s="27"/>
    </row>
    <row r="358" spans="37:38" ht="15.75" customHeight="1" x14ac:dyDescent="0.2">
      <c r="AK358" s="27"/>
      <c r="AL358" s="27"/>
    </row>
    <row r="359" spans="37:38" ht="15.75" customHeight="1" x14ac:dyDescent="0.2">
      <c r="AK359" s="27"/>
      <c r="AL359" s="27"/>
    </row>
    <row r="360" spans="37:38" ht="15.75" customHeight="1" x14ac:dyDescent="0.2">
      <c r="AK360" s="27"/>
      <c r="AL360" s="27"/>
    </row>
    <row r="361" spans="37:38" ht="15.75" customHeight="1" x14ac:dyDescent="0.2">
      <c r="AK361" s="27"/>
      <c r="AL361" s="27"/>
    </row>
    <row r="362" spans="37:38" ht="15.75" customHeight="1" x14ac:dyDescent="0.2">
      <c r="AK362" s="27"/>
      <c r="AL362" s="27"/>
    </row>
    <row r="363" spans="37:38" ht="15.75" customHeight="1" x14ac:dyDescent="0.2">
      <c r="AK363" s="27"/>
      <c r="AL363" s="27"/>
    </row>
    <row r="364" spans="37:38" ht="15.75" customHeight="1" x14ac:dyDescent="0.2">
      <c r="AK364" s="27"/>
      <c r="AL364" s="27"/>
    </row>
    <row r="365" spans="37:38" ht="15.75" customHeight="1" x14ac:dyDescent="0.2">
      <c r="AK365" s="27"/>
      <c r="AL365" s="27"/>
    </row>
    <row r="366" spans="37:38" ht="15.75" customHeight="1" x14ac:dyDescent="0.2">
      <c r="AK366" s="27"/>
      <c r="AL366" s="27"/>
    </row>
    <row r="367" spans="37:38" ht="15.75" customHeight="1" x14ac:dyDescent="0.2">
      <c r="AK367" s="27"/>
      <c r="AL367" s="27"/>
    </row>
    <row r="368" spans="37:38" ht="15.75" customHeight="1" x14ac:dyDescent="0.2">
      <c r="AK368" s="27"/>
      <c r="AL368" s="27"/>
    </row>
    <row r="369" spans="37:38" ht="15.75" customHeight="1" x14ac:dyDescent="0.2">
      <c r="AK369" s="27"/>
      <c r="AL369" s="27"/>
    </row>
    <row r="370" spans="37:38" ht="15.75" customHeight="1" x14ac:dyDescent="0.2">
      <c r="AK370" s="27"/>
      <c r="AL370" s="27"/>
    </row>
    <row r="371" spans="37:38" ht="15.75" customHeight="1" x14ac:dyDescent="0.2">
      <c r="AK371" s="27"/>
      <c r="AL371" s="27"/>
    </row>
    <row r="372" spans="37:38" ht="15.75" customHeight="1" x14ac:dyDescent="0.2">
      <c r="AK372" s="27"/>
      <c r="AL372" s="27"/>
    </row>
    <row r="373" spans="37:38" ht="15.75" customHeight="1" x14ac:dyDescent="0.2">
      <c r="AK373" s="27"/>
      <c r="AL373" s="27"/>
    </row>
    <row r="374" spans="37:38" ht="15.75" customHeight="1" x14ac:dyDescent="0.2">
      <c r="AK374" s="27"/>
      <c r="AL374" s="27"/>
    </row>
    <row r="375" spans="37:38" ht="15.75" customHeight="1" x14ac:dyDescent="0.2">
      <c r="AK375" s="27"/>
      <c r="AL375" s="27"/>
    </row>
    <row r="376" spans="37:38" ht="15.75" customHeight="1" x14ac:dyDescent="0.2">
      <c r="AK376" s="27"/>
      <c r="AL376" s="27"/>
    </row>
    <row r="377" spans="37:38" ht="15.75" customHeight="1" x14ac:dyDescent="0.2">
      <c r="AK377" s="27"/>
      <c r="AL377" s="27"/>
    </row>
    <row r="378" spans="37:38" ht="15.75" customHeight="1" x14ac:dyDescent="0.2">
      <c r="AK378" s="27"/>
      <c r="AL378" s="27"/>
    </row>
    <row r="379" spans="37:38" ht="15.75" customHeight="1" x14ac:dyDescent="0.2">
      <c r="AK379" s="27"/>
      <c r="AL379" s="27"/>
    </row>
    <row r="380" spans="37:38" ht="15.75" customHeight="1" x14ac:dyDescent="0.2">
      <c r="AK380" s="27"/>
      <c r="AL380" s="27"/>
    </row>
    <row r="381" spans="37:38" ht="15.75" customHeight="1" x14ac:dyDescent="0.2">
      <c r="AK381" s="27"/>
      <c r="AL381" s="27"/>
    </row>
    <row r="382" spans="37:38" ht="15.75" customHeight="1" x14ac:dyDescent="0.2">
      <c r="AK382" s="27"/>
      <c r="AL382" s="27"/>
    </row>
    <row r="383" spans="37:38" ht="15.75" customHeight="1" x14ac:dyDescent="0.2">
      <c r="AK383" s="27"/>
      <c r="AL383" s="27"/>
    </row>
    <row r="384" spans="37:38" ht="15.75" customHeight="1" x14ac:dyDescent="0.2">
      <c r="AK384" s="27"/>
      <c r="AL384" s="27"/>
    </row>
    <row r="385" spans="37:38" ht="15.75" customHeight="1" x14ac:dyDescent="0.2">
      <c r="AK385" s="27"/>
      <c r="AL385" s="27"/>
    </row>
    <row r="386" spans="37:38" ht="15.75" customHeight="1" x14ac:dyDescent="0.2">
      <c r="AK386" s="27"/>
      <c r="AL386" s="27"/>
    </row>
    <row r="387" spans="37:38" ht="15.75" customHeight="1" x14ac:dyDescent="0.2">
      <c r="AK387" s="27"/>
      <c r="AL387" s="27"/>
    </row>
    <row r="388" spans="37:38" ht="15.75" customHeight="1" x14ac:dyDescent="0.2">
      <c r="AK388" s="27"/>
      <c r="AL388" s="27"/>
    </row>
    <row r="389" spans="37:38" ht="15.75" customHeight="1" x14ac:dyDescent="0.2">
      <c r="AK389" s="27"/>
      <c r="AL389" s="27"/>
    </row>
    <row r="390" spans="37:38" ht="15.75" customHeight="1" x14ac:dyDescent="0.2">
      <c r="AK390" s="27"/>
      <c r="AL390" s="27"/>
    </row>
    <row r="391" spans="37:38" ht="15.75" customHeight="1" x14ac:dyDescent="0.2">
      <c r="AK391" s="27"/>
      <c r="AL391" s="27"/>
    </row>
    <row r="392" spans="37:38" ht="15.75" customHeight="1" x14ac:dyDescent="0.2">
      <c r="AK392" s="27"/>
      <c r="AL392" s="27"/>
    </row>
    <row r="393" spans="37:38" ht="15.75" customHeight="1" x14ac:dyDescent="0.2">
      <c r="AK393" s="27"/>
      <c r="AL393" s="27"/>
    </row>
    <row r="394" spans="37:38" ht="15.75" customHeight="1" x14ac:dyDescent="0.2">
      <c r="AK394" s="27"/>
      <c r="AL394" s="27"/>
    </row>
    <row r="395" spans="37:38" ht="15.75" customHeight="1" x14ac:dyDescent="0.2">
      <c r="AK395" s="27"/>
      <c r="AL395" s="27"/>
    </row>
    <row r="396" spans="37:38" ht="15.75" customHeight="1" x14ac:dyDescent="0.2">
      <c r="AK396" s="27"/>
      <c r="AL396" s="27"/>
    </row>
    <row r="397" spans="37:38" ht="15.75" customHeight="1" x14ac:dyDescent="0.2">
      <c r="AK397" s="27"/>
      <c r="AL397" s="27"/>
    </row>
    <row r="398" spans="37:38" ht="15.75" customHeight="1" x14ac:dyDescent="0.2">
      <c r="AK398" s="27"/>
      <c r="AL398" s="27"/>
    </row>
    <row r="399" spans="37:38" ht="15.75" customHeight="1" x14ac:dyDescent="0.2">
      <c r="AK399" s="27"/>
      <c r="AL399" s="27"/>
    </row>
    <row r="400" spans="37:38" ht="15.75" customHeight="1" x14ac:dyDescent="0.2">
      <c r="AK400" s="27"/>
      <c r="AL400" s="27"/>
    </row>
    <row r="401" spans="37:38" ht="15.75" customHeight="1" x14ac:dyDescent="0.2">
      <c r="AK401" s="27"/>
      <c r="AL401" s="27"/>
    </row>
    <row r="402" spans="37:38" ht="15.75" customHeight="1" x14ac:dyDescent="0.2"/>
    <row r="403" spans="37:38" ht="15.75" customHeight="1" x14ac:dyDescent="0.2"/>
    <row r="404" spans="37:38" ht="15.75" customHeight="1" x14ac:dyDescent="0.2"/>
    <row r="405" spans="37:38" ht="15.75" customHeight="1" x14ac:dyDescent="0.2"/>
    <row r="406" spans="37:38" ht="15.75" customHeight="1" x14ac:dyDescent="0.2"/>
    <row r="407" spans="37:38" ht="15.75" customHeight="1" x14ac:dyDescent="0.2"/>
    <row r="408" spans="37:38" ht="15.75" customHeight="1" x14ac:dyDescent="0.2"/>
    <row r="409" spans="37:38" ht="15.75" customHeight="1" x14ac:dyDescent="0.2"/>
    <row r="410" spans="37:38" ht="15.75" customHeight="1" x14ac:dyDescent="0.2"/>
    <row r="411" spans="37:38" ht="15.75" customHeight="1" x14ac:dyDescent="0.2"/>
    <row r="412" spans="37:38" ht="15.75" customHeight="1" x14ac:dyDescent="0.2"/>
    <row r="413" spans="37:38" ht="15.75" customHeight="1" x14ac:dyDescent="0.2"/>
    <row r="414" spans="37:38" ht="15.75" customHeight="1" x14ac:dyDescent="0.2"/>
    <row r="415" spans="37:38" ht="15.75" customHeight="1" x14ac:dyDescent="0.2"/>
    <row r="416" spans="37:38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mergeCells count="74">
    <mergeCell ref="B11:C11"/>
    <mergeCell ref="B12:C12"/>
    <mergeCell ref="B6:C6"/>
    <mergeCell ref="B7:C7"/>
    <mergeCell ref="B8:C8"/>
    <mergeCell ref="B9:C9"/>
    <mergeCell ref="B10:C10"/>
    <mergeCell ref="AV3:AV5"/>
    <mergeCell ref="AW3:AW5"/>
    <mergeCell ref="AX3:AX5"/>
    <mergeCell ref="A1:A5"/>
    <mergeCell ref="B1:C5"/>
    <mergeCell ref="D1:AH1"/>
    <mergeCell ref="AI1:AS1"/>
    <mergeCell ref="D2:R3"/>
    <mergeCell ref="S2:AH3"/>
    <mergeCell ref="AI2:AS2"/>
    <mergeCell ref="AN3:AN5"/>
    <mergeCell ref="AO3:AO5"/>
    <mergeCell ref="AQ3:AQ5"/>
    <mergeCell ref="AS3:AS5"/>
    <mergeCell ref="AU3:AU5"/>
    <mergeCell ref="AI3:AI5"/>
    <mergeCell ref="AJ3:AJ5"/>
    <mergeCell ref="AK3:AK5"/>
    <mergeCell ref="AL3:AL5"/>
    <mergeCell ref="AM3:AM5"/>
    <mergeCell ref="B40:C40"/>
    <mergeCell ref="B27:C27"/>
    <mergeCell ref="B28:C28"/>
    <mergeCell ref="B29:C29"/>
    <mergeCell ref="B30:C30"/>
    <mergeCell ref="B31:C31"/>
    <mergeCell ref="B32:C32"/>
    <mergeCell ref="B33:C33"/>
    <mergeCell ref="B35:C35"/>
    <mergeCell ref="B36:C36"/>
    <mergeCell ref="B37:C37"/>
    <mergeCell ref="B38:C38"/>
    <mergeCell ref="B39:C39"/>
    <mergeCell ref="B41:C41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4:C34"/>
    <mergeCell ref="B42:C42"/>
    <mergeCell ref="V47:AM47"/>
    <mergeCell ref="V46:AM46"/>
    <mergeCell ref="V45:AM45"/>
    <mergeCell ref="V48:AM48"/>
    <mergeCell ref="V44:AM44"/>
    <mergeCell ref="V59:AM59"/>
    <mergeCell ref="V60:AM60"/>
    <mergeCell ref="V57:AL57"/>
    <mergeCell ref="V49:AM49"/>
    <mergeCell ref="V50:AM50"/>
    <mergeCell ref="V51:AM51"/>
    <mergeCell ref="V52:AM52"/>
    <mergeCell ref="V53:AM53"/>
    <mergeCell ref="V54:AM54"/>
    <mergeCell ref="V55:AM55"/>
    <mergeCell ref="V56:AM56"/>
    <mergeCell ref="V58:AM58"/>
  </mergeCells>
  <conditionalFormatting sqref="AN6:AN40">
    <cfRule type="cellIs" dxfId="30" priority="1" operator="greaterThan">
      <formula>0</formula>
    </cfRule>
  </conditionalFormatting>
  <conditionalFormatting sqref="AN6:AN40">
    <cfRule type="cellIs" dxfId="29" priority="2" operator="lessThanOrEqual">
      <formula>1</formula>
    </cfRule>
  </conditionalFormatting>
  <conditionalFormatting sqref="D4:AH4">
    <cfRule type="containsText" dxfId="28" priority="3" operator="containsText" text="sa">
      <formula>NOT(ISERROR(SEARCH(("sa"),(D4))))</formula>
    </cfRule>
  </conditionalFormatting>
  <conditionalFormatting sqref="D4:AH4">
    <cfRule type="containsText" dxfId="27" priority="4" operator="containsText" text="su">
      <formula>NOT(ISERROR(SEARCH(("su"),(D4))))</formula>
    </cfRule>
  </conditionalFormatting>
  <conditionalFormatting sqref="AQ6:AR40">
    <cfRule type="cellIs" dxfId="26" priority="5" operator="greaterThan">
      <formula>0</formula>
    </cfRule>
  </conditionalFormatting>
  <conditionalFormatting sqref="D6:AH40 U54:U57">
    <cfRule type="cellIs" dxfId="25" priority="6" operator="equal">
      <formula>"PL"</formula>
    </cfRule>
  </conditionalFormatting>
  <conditionalFormatting sqref="D6:AH40 U54:U57">
    <cfRule type="cellIs" dxfId="24" priority="7" operator="equal">
      <formula>"CL"</formula>
    </cfRule>
  </conditionalFormatting>
  <conditionalFormatting sqref="D6:AH40 U54:U57">
    <cfRule type="cellIs" dxfId="23" priority="8" operator="equal">
      <formula>"CO"</formula>
    </cfRule>
  </conditionalFormatting>
  <conditionalFormatting sqref="D6:AH40 U54:U57">
    <cfRule type="cellIs" dxfId="22" priority="9" operator="equal">
      <formula>"HP"</formula>
    </cfRule>
  </conditionalFormatting>
  <conditionalFormatting sqref="D6:AH40 U54:U57">
    <cfRule type="cellIs" dxfId="21" priority="10" operator="equal">
      <formula>"AL"</formula>
    </cfRule>
  </conditionalFormatting>
  <conditionalFormatting sqref="D6:AH40 U54:U57">
    <cfRule type="cellIs" dxfId="20" priority="11" operator="equal">
      <formula>"AHL"</formula>
    </cfRule>
  </conditionalFormatting>
  <conditionalFormatting sqref="AS1:AS967">
    <cfRule type="beginsWith" dxfId="19" priority="12" operator="beginsWith" text="0">
      <formula>LEFT((AS1),LEN("0"))=("0")</formula>
    </cfRule>
  </conditionalFormatting>
  <conditionalFormatting sqref="D6:AH40 U54:U57">
    <cfRule type="cellIs" dxfId="18" priority="13" operator="equal">
      <formula>"O"</formula>
    </cfRule>
  </conditionalFormatting>
  <conditionalFormatting sqref="D6:AH40 U54:U57">
    <cfRule type="cellIs" dxfId="17" priority="14" operator="equal">
      <formula>"H"</formula>
    </cfRule>
  </conditionalFormatting>
  <conditionalFormatting sqref="D6:AH40 U54:U57">
    <cfRule type="cellIs" dxfId="16" priority="15" operator="equal">
      <formula>"W"</formula>
    </cfRule>
  </conditionalFormatting>
  <conditionalFormatting sqref="D6:AH40 U54:U57">
    <cfRule type="cellIs" dxfId="15" priority="16" operator="equal">
      <formula>"F"</formula>
    </cfRule>
  </conditionalFormatting>
  <conditionalFormatting sqref="D6:AH40 U54:U57">
    <cfRule type="cellIs" dxfId="14" priority="17" operator="equal">
      <formula>"HCO"</formula>
    </cfRule>
  </conditionalFormatting>
  <conditionalFormatting sqref="D6:AH40 U54:U57">
    <cfRule type="cellIs" dxfId="13" priority="18" operator="equal">
      <formula>"OH"</formula>
    </cfRule>
  </conditionalFormatting>
  <conditionalFormatting sqref="D6:AH40 U54:U57">
    <cfRule type="containsText" dxfId="12" priority="19" operator="containsText" text="UAL">
      <formula>NOT(ISERROR(SEARCH(("UAL"),(D6))))</formula>
    </cfRule>
  </conditionalFormatting>
  <conditionalFormatting sqref="D6:AH40 U54:U57">
    <cfRule type="containsText" dxfId="11" priority="20" operator="containsText" text="UHL">
      <formula>NOT(ISERROR(SEARCH(("UHL"),(D6))))</formula>
    </cfRule>
  </conditionalFormatting>
  <conditionalFormatting sqref="D6:AH40 U54:U57">
    <cfRule type="cellIs" dxfId="10" priority="21" operator="equal">
      <formula>"WHL"</formula>
    </cfRule>
  </conditionalFormatting>
  <conditionalFormatting sqref="D6:AH40 U54:U57">
    <cfRule type="cellIs" dxfId="9" priority="22" operator="equal">
      <formula>"WHP"</formula>
    </cfRule>
  </conditionalFormatting>
  <conditionalFormatting sqref="AO1:AO967">
    <cfRule type="cellIs" dxfId="8" priority="23" operator="greaterThan">
      <formula>0</formula>
    </cfRule>
  </conditionalFormatting>
  <conditionalFormatting sqref="AM1:AM43 AM61:AM967">
    <cfRule type="cellIs" dxfId="7" priority="24" operator="greaterThan">
      <formula>0</formula>
    </cfRule>
  </conditionalFormatting>
  <conditionalFormatting sqref="AP1:AP967">
    <cfRule type="cellIs" dxfId="6" priority="25" operator="greaterThan">
      <formula>0</formula>
    </cfRule>
  </conditionalFormatting>
  <conditionalFormatting sqref="AK1:AK40 AK402:AK967">
    <cfRule type="cellIs" dxfId="5" priority="26" operator="lessThan">
      <formula>6</formula>
    </cfRule>
  </conditionalFormatting>
  <conditionalFormatting sqref="AX1:AX967">
    <cfRule type="containsText" dxfId="4" priority="27" operator="containsText" text="correct">
      <formula>NOT(ISERROR(SEARCH(("correct"),(AX1))))</formula>
    </cfRule>
  </conditionalFormatting>
  <conditionalFormatting sqref="AX1:AX967">
    <cfRule type="containsText" dxfId="3" priority="28" operator="containsText" text="Error">
      <formula>NOT(ISERROR(SEARCH(("Error"),(AX1))))</formula>
    </cfRule>
  </conditionalFormatting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Attendance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LAP-047</dc:creator>
  <cp:lastModifiedBy>LAP-047</cp:lastModifiedBy>
  <dcterms:created xsi:type="dcterms:W3CDTF">2020-11-23T09:17:06Z</dcterms:created>
  <dcterms:modified xsi:type="dcterms:W3CDTF">2020-11-23T09:17:07Z</dcterms:modified>
</cp:coreProperties>
</file>